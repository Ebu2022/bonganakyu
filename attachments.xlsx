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bonganakyu\"/>
    </mc:Choice>
  </mc:AlternateContent>
  <xr:revisionPtr revIDLastSave="0" documentId="13_ncr:1_{8C22539F-24C9-4823-B4D4-314FDD88BC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py of Industrial Attachment 1" sheetId="1" r:id="rId1"/>
    <sheet name="Sheet130" sheetId="2" r:id="rId2"/>
    <sheet name="Sheet129" sheetId="3" r:id="rId3"/>
    <sheet name="Sheet128" sheetId="4" r:id="rId4"/>
    <sheet name="Copy of Copy of Industrial Atta" sheetId="5" r:id="rId5"/>
    <sheet name="Sheet131" sheetId="6" r:id="rId6"/>
    <sheet name="Copy of Industrial Attachment" sheetId="7" r:id="rId7"/>
  </sheets>
  <definedNames>
    <definedName name="_xlnm._FilterDatabase" localSheetId="4" hidden="1">'Copy of Copy of Industrial Atta'!$F$1:$F$2047</definedName>
    <definedName name="_xlnm._FilterDatabase" localSheetId="6" hidden="1">'Copy of Industrial Attachment'!$F$1:$F$2047</definedName>
    <definedName name="e" localSheetId="4">'Copy of Copy of Industrial Atta'!$F:$F</definedName>
    <definedName name="e" localSheetId="6">'Copy of Industrial Attachment'!$F:$F</definedName>
    <definedName name="e" localSheetId="0">'Copy of Industrial Attachment 1'!$B:$B</definedName>
    <definedName name="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330" i="7" l="1"/>
  <c r="J1325" i="7"/>
  <c r="J1324" i="7"/>
  <c r="J1292" i="7"/>
  <c r="J1276" i="7"/>
  <c r="J1243" i="7"/>
  <c r="J1238" i="7"/>
  <c r="J1236" i="7"/>
  <c r="J1224" i="7"/>
  <c r="J1163" i="7"/>
  <c r="E1163" i="7"/>
  <c r="J1139" i="7"/>
  <c r="E1139" i="7"/>
  <c r="J1136" i="7"/>
  <c r="J1128" i="7"/>
  <c r="E1127" i="7"/>
  <c r="E1086" i="7"/>
  <c r="J1060" i="7"/>
  <c r="J1028" i="7"/>
  <c r="E1001" i="7"/>
  <c r="E966" i="7"/>
  <c r="E938" i="7"/>
  <c r="J918" i="7"/>
  <c r="J914" i="7"/>
  <c r="E910" i="7"/>
  <c r="J851" i="7"/>
  <c r="E851" i="7"/>
  <c r="J844" i="7"/>
  <c r="E844" i="7"/>
  <c r="J843" i="7"/>
  <c r="J842" i="7"/>
  <c r="J840" i="7"/>
  <c r="J760" i="7"/>
  <c r="E760" i="7"/>
  <c r="E749" i="7"/>
  <c r="J686" i="7"/>
  <c r="E686" i="7"/>
  <c r="J685" i="7"/>
  <c r="E685" i="7"/>
  <c r="J640" i="7"/>
  <c r="J639" i="7"/>
  <c r="J621" i="7"/>
  <c r="J596" i="7"/>
  <c r="J584" i="7"/>
  <c r="J523" i="7"/>
  <c r="E523" i="7"/>
  <c r="J499" i="7"/>
  <c r="E499" i="7"/>
  <c r="J496" i="7"/>
  <c r="J488" i="7"/>
  <c r="E487" i="7"/>
  <c r="E447" i="7"/>
  <c r="J421" i="7"/>
  <c r="J405" i="7"/>
  <c r="J388" i="7"/>
  <c r="E356" i="7"/>
  <c r="E348" i="7"/>
  <c r="J340" i="7"/>
  <c r="E340" i="7"/>
  <c r="J312" i="7"/>
  <c r="E312" i="7"/>
  <c r="J281" i="7"/>
  <c r="J279" i="7"/>
  <c r="E279" i="7"/>
  <c r="J230" i="7"/>
  <c r="E228" i="7"/>
  <c r="E219" i="7"/>
  <c r="E209" i="7"/>
  <c r="J204" i="7"/>
  <c r="J178" i="7"/>
  <c r="J157" i="7"/>
  <c r="J141" i="7"/>
  <c r="E141" i="7"/>
  <c r="J116" i="7"/>
  <c r="E40" i="7"/>
  <c r="J596" i="5"/>
  <c r="J584" i="5"/>
  <c r="J523" i="5"/>
  <c r="E523" i="5"/>
  <c r="J499" i="5"/>
  <c r="E499" i="5"/>
  <c r="J496" i="5"/>
  <c r="J488" i="5"/>
  <c r="E487" i="5"/>
  <c r="E447" i="5"/>
  <c r="J421" i="5"/>
  <c r="J405" i="5"/>
  <c r="J388" i="5"/>
  <c r="E356" i="5"/>
  <c r="E348" i="5"/>
  <c r="J340" i="5"/>
  <c r="E340" i="5"/>
  <c r="J312" i="5"/>
  <c r="E312" i="5"/>
  <c r="J281" i="5"/>
  <c r="J279" i="5"/>
  <c r="E279" i="5"/>
  <c r="J230" i="5"/>
  <c r="E228" i="5"/>
  <c r="E219" i="5"/>
  <c r="E209" i="5"/>
  <c r="J204" i="5"/>
  <c r="J178" i="5"/>
  <c r="J157" i="5"/>
  <c r="J141" i="5"/>
  <c r="E141" i="5"/>
  <c r="J116" i="5"/>
  <c r="E4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67" authorId="0" shapeId="0" xr:uid="{00000000-0006-0000-0000-000003000000}">
      <text>
        <r>
          <rPr>
            <sz val="10"/>
            <color rgb="FF000000"/>
            <rFont val="Arial"/>
            <scheme val="minor"/>
          </rPr>
          <t xml:space="preserve">turkana lodwar </t>
        </r>
      </text>
    </comment>
    <comment ref="C604" authorId="0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turkana lodwar </t>
        </r>
      </text>
    </comment>
    <comment ref="B1150" authorId="0" shapeId="0" xr:uid="{0D74FD7E-3338-45A7-A9ED-D1D343C36AC8}">
      <text>
        <r>
          <rPr>
            <sz val="10"/>
            <color rgb="FF000000"/>
            <rFont val="Arial"/>
            <family val="2"/>
            <scheme val="minor"/>
          </rPr>
          <t xml:space="preserve">Regal Pharmaceuticals Ltd </t>
        </r>
      </text>
    </comment>
    <comment ref="B1177" authorId="0" shapeId="0" xr:uid="{9282D50F-D2FD-4F1E-99DB-C8A50A9A2101}">
      <text>
        <r>
          <rPr>
            <sz val="10"/>
            <color rgb="FF000000"/>
            <rFont val="Arial"/>
            <family val="2"/>
            <scheme val="minor"/>
          </rPr>
          <t xml:space="preserve">Kenya railways </t>
        </r>
      </text>
    </comment>
    <comment ref="B1205" authorId="0" shapeId="0" xr:uid="{8D4478CA-44F2-4EB5-B616-A51B2BED415E}">
      <text>
        <r>
          <rPr>
            <sz val="10"/>
            <color rgb="FF000000"/>
            <rFont val="Arial"/>
            <family val="2"/>
            <scheme val="minor"/>
          </rPr>
          <t>KAPA OIL REFINERIES LTD</t>
        </r>
      </text>
    </comment>
    <comment ref="B1225" authorId="0" shapeId="0" xr:uid="{AC2B3B02-4473-4D96-B4E8-C74F8B0E2107}">
      <text>
        <r>
          <rPr>
            <sz val="10"/>
            <color rgb="FF000000"/>
            <rFont val="Arial"/>
            <family val="2"/>
            <scheme val="minor"/>
          </rPr>
          <t>SPRINKVILLE NETWORKS LTD, LIMURU.</t>
        </r>
      </text>
    </comment>
    <comment ref="B1283" authorId="0" shapeId="0" xr:uid="{F09DB525-F578-4BD1-9711-404ED1CEB642}">
      <text>
        <r>
          <rPr>
            <sz val="10"/>
            <color rgb="FF000000"/>
            <rFont val="Arial"/>
            <family val="2"/>
            <scheme val="minor"/>
          </rPr>
          <t xml:space="preserve">Thika Water and Sewerage Company </t>
        </r>
      </text>
    </comment>
    <comment ref="B1293" authorId="0" shapeId="0" xr:uid="{1B9FD931-9C79-49E9-98EB-5D78C0A90DAB}">
      <text>
        <r>
          <rPr>
            <sz val="10"/>
            <color rgb="FF000000"/>
            <rFont val="Arial"/>
            <family val="2"/>
            <scheme val="minor"/>
          </rPr>
          <t>power hub consultant limited,ruiru</t>
        </r>
      </text>
    </comment>
    <comment ref="B1301" authorId="0" shapeId="0" xr:uid="{ACE9433C-8E20-4584-B85D-FE3851009046}">
      <text>
        <r>
          <rPr>
            <sz val="10"/>
            <color rgb="FF000000"/>
            <rFont val="Arial"/>
            <family val="2"/>
            <scheme val="minor"/>
          </rPr>
          <t>MAISHA MABATI LIMITED, Ruiru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400-000001000000}">
      <text>
        <r>
          <rPr>
            <sz val="10"/>
            <color rgb="FF000000"/>
            <rFont val="Arial"/>
            <scheme val="minor"/>
          </rPr>
          <t xml:space="preserve">Joseph mwaura mwariri </t>
        </r>
      </text>
    </comment>
    <comment ref="A73" authorId="0" shapeId="0" xr:uid="{00000000-0006-0000-0400-000002000000}">
      <text>
        <r>
          <rPr>
            <sz val="10"/>
            <color rgb="FF000000"/>
            <rFont val="Arial"/>
            <scheme val="minor"/>
          </rPr>
          <t>Edwin Juma</t>
        </r>
      </text>
    </comment>
    <comment ref="I78" authorId="0" shapeId="0" xr:uid="{00000000-0006-0000-0400-000003000000}">
      <text>
        <r>
          <rPr>
            <sz val="10"/>
            <color rgb="FF000000"/>
            <rFont val="Arial"/>
            <scheme val="minor"/>
          </rPr>
          <t xml:space="preserve">turkana lodwar </t>
        </r>
      </text>
    </comment>
    <comment ref="C339" authorId="0" shapeId="0" xr:uid="{00000000-0006-0000-0400-000004000000}">
      <text>
        <r>
          <rPr>
            <sz val="10"/>
            <color rgb="FF000000"/>
            <rFont val="Arial"/>
            <scheme val="minor"/>
          </rPr>
          <t>PA100/G/13440/21</t>
        </r>
      </text>
    </comment>
    <comment ref="A393" authorId="0" shapeId="0" xr:uid="{00000000-0006-0000-0400-000005000000}">
      <text>
        <r>
          <rPr>
            <sz val="10"/>
            <color rgb="FF000000"/>
            <rFont val="Arial"/>
            <scheme val="minor"/>
          </rPr>
          <t>KORIR KIPKURUI VINCENT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600-000001000000}">
      <text>
        <r>
          <rPr>
            <sz val="10"/>
            <color rgb="FF000000"/>
            <rFont val="Arial"/>
            <scheme val="minor"/>
          </rPr>
          <t xml:space="preserve">Joseph mwaura mwariri </t>
        </r>
      </text>
    </comment>
    <comment ref="A73" authorId="0" shapeId="0" xr:uid="{00000000-0006-0000-0600-000002000000}">
      <text>
        <r>
          <rPr>
            <sz val="10"/>
            <color rgb="FF000000"/>
            <rFont val="Arial"/>
            <scheme val="minor"/>
          </rPr>
          <t>Edwin Juma</t>
        </r>
      </text>
    </comment>
    <comment ref="I78" authorId="0" shapeId="0" xr:uid="{00000000-0006-0000-0600-000003000000}">
      <text>
        <r>
          <rPr>
            <sz val="10"/>
            <color rgb="FF000000"/>
            <rFont val="Arial"/>
            <scheme val="minor"/>
          </rPr>
          <t xml:space="preserve">turkana lodwar </t>
        </r>
      </text>
    </comment>
    <comment ref="C339" authorId="0" shapeId="0" xr:uid="{00000000-0006-0000-0600-000004000000}">
      <text>
        <r>
          <rPr>
            <sz val="10"/>
            <color rgb="FF000000"/>
            <rFont val="Arial"/>
            <scheme val="minor"/>
          </rPr>
          <t>PA100/G/13440/21</t>
        </r>
      </text>
    </comment>
    <comment ref="A393" authorId="0" shapeId="0" xr:uid="{00000000-0006-0000-0600-000005000000}">
      <text>
        <r>
          <rPr>
            <sz val="10"/>
            <color rgb="FF000000"/>
            <rFont val="Arial"/>
            <scheme val="minor"/>
          </rPr>
          <t>KORIR KIPKURUI VINCENT</t>
        </r>
      </text>
    </comment>
    <comment ref="A696" authorId="0" shapeId="0" xr:uid="{00000000-0006-0000-0600-000006000000}">
      <text>
        <r>
          <rPr>
            <sz val="10"/>
            <color rgb="FF000000"/>
            <rFont val="Arial"/>
            <scheme val="minor"/>
          </rPr>
          <t xml:space="preserve">Joseph mwaura mwariri </t>
        </r>
      </text>
    </comment>
    <comment ref="I741" authorId="0" shapeId="0" xr:uid="{00000000-0006-0000-0600-000007000000}">
      <text>
        <r>
          <rPr>
            <sz val="10"/>
            <color rgb="FF000000"/>
            <rFont val="Arial"/>
            <scheme val="minor"/>
          </rPr>
          <t xml:space="preserve">turkana lodwar </t>
        </r>
      </text>
    </comment>
    <comment ref="A752" authorId="0" shapeId="0" xr:uid="{00000000-0006-0000-0600-000008000000}">
      <text>
        <r>
          <rPr>
            <sz val="10"/>
            <color rgb="FF000000"/>
            <rFont val="Arial"/>
            <scheme val="minor"/>
          </rPr>
          <t>Edwin Juma</t>
        </r>
      </text>
    </comment>
    <comment ref="C862" authorId="0" shapeId="0" xr:uid="{00000000-0006-0000-0600-000009000000}">
      <text>
        <r>
          <rPr>
            <sz val="10"/>
            <color rgb="FF000000"/>
            <rFont val="Arial"/>
            <scheme val="minor"/>
          </rPr>
          <t>PA100/G/13440/21</t>
        </r>
      </text>
    </comment>
    <comment ref="A1033" authorId="0" shapeId="0" xr:uid="{00000000-0006-0000-0600-00000A000000}">
      <text>
        <r>
          <rPr>
            <sz val="10"/>
            <color rgb="FF000000"/>
            <rFont val="Arial"/>
            <scheme val="minor"/>
          </rPr>
          <t>KORIR KIPKURUI VINCENT</t>
        </r>
      </text>
    </comment>
  </commentList>
</comments>
</file>

<file path=xl/sharedStrings.xml><?xml version="1.0" encoding="utf-8"?>
<sst xmlns="http://schemas.openxmlformats.org/spreadsheetml/2006/main" count="18789" uniqueCount="4607">
  <si>
    <t>c</t>
  </si>
  <si>
    <t>REG NO</t>
  </si>
  <si>
    <t>DEGREE PROGRAMME/COURSE</t>
  </si>
  <si>
    <t>STUDENT MOBILE NO.</t>
  </si>
  <si>
    <t>COMPANY PLACED</t>
  </si>
  <si>
    <t>COMPANY/DEPARTMENT SUPERVISOR</t>
  </si>
  <si>
    <t>TOWN /COMPANY LOCATION</t>
  </si>
  <si>
    <t>COMPANY CONTACT</t>
  </si>
  <si>
    <t>COMPANY EMAIL</t>
  </si>
  <si>
    <t xml:space="preserve"> Joseph mwaura mwariri </t>
  </si>
  <si>
    <t>CT100/15893/22</t>
  </si>
  <si>
    <t xml:space="preserve">BSC information technology </t>
  </si>
  <si>
    <t xml:space="preserve">Dedan kimathi university of  technology </t>
  </si>
  <si>
    <t xml:space="preserve"> Mr Dennis </t>
  </si>
  <si>
    <t>Nyeri</t>
  </si>
  <si>
    <t>info@dkut.ac.ke</t>
  </si>
  <si>
    <t>PA101/G/14364/21</t>
  </si>
  <si>
    <t xml:space="preserve">Bsc math and computer science </t>
  </si>
  <si>
    <t xml:space="preserve">Huduma Center kerugoya </t>
  </si>
  <si>
    <t xml:space="preserve">Joyce maina </t>
  </si>
  <si>
    <t xml:space="preserve">KERUGOYA </t>
  </si>
  <si>
    <t>hudumakenyakirinyaga@gmail.com</t>
  </si>
  <si>
    <t xml:space="preserve"> Titus Wakihuro Wagathairu </t>
  </si>
  <si>
    <t>PA109/G/14485/21</t>
  </si>
  <si>
    <t xml:space="preserve">BSc  Financial Engineering </t>
  </si>
  <si>
    <t xml:space="preserve">County Government of Kirinyaga </t>
  </si>
  <si>
    <t>Wilson Kiura</t>
  </si>
  <si>
    <t xml:space="preserve">Kutus </t>
  </si>
  <si>
    <t>020-2054354</t>
  </si>
  <si>
    <t xml:space="preserve">kirinyagacounty2013@gmail.com </t>
  </si>
  <si>
    <t>CT100/G/15979/22</t>
  </si>
  <si>
    <t xml:space="preserve">BSc.Information technology </t>
  </si>
  <si>
    <t>African Airlines building (AFRAA BUILDING)</t>
  </si>
  <si>
    <t xml:space="preserve">Brian Kibet </t>
  </si>
  <si>
    <t xml:space="preserve">South C, Nairobi </t>
  </si>
  <si>
    <t>info@optimaxgroup.co.ke</t>
  </si>
  <si>
    <t>Abdullahi Siyad Ahmed</t>
  </si>
  <si>
    <t>PA106/G/15095/21</t>
  </si>
  <si>
    <t>Bsc Software Engineering</t>
  </si>
  <si>
    <t>Teach2Give</t>
  </si>
  <si>
    <t>kevin Comba</t>
  </si>
  <si>
    <t>KUTUS</t>
  </si>
  <si>
    <t>info@teach2give</t>
  </si>
  <si>
    <t>Agnes Muthoni Mwangi</t>
  </si>
  <si>
    <t>CT100/G/13342/21</t>
  </si>
  <si>
    <t>Bachelor in Information Technology</t>
  </si>
  <si>
    <t>Tech Vannah Company</t>
  </si>
  <si>
    <t>ALEX MUTWIIRI</t>
  </si>
  <si>
    <t>CT101/G/12409/21</t>
  </si>
  <si>
    <t>BCS COMPUTER SCIENCE</t>
  </si>
  <si>
    <t>GITHONGO TEA FACTORY</t>
  </si>
  <si>
    <t>MR LETING</t>
  </si>
  <si>
    <t>GITHONGO MERU</t>
  </si>
  <si>
    <t>info@githongo.ktdateas.com</t>
  </si>
  <si>
    <t>Allan Kiporir</t>
  </si>
  <si>
    <t>PA106/G/17510/22</t>
  </si>
  <si>
    <t>BSC. Software Engineering</t>
  </si>
  <si>
    <t>Rift Valley Training Institute</t>
  </si>
  <si>
    <t>Dominic Kemboi</t>
  </si>
  <si>
    <t>Nakuru</t>
  </si>
  <si>
    <t>principal@rvist.ac.ke</t>
  </si>
  <si>
    <t>CT101/G/12381/21</t>
  </si>
  <si>
    <t>Bsc Computer Science</t>
  </si>
  <si>
    <t>Thika Technical Training Institute</t>
  </si>
  <si>
    <t>Godrick Kariuki</t>
  </si>
  <si>
    <t>Thika</t>
  </si>
  <si>
    <t>info@thikatechnical.ac.ke</t>
  </si>
  <si>
    <t>CT100/G/15962/22</t>
  </si>
  <si>
    <t xml:space="preserve">Bsc. Information Technology </t>
  </si>
  <si>
    <t>Ammikam Mwangi Muthee</t>
  </si>
  <si>
    <t>PA106/G/17524/22</t>
  </si>
  <si>
    <t>Bsc. Software Engineering</t>
  </si>
  <si>
    <t>Techsak Technologies</t>
  </si>
  <si>
    <t>Samwel Mungai</t>
  </si>
  <si>
    <t xml:space="preserve">Ruiru Bypass </t>
  </si>
  <si>
    <t>samwel2030@gmail.com</t>
  </si>
  <si>
    <t>AMOS K. SANG</t>
  </si>
  <si>
    <t>PA100/G/13407/21</t>
  </si>
  <si>
    <t xml:space="preserve">BSC STATISTICS </t>
  </si>
  <si>
    <t>National Social Security Fund</t>
  </si>
  <si>
    <t>ANN KIMANI</t>
  </si>
  <si>
    <t>Amos Kipchirchir</t>
  </si>
  <si>
    <t>PA106/G/10645/20</t>
  </si>
  <si>
    <t xml:space="preserve">BSC Software Engineering </t>
  </si>
  <si>
    <t>kijana poa Org.</t>
  </si>
  <si>
    <t>Mr Bruce</t>
  </si>
  <si>
    <t>Kajiado</t>
  </si>
  <si>
    <t>kijanapoaenterprize@gmail.com</t>
  </si>
  <si>
    <t>Amos kipkoech korir</t>
  </si>
  <si>
    <t>PA101/G/14394/21</t>
  </si>
  <si>
    <t>Bsc Mathematics and computer science</t>
  </si>
  <si>
    <t>IMARISHA SACCO LIMITED BOMET</t>
  </si>
  <si>
    <t>Vincent kirui</t>
  </si>
  <si>
    <t>Bomet</t>
  </si>
  <si>
    <t>Vincent.kirui@imarishasacco.co.ke</t>
  </si>
  <si>
    <t xml:space="preserve">Amos Mutuma </t>
  </si>
  <si>
    <t>Pa101/g/14353/21</t>
  </si>
  <si>
    <t xml:space="preserve">BSC MATHEMATICS AND COMPUTER SCIENCE </t>
  </si>
  <si>
    <t>KERUGOYA COUNTY REFERRAL HOSPITAL</t>
  </si>
  <si>
    <t>Mr Gachoka Geoffrey</t>
  </si>
  <si>
    <t>Kerugoya</t>
  </si>
  <si>
    <t>kerugoyahospital@gmail.com</t>
  </si>
  <si>
    <t>Andika Salim Omoro</t>
  </si>
  <si>
    <t>PA106/G/15068/21</t>
  </si>
  <si>
    <t>Kevin Comba Gatimu</t>
  </si>
  <si>
    <t>info@teach2give.com</t>
  </si>
  <si>
    <t xml:space="preserve">ANGELA WANJIRU GATHII </t>
  </si>
  <si>
    <t>PA109/G/14481/21</t>
  </si>
  <si>
    <t xml:space="preserve">BSC FINANCIAL ENGINEERING </t>
  </si>
  <si>
    <t>AMICA SAVINGS AND CREDIT LIMITED HQ</t>
  </si>
  <si>
    <t>MR.KARIUKI</t>
  </si>
  <si>
    <t xml:space="preserve">MURANG'A </t>
  </si>
  <si>
    <t>hello@amicacs.co.ke</t>
  </si>
  <si>
    <t xml:space="preserve">ANN WANJIKU MUCHIRI </t>
  </si>
  <si>
    <t>CT100/G/15880/22</t>
  </si>
  <si>
    <t xml:space="preserve">Bsc Information technology </t>
  </si>
  <si>
    <t xml:space="preserve">KEFRI </t>
  </si>
  <si>
    <t>Anthony Kariuki Gitura</t>
  </si>
  <si>
    <t>CT100/G/10898/20</t>
  </si>
  <si>
    <t>BSc. Information Technology</t>
  </si>
  <si>
    <t xml:space="preserve">Nyahururu referral hospital </t>
  </si>
  <si>
    <t>purity</t>
  </si>
  <si>
    <t>nyahururu</t>
  </si>
  <si>
    <t xml:space="preserve">Antony mawira </t>
  </si>
  <si>
    <t>PA101/G/9915/20</t>
  </si>
  <si>
    <t xml:space="preserve">Bcs mathematics and computer science </t>
  </si>
  <si>
    <t xml:space="preserve">Chuka hospital </t>
  </si>
  <si>
    <t>DENIS MUTEGI</t>
  </si>
  <si>
    <t>chuka</t>
  </si>
  <si>
    <t>medsuptchuka@gmail.com</t>
  </si>
  <si>
    <t>Brian Mutembei</t>
  </si>
  <si>
    <t>PA106/G/1748822</t>
  </si>
  <si>
    <t>AlphaGrid Technologies</t>
  </si>
  <si>
    <t>Abigael Macharia</t>
  </si>
  <si>
    <t>Eldoret</t>
  </si>
  <si>
    <t>info.alphagridtechnologies@gmail.com</t>
  </si>
  <si>
    <t>Chege Geoffrey Gatiki</t>
  </si>
  <si>
    <t>PA10G/G/8244/19</t>
  </si>
  <si>
    <t>Appollinaris Nyamamba Maoncha</t>
  </si>
  <si>
    <t>PA106/G/17492/22</t>
  </si>
  <si>
    <t>(+254) 706262034</t>
  </si>
  <si>
    <t>Techance Limited</t>
  </si>
  <si>
    <t>Sam Mwangi</t>
  </si>
  <si>
    <t>Ongata Rongai,Kajiado</t>
  </si>
  <si>
    <t>(+254) 100658908</t>
  </si>
  <si>
    <t>info@techance.co.ke</t>
  </si>
  <si>
    <t>ARNOLD ASIAGO JOHN</t>
  </si>
  <si>
    <t>PA106/G/17560/22</t>
  </si>
  <si>
    <t>BSC software engineering</t>
  </si>
  <si>
    <t>EBEREGE TEA FACTORY</t>
  </si>
  <si>
    <t>JUSTUS OMWENGA</t>
  </si>
  <si>
    <t>KISII TOWN</t>
  </si>
  <si>
    <t>info@eberege.ktdateas.com</t>
  </si>
  <si>
    <t xml:space="preserve">ARON KIPKIRUI NGETICH </t>
  </si>
  <si>
    <t>CT100/G/13839/21</t>
  </si>
  <si>
    <t xml:space="preserve">Bsc Information Technology </t>
  </si>
  <si>
    <t>OLENGURUONE TEA FACTORY LIMITED</t>
  </si>
  <si>
    <t>Philemon Langat</t>
  </si>
  <si>
    <t>Kiptagich ,Nakuru</t>
  </si>
  <si>
    <t>020-2050395</t>
  </si>
  <si>
    <t>info@olenguruone.ktdateas.com</t>
  </si>
  <si>
    <t>Atuke Dominic</t>
  </si>
  <si>
    <t>PA101/G/14428/21</t>
  </si>
  <si>
    <t>BSC. MATHEMATICS AND COMPUTER SCIENCE</t>
  </si>
  <si>
    <t>RAM HOSPITAL</t>
  </si>
  <si>
    <t>FRED MACHOGU</t>
  </si>
  <si>
    <t>JOGOO ROAD</t>
  </si>
  <si>
    <t>hospitalramkisii@gmail.com</t>
  </si>
  <si>
    <t>AURA ORIMBA DOMINIC</t>
  </si>
  <si>
    <t>CT!00/G/14147/21</t>
  </si>
  <si>
    <t xml:space="preserve">BSC Information Technology </t>
  </si>
  <si>
    <t>AGRO-CHEMICAL AND FOOD LIMITED COMPANY</t>
  </si>
  <si>
    <t>PAUL MUSE /ELVIS ODONGO</t>
  </si>
  <si>
    <t>MUHORONI TOWN</t>
  </si>
  <si>
    <t>0722 205 447/8</t>
  </si>
  <si>
    <t>admin@acfc.co.ke</t>
  </si>
  <si>
    <t xml:space="preserve">Austin Karanja </t>
  </si>
  <si>
    <t>PA102/G/12215/21</t>
  </si>
  <si>
    <t xml:space="preserve">Kirinyaga County Government </t>
  </si>
  <si>
    <t xml:space="preserve">Kirinyaga </t>
  </si>
  <si>
    <t>info@kirinyaga.go.ke</t>
  </si>
  <si>
    <t xml:space="preserve">Ben Ndung'u </t>
  </si>
  <si>
    <t>PA106/G/17462/22</t>
  </si>
  <si>
    <t xml:space="preserve">BSC.SOFTWARE ENGINEERING </t>
  </si>
  <si>
    <t xml:space="preserve">MARAGUA LEVEL IV HOSPITAL </t>
  </si>
  <si>
    <t>Dennis Njoroge</t>
  </si>
  <si>
    <t xml:space="preserve">Murang'a </t>
  </si>
  <si>
    <t>maraguahospital@gmail.com</t>
  </si>
  <si>
    <t>BENAIAH KIPCHIRCHIR</t>
  </si>
  <si>
    <t>PA106/G/17557/22</t>
  </si>
  <si>
    <t>Bse. Software Engineering</t>
  </si>
  <si>
    <t>Starshine Group LTD</t>
  </si>
  <si>
    <t>Anne Chepkorir</t>
  </si>
  <si>
    <t>ELDORET</t>
  </si>
  <si>
    <t xml:space="preserve">                                                       (+254)721259499</t>
  </si>
  <si>
    <t>starshinegroupltd@gmail.com</t>
  </si>
  <si>
    <t>Benjamin Mbera</t>
  </si>
  <si>
    <t>PA106/G/15079/21</t>
  </si>
  <si>
    <t xml:space="preserve">BSC. Software engineering </t>
  </si>
  <si>
    <t>RIFT VALLEY INSTITUTE OF SCIENCE AND TECHNOLOGY</t>
  </si>
  <si>
    <t>Benson Kilonzi Musya</t>
  </si>
  <si>
    <t>Bsc in Mathematics and computer science</t>
  </si>
  <si>
    <t>Catherine Gathee</t>
  </si>
  <si>
    <t>Embu</t>
  </si>
  <si>
    <t>info@embu.go.ke</t>
  </si>
  <si>
    <t>Billy Mark K. Rono</t>
  </si>
  <si>
    <t>PA109/G/15334/21</t>
  </si>
  <si>
    <t>BSc Financial Engineering</t>
  </si>
  <si>
    <t xml:space="preserve">(+254) 746537878 </t>
  </si>
  <si>
    <t xml:space="preserve">KCB, HQ </t>
  </si>
  <si>
    <t>Lilian Ohonde</t>
  </si>
  <si>
    <t>Nairobi, KENCOM Hse.</t>
  </si>
  <si>
    <t>(+254) 711087000 / (+254) 732187000</t>
  </si>
  <si>
    <t>contactcenter@kcbgroup.com</t>
  </si>
  <si>
    <t>Billy Paul Ochieng</t>
  </si>
  <si>
    <t>PA106/G/15088/21</t>
  </si>
  <si>
    <t>Xtranet Communications</t>
  </si>
  <si>
    <t>Dancan Okeyo</t>
  </si>
  <si>
    <t>Nairobi</t>
  </si>
  <si>
    <t>dancan.okeyo@xtranet.co.ke</t>
  </si>
  <si>
    <t xml:space="preserve">Boaz Kipchumba </t>
  </si>
  <si>
    <t>PA106/G/17514/22</t>
  </si>
  <si>
    <t xml:space="preserve">Kirinyaga County Offices </t>
  </si>
  <si>
    <t>Kutus</t>
  </si>
  <si>
    <t>kirinyagacounty2013@gmail.com</t>
  </si>
  <si>
    <t>Brian Gacheru Mwangi</t>
  </si>
  <si>
    <t>PA106/G/17346/22</t>
  </si>
  <si>
    <t>BSC Software Engineering</t>
  </si>
  <si>
    <t>Kilifi Referal Hospital</t>
  </si>
  <si>
    <t>Owen Kodi</t>
  </si>
  <si>
    <t>kilifimedicalcomplex@gmail.com</t>
  </si>
  <si>
    <t>Brian Gitau</t>
  </si>
  <si>
    <t>Ct101/G/12388/21</t>
  </si>
  <si>
    <t xml:space="preserve">BSC computer science </t>
  </si>
  <si>
    <t>(+254)726481859</t>
  </si>
  <si>
    <t>Ministry of Lands Nairobi HQ</t>
  </si>
  <si>
    <t>Joseph Wambu</t>
  </si>
  <si>
    <t xml:space="preserve">Nairobi </t>
  </si>
  <si>
    <t>(+254)0202718050</t>
  </si>
  <si>
    <t>Psland@ardhi.go.ke</t>
  </si>
  <si>
    <t>Brian Kamau</t>
  </si>
  <si>
    <t>PA106/G/17468/22</t>
  </si>
  <si>
    <t xml:space="preserve">BSC SOFTWARE ENGINEERING </t>
  </si>
  <si>
    <t>KTC</t>
  </si>
  <si>
    <t>Brenda Khaoya</t>
  </si>
  <si>
    <t>Kitale</t>
  </si>
  <si>
    <t>kitaletechnical19@gmail.com</t>
  </si>
  <si>
    <t>BRIAN KIPCHIRCHIR</t>
  </si>
  <si>
    <t>PA106/G/17537/22</t>
  </si>
  <si>
    <t>KABIYET ICT CENTRE</t>
  </si>
  <si>
    <t>GEOFFREY BERENGE</t>
  </si>
  <si>
    <t>KABIYET,NANDI</t>
  </si>
  <si>
    <t>jeffcom100@gmail.com</t>
  </si>
  <si>
    <t>BRIAN MOMANYI OENDO</t>
  </si>
  <si>
    <t>CT101/G/16067/21</t>
  </si>
  <si>
    <t>Bsc computer science</t>
  </si>
  <si>
    <t>Bridget Wangu Kimani</t>
  </si>
  <si>
    <t>PA101/G/14357/21</t>
  </si>
  <si>
    <t xml:space="preserve">Bsc Mathematics and Computer science </t>
  </si>
  <si>
    <t>(+254)720457500</t>
  </si>
  <si>
    <t>Kenya Orient</t>
  </si>
  <si>
    <t>Gamaliel Sande</t>
  </si>
  <si>
    <t>(+254)719 042 000</t>
  </si>
  <si>
    <t>info@korient.co.ke</t>
  </si>
  <si>
    <t>BRUNO AMBALE</t>
  </si>
  <si>
    <t>CT100/G/15951/22</t>
  </si>
  <si>
    <t xml:space="preserve">BSC INFORMATION TECHNOLOGY </t>
  </si>
  <si>
    <t>NAIROBI CITY WATER AND SEWERAGE COMPANY LTD</t>
  </si>
  <si>
    <t>ATHUMANI HASSAN</t>
  </si>
  <si>
    <t>NAIROBI</t>
  </si>
  <si>
    <t>infor@nairobiwater.co.ke</t>
  </si>
  <si>
    <t xml:space="preserve">BUNDI ERICJOHNSON MURIMI </t>
  </si>
  <si>
    <t>CT100/G/14042/21</t>
  </si>
  <si>
    <t xml:space="preserve">BSC.INFORMATION TECHNOLOGY </t>
  </si>
  <si>
    <t>NATIONAL HOSPITAL INSURANCE FUND</t>
  </si>
  <si>
    <t>James Migwi.</t>
  </si>
  <si>
    <t>Mwea(Ngurubani)</t>
  </si>
  <si>
    <t>CARL KAMAU</t>
  </si>
  <si>
    <t>PA109/G/14510/21</t>
  </si>
  <si>
    <t>BSC Financial Engineering</t>
  </si>
  <si>
    <t>COSMOPOLITAN SACCO</t>
  </si>
  <si>
    <t xml:space="preserve">CHARLES KYALO </t>
  </si>
  <si>
    <t>CT100/G/14138/21</t>
  </si>
  <si>
    <t xml:space="preserve">Bsc information technology </t>
  </si>
  <si>
    <t xml:space="preserve">Embu County offices </t>
  </si>
  <si>
    <t xml:space="preserve">Mr.Muriithi Nicholas </t>
  </si>
  <si>
    <t xml:space="preserve">EMBU </t>
  </si>
  <si>
    <t xml:space="preserve">Charles Mbuthia </t>
  </si>
  <si>
    <t>PA106/G/17463/22</t>
  </si>
  <si>
    <t xml:space="preserve">BSC. software engineering </t>
  </si>
  <si>
    <t xml:space="preserve">Deities technologies </t>
  </si>
  <si>
    <t>John.mbuthia@deitiestech.com</t>
  </si>
  <si>
    <t>Chege John Kagai</t>
  </si>
  <si>
    <t>CT101/G/12446/21</t>
  </si>
  <si>
    <t>BSC. Computer Science</t>
  </si>
  <si>
    <t>Power Learn Project</t>
  </si>
  <si>
    <t>Evans Mutuku</t>
  </si>
  <si>
    <t>Lower Kabete, Nairobi</t>
  </si>
  <si>
    <t>info@powerlearnproject.org</t>
  </si>
  <si>
    <t xml:space="preserve">CHRISTINE WANGARI </t>
  </si>
  <si>
    <t>PA101/G/14359/21</t>
  </si>
  <si>
    <t>Bsc. Mathematics and Computer Science</t>
  </si>
  <si>
    <t xml:space="preserve">HUDUMA, KERUGOYA </t>
  </si>
  <si>
    <t>JOYCE MAINA</t>
  </si>
  <si>
    <t>Christopher Ngunyi Githaga</t>
  </si>
  <si>
    <t>PA106/G/17449/22</t>
  </si>
  <si>
    <t xml:space="preserve">Bsc. Software Engineering </t>
  </si>
  <si>
    <t>(+254) 768558330</t>
  </si>
  <si>
    <t>Cleopas Mugane Muchiri</t>
  </si>
  <si>
    <t>PA106/G/17493/22</t>
  </si>
  <si>
    <t>BSC. Software Enginnering</t>
  </si>
  <si>
    <t>Godan Programme for Capacity Development</t>
  </si>
  <si>
    <t>Technical Lead Eng. Derrick Ngigi</t>
  </si>
  <si>
    <t>Nairobi, Kenyatta University</t>
  </si>
  <si>
    <t>comms@godan.info</t>
  </si>
  <si>
    <t>CLIFFORD OTIENO</t>
  </si>
  <si>
    <t>CT100/G/15986/22</t>
  </si>
  <si>
    <t>BsC.Information technology</t>
  </si>
  <si>
    <t>Suba-Sub county hospital.</t>
  </si>
  <si>
    <t>SAM OWAGA</t>
  </si>
  <si>
    <t>Homabay</t>
  </si>
  <si>
    <t>Subadhmt@gmail.com</t>
  </si>
  <si>
    <t>Collins Louis Mwathi</t>
  </si>
  <si>
    <t>PA101/G/12905/21</t>
  </si>
  <si>
    <t>Bsc. Mathematics And Computer science</t>
  </si>
  <si>
    <t>NGANDORI WATER &amp; SANITITATION COMPANY LTD</t>
  </si>
  <si>
    <t>Boniface Mugendi Muriithi</t>
  </si>
  <si>
    <t>ngandoriwater@yahoo.com</t>
  </si>
  <si>
    <t xml:space="preserve">Cynthia Wangeci </t>
  </si>
  <si>
    <t>Pa106/g/17445/22</t>
  </si>
  <si>
    <t xml:space="preserve">Bsc Software Engineering </t>
  </si>
  <si>
    <t xml:space="preserve">County Government of Migori </t>
  </si>
  <si>
    <t>Jabez Owiti</t>
  </si>
  <si>
    <t xml:space="preserve">Migori </t>
  </si>
  <si>
    <t>migoricountygov@gmail.com</t>
  </si>
  <si>
    <t>Daniel Kibet Chirchir</t>
  </si>
  <si>
    <t>CT101/G/12460/21</t>
  </si>
  <si>
    <t>Bsc.Computer Science</t>
  </si>
  <si>
    <t>Airtel</t>
  </si>
  <si>
    <t>DANIEL NDONYE KAVATHA</t>
  </si>
  <si>
    <t>PA106/G/7939/19</t>
  </si>
  <si>
    <t>BSC SOFTWARE ENGINEERING</t>
  </si>
  <si>
    <t>TEACH2GIVE</t>
  </si>
  <si>
    <t>KEVIN COMBA</t>
  </si>
  <si>
    <t>0 710453693</t>
  </si>
  <si>
    <t>Daven Mutisya</t>
  </si>
  <si>
    <t>PA107/G/9363/20</t>
  </si>
  <si>
    <t>BSC IN COMPUTER SYSTEMS ENGINEERING</t>
  </si>
  <si>
    <t>Frevane Hospital</t>
  </si>
  <si>
    <t>Charles Kimando</t>
  </si>
  <si>
    <t>info@frevanehospital.co.ke</t>
  </si>
  <si>
    <t>David Macharia</t>
  </si>
  <si>
    <t>PA106/G/17503/22</t>
  </si>
  <si>
    <t>Bsc.Software engineering</t>
  </si>
  <si>
    <t>Teach2give company</t>
  </si>
  <si>
    <t>Kevin Comba</t>
  </si>
  <si>
    <t>NYERI</t>
  </si>
  <si>
    <t>254 710 453693</t>
  </si>
  <si>
    <t>teach2give@gmail.com</t>
  </si>
  <si>
    <t>DAVID OWOUR</t>
  </si>
  <si>
    <t>CT100/G/14164/21</t>
  </si>
  <si>
    <t xml:space="preserve">MABATI ROLLING MILLS </t>
  </si>
  <si>
    <t xml:space="preserve">SHADRACK KANGWONY </t>
  </si>
  <si>
    <t>rollingmillsm@gmail.com</t>
  </si>
  <si>
    <t>DEBORAH MORAA ANYONA</t>
  </si>
  <si>
    <t>PA109/G/14542/21</t>
  </si>
  <si>
    <t>BSC.FINANCIAL ENGINEERING</t>
  </si>
  <si>
    <t>KIMUNYE TEA FACTORY</t>
  </si>
  <si>
    <t>PAULINE NJOKI</t>
  </si>
  <si>
    <t>KIMUNYE</t>
  </si>
  <si>
    <t>info@kimunye.ktdateas.com</t>
  </si>
  <si>
    <t xml:space="preserve">Dennis gitau </t>
  </si>
  <si>
    <t>Pa100/g/13396/21</t>
  </si>
  <si>
    <t>BSC STATISTICS</t>
  </si>
  <si>
    <t>795 715142</t>
  </si>
  <si>
    <t>NHIF THIKA</t>
  </si>
  <si>
    <t xml:space="preserve">Irine wangui </t>
  </si>
  <si>
    <t>THIKA,KIAMBU</t>
  </si>
  <si>
    <t>0202723281/82</t>
  </si>
  <si>
    <t>info@nhif.or.ke</t>
  </si>
  <si>
    <t>DENNIS KIBIRU</t>
  </si>
  <si>
    <t>PA100/G/9012/20</t>
  </si>
  <si>
    <t>BST</t>
  </si>
  <si>
    <t>KRA KERICHO BRANCH</t>
  </si>
  <si>
    <t>JOHN KIPKORIR</t>
  </si>
  <si>
    <t>KERICHO</t>
  </si>
  <si>
    <t>callcenter@kra.go.ke</t>
  </si>
  <si>
    <t>Dennis Kipkorir</t>
  </si>
  <si>
    <t>PA106/G/16854/22</t>
  </si>
  <si>
    <t xml:space="preserve">BSc. Software Engineering </t>
  </si>
  <si>
    <t>Dennis Kiplimo</t>
  </si>
  <si>
    <t>PA106/G/12332/21</t>
  </si>
  <si>
    <t xml:space="preserve">Brenda </t>
  </si>
  <si>
    <t>DENNIS MUUO MULWA</t>
  </si>
  <si>
    <t>CT101/G/12416/21</t>
  </si>
  <si>
    <t>BSC. COMPUTER SCIENCE</t>
  </si>
  <si>
    <t>KENYATTA UNIVERSITY</t>
  </si>
  <si>
    <t>MADAM. EMILY</t>
  </si>
  <si>
    <t>KAHAWA</t>
  </si>
  <si>
    <t>info@ku.ac.ke</t>
  </si>
  <si>
    <t xml:space="preserve">DENNIS OGOLA MALALA </t>
  </si>
  <si>
    <t>CT101/G/10112/20</t>
  </si>
  <si>
    <t xml:space="preserve">Bsc. Computer Science </t>
  </si>
  <si>
    <t>Climate Wavers</t>
  </si>
  <si>
    <t>climatewavers@gmail.com</t>
  </si>
  <si>
    <t xml:space="preserve">Deric mwiti Marangu </t>
  </si>
  <si>
    <t>CT102/G/13360/21</t>
  </si>
  <si>
    <t xml:space="preserve">Bachelor of Business Information Technology </t>
  </si>
  <si>
    <t>Kinoro Tea Factory Ltd</t>
  </si>
  <si>
    <t>Madam Siphira kagendo</t>
  </si>
  <si>
    <t xml:space="preserve">Meru county, igoji West, Kinoro location </t>
  </si>
  <si>
    <t>info@ktdateas.com</t>
  </si>
  <si>
    <t>Dorcas Chepkoech</t>
  </si>
  <si>
    <t>PA106/G/17441/22</t>
  </si>
  <si>
    <t>huduma centre baringo</t>
  </si>
  <si>
    <t>Billy kipyakwai</t>
  </si>
  <si>
    <t>kabarnet Baringo</t>
  </si>
  <si>
    <t>cmhudumabaringo@gmail.com</t>
  </si>
  <si>
    <t>Duncan kemboi</t>
  </si>
  <si>
    <t>PA101/G/15460/21</t>
  </si>
  <si>
    <t>THIWASCO</t>
  </si>
  <si>
    <t>Francis ndungu</t>
  </si>
  <si>
    <t>info@thikawater.co.ke</t>
  </si>
  <si>
    <t xml:space="preserve">DUNCAN MUTURI MBUGUA </t>
  </si>
  <si>
    <t>CT101/G/12436/21</t>
  </si>
  <si>
    <t xml:space="preserve">Computer science </t>
  </si>
  <si>
    <t>QUATY HARDWARE AND SUPPLIES</t>
  </si>
  <si>
    <t>ALEXANDER NZUKI</t>
  </si>
  <si>
    <t xml:space="preserve">EDDY MAKOYO </t>
  </si>
  <si>
    <t>CT101/S/17764/22</t>
  </si>
  <si>
    <t>Bcs COMPUTER SCIENCE</t>
  </si>
  <si>
    <t>0711437982/0786273284</t>
  </si>
  <si>
    <t>0758 722020/254723661676</t>
  </si>
  <si>
    <t>Edwin Juma</t>
  </si>
  <si>
    <t>PA100/G/13416/21</t>
  </si>
  <si>
    <t>KALRO</t>
  </si>
  <si>
    <t>Peter Simuyu Mutali</t>
  </si>
  <si>
    <t>NAIVASHA</t>
  </si>
  <si>
    <t>karinaivasha@gmail.com</t>
  </si>
  <si>
    <t>Elijah Kimani Wairimu</t>
  </si>
  <si>
    <t>CT100/G/14129/21</t>
  </si>
  <si>
    <t>BSc Information Technology</t>
  </si>
  <si>
    <t>254 710-453-693</t>
  </si>
  <si>
    <t>Elisha Kiplangat</t>
  </si>
  <si>
    <t>PA106/G/15044/21</t>
  </si>
  <si>
    <t>BSc SOFTWARE ENGINEERING</t>
  </si>
  <si>
    <t xml:space="preserve"> Kevin Comba</t>
  </si>
  <si>
    <t>Eliud Koech</t>
  </si>
  <si>
    <t>PA106/G/17511/22</t>
  </si>
  <si>
    <t>Kijana Poa Enterprize Org.</t>
  </si>
  <si>
    <t>Bruce Macharia</t>
  </si>
  <si>
    <t>Kitengela</t>
  </si>
  <si>
    <t>ELIZABETH MUKUHI NGUGI</t>
  </si>
  <si>
    <t>PA106/G/14982/21</t>
  </si>
  <si>
    <t xml:space="preserve">BSC. Software Engineering </t>
  </si>
  <si>
    <t>Nairobi City Water and Sewerage Company</t>
  </si>
  <si>
    <t>Nelson Odhiambo</t>
  </si>
  <si>
    <t>info@nairobiwater.co.ke.</t>
  </si>
  <si>
    <t xml:space="preserve">Emmanuel edung </t>
  </si>
  <si>
    <t>PA101/G/10039/20</t>
  </si>
  <si>
    <t>BMC</t>
  </si>
  <si>
    <t xml:space="preserve">ICT AUTHORITY TURKANA COUNTY OFFICE </t>
  </si>
  <si>
    <t>manase</t>
  </si>
  <si>
    <t>lodwar</t>
  </si>
  <si>
    <t>ictlodwar@gmail.com</t>
  </si>
  <si>
    <t>Emmanuel Muhami Kibe</t>
  </si>
  <si>
    <t>Pa101-g-14355-21</t>
  </si>
  <si>
    <t xml:space="preserve">Bsc.Mathematics and computer science </t>
  </si>
  <si>
    <t xml:space="preserve"> ICT Fire Group</t>
  </si>
  <si>
    <t xml:space="preserve">Simon </t>
  </si>
  <si>
    <t>info@ictfire.com</t>
  </si>
  <si>
    <t>Emmanuel Mukangai</t>
  </si>
  <si>
    <t>PA106/G/17553/22</t>
  </si>
  <si>
    <t xml:space="preserve">Emmanuel Tapasiany Tirati </t>
  </si>
  <si>
    <t>PA109/G/14528/21</t>
  </si>
  <si>
    <t xml:space="preserve">BSC Financial Engineering </t>
  </si>
  <si>
    <t xml:space="preserve">KENYA POLICE DT SACCO NAIROBI </t>
  </si>
  <si>
    <t>Felix Adongo</t>
  </si>
  <si>
    <t>info@policesacco.com</t>
  </si>
  <si>
    <t>EMMANUEL WANJALA</t>
  </si>
  <si>
    <t>PA106/G/17546/22</t>
  </si>
  <si>
    <t>WEBUYE COUNTY HOSPITAL</t>
  </si>
  <si>
    <t>VITALIS WESAMBA</t>
  </si>
  <si>
    <t>WEBUYE</t>
  </si>
  <si>
    <t>webuyedistricthospital@yahoo.com</t>
  </si>
  <si>
    <t>Enoch Graham</t>
  </si>
  <si>
    <t>CT101/G/12437/21</t>
  </si>
  <si>
    <t>Elderman Labs</t>
  </si>
  <si>
    <t>Robinson Wafula</t>
  </si>
  <si>
    <t>Bungoma</t>
  </si>
  <si>
    <t>elderman.labs@gmail.com</t>
  </si>
  <si>
    <t xml:space="preserve">ENOCK KIPKORIR CHERUIYOT </t>
  </si>
  <si>
    <t>Pa106/G/15016/21</t>
  </si>
  <si>
    <t>Masyopnet Technologies</t>
  </si>
  <si>
    <t xml:space="preserve"> Kevin Obura</t>
  </si>
  <si>
    <t>Kitui</t>
  </si>
  <si>
    <t>support@masyopnet.com</t>
  </si>
  <si>
    <t>Eric Murage Gatang'i</t>
  </si>
  <si>
    <t>CT100/G/14047/21</t>
  </si>
  <si>
    <t>ERICK OCHIENG ONYANGO</t>
  </si>
  <si>
    <t>CT100/G/14145/21</t>
  </si>
  <si>
    <t>Bsc IT</t>
  </si>
  <si>
    <t>AFRIKA GENERAL MERCHANTS</t>
  </si>
  <si>
    <t>KEVIN OUMA</t>
  </si>
  <si>
    <t>KIAMBU</t>
  </si>
  <si>
    <t>afrikamerchants@gmal.com</t>
  </si>
  <si>
    <t xml:space="preserve">ESBON OKIBO MOMANYI </t>
  </si>
  <si>
    <t>PA102/G/12294/21</t>
  </si>
  <si>
    <t xml:space="preserve">BSC ACTUARIAL SCIENCE </t>
  </si>
  <si>
    <t xml:space="preserve">KIRINYAGA COUNTY CO-OPERATIVE UNION LTD </t>
  </si>
  <si>
    <t xml:space="preserve">MR. MOSES GACIMU </t>
  </si>
  <si>
    <t xml:space="preserve">KIRINYAGA </t>
  </si>
  <si>
    <t>0740653419/21065</t>
  </si>
  <si>
    <t>info@kiricop.co.ke</t>
  </si>
  <si>
    <t>Esther Njoki Wamaitha</t>
  </si>
  <si>
    <t>CT102/G/13835/21</t>
  </si>
  <si>
    <t>Bachelor of Business Information Technology</t>
  </si>
  <si>
    <t>THE NYERI NATIONAL POLYTECHNIC</t>
  </si>
  <si>
    <t>Esther Kimani</t>
  </si>
  <si>
    <t>info@thenyeripoly.ac.ke</t>
  </si>
  <si>
    <t>Esther wanjiku</t>
  </si>
  <si>
    <t>pa101/G/14358/21</t>
  </si>
  <si>
    <t>Bsc Bmc</t>
  </si>
  <si>
    <t>cotext expert</t>
  </si>
  <si>
    <t>Ngunjiri stephen</t>
  </si>
  <si>
    <t>ruiru town</t>
  </si>
  <si>
    <t>contentexpertagencies2019@hotmail.com</t>
  </si>
  <si>
    <t>Eugene Kipkirui</t>
  </si>
  <si>
    <t>PA109/G/14519/21</t>
  </si>
  <si>
    <t>Bsc Financial Engineering</t>
  </si>
  <si>
    <t>Fortune Sacco Kutus Branch</t>
  </si>
  <si>
    <t>EVALYNE MERCY MUTHONI</t>
  </si>
  <si>
    <t>CT100/G/14105/21</t>
  </si>
  <si>
    <t>BSC Information technology</t>
  </si>
  <si>
    <t>Gertrudes children hospital</t>
  </si>
  <si>
    <t>uri Gakuru</t>
  </si>
  <si>
    <t>muthaiga,  kiambu</t>
  </si>
  <si>
    <t>ugakuru@gerties.org</t>
  </si>
  <si>
    <t>EVERLYN MUTHONI MUTHEE</t>
  </si>
  <si>
    <t>PA106/G/14952/21</t>
  </si>
  <si>
    <t xml:space="preserve">Ezekiel Ombaso Nyambati </t>
  </si>
  <si>
    <t>CT100/G/14151/21</t>
  </si>
  <si>
    <t xml:space="preserve">Bsc. INFORMATION TECHNOLOGY </t>
  </si>
  <si>
    <t>FAITH ACHIENG OPIYO</t>
  </si>
  <si>
    <t>CT100/G/14091/21</t>
  </si>
  <si>
    <t>SCHENKER   LIMITED</t>
  </si>
  <si>
    <t xml:space="preserve">FAITH CHEPKEMOI </t>
  </si>
  <si>
    <t>CT100/G/14097/21</t>
  </si>
  <si>
    <t xml:space="preserve">Kapkatet ICT center </t>
  </si>
  <si>
    <t>Hillary Korir.</t>
  </si>
  <si>
    <t xml:space="preserve">Kapkatet </t>
  </si>
  <si>
    <t>kapkatetict.info@gmail.com</t>
  </si>
  <si>
    <t>Faith Nyambura</t>
  </si>
  <si>
    <t>PA100/G/13432/21</t>
  </si>
  <si>
    <t>Ram Hospital</t>
  </si>
  <si>
    <t xml:space="preserve">Fred Ogoti </t>
  </si>
  <si>
    <t>kisii</t>
  </si>
  <si>
    <t>hospitalramkisii@gmail</t>
  </si>
  <si>
    <t xml:space="preserve">FELIX CHESEREK KIBET </t>
  </si>
  <si>
    <t>PA109/G/14532/21</t>
  </si>
  <si>
    <t xml:space="preserve">Mabati rolling mills </t>
  </si>
  <si>
    <t>SHADRACK KANGWONY</t>
  </si>
  <si>
    <t>THIKA</t>
  </si>
  <si>
    <t>Francis Kithuku</t>
  </si>
  <si>
    <t>PA106/G/17478/22</t>
  </si>
  <si>
    <t>Bsc software engineering</t>
  </si>
  <si>
    <t>DANKYTECHS SOLTION</t>
  </si>
  <si>
    <t>DANSON  MWANGI</t>
  </si>
  <si>
    <t xml:space="preserve">MATUU </t>
  </si>
  <si>
    <t>dankyteschs@gmail.com</t>
  </si>
  <si>
    <t>Francis Ng'ang'a Gitau</t>
  </si>
  <si>
    <t>PA109/G/14512/21</t>
  </si>
  <si>
    <t>BSC. Financial Engineering</t>
  </si>
  <si>
    <t>(+254) 112209004</t>
  </si>
  <si>
    <t>Tausi Assurance Company Limited</t>
  </si>
  <si>
    <t>Annastacia Masika</t>
  </si>
  <si>
    <t>Westlands ,Nairobi</t>
  </si>
  <si>
    <t>(+254) 709914000</t>
  </si>
  <si>
    <t>clients@tausiassurance.com</t>
  </si>
  <si>
    <t>Frank Nyanchoga</t>
  </si>
  <si>
    <t>PA106/G/17585/22</t>
  </si>
  <si>
    <t>Kitale T. College</t>
  </si>
  <si>
    <t>Mrs Khaoya</t>
  </si>
  <si>
    <t>Trans-Nzoia</t>
  </si>
  <si>
    <t>Frankline Muthomi</t>
  </si>
  <si>
    <t>PA101/G/14379/21</t>
  </si>
  <si>
    <t>Quantam Nebula Limited</t>
  </si>
  <si>
    <t>Winfred Karwitha</t>
  </si>
  <si>
    <t>info.quantamnebula@gmail.com</t>
  </si>
  <si>
    <t>Fredrick Kinoka</t>
  </si>
  <si>
    <t>PA106/G/17459/22</t>
  </si>
  <si>
    <t>Kijana poa.</t>
  </si>
  <si>
    <t>Fredrick Nyolo Nthele</t>
  </si>
  <si>
    <t>Stella wanyaga</t>
  </si>
  <si>
    <t>Fridah Mwanzia</t>
  </si>
  <si>
    <t>PA101/G/14371/21</t>
  </si>
  <si>
    <t>Bsc.Mathematics and Computer Science</t>
  </si>
  <si>
    <t>National Hospital Insurance Fund</t>
  </si>
  <si>
    <t>Madam Aminah Omar</t>
  </si>
  <si>
    <t>EMBU</t>
  </si>
  <si>
    <t>(068)2230062</t>
  </si>
  <si>
    <t>embu@nhif.or.ke</t>
  </si>
  <si>
    <t xml:space="preserve">GATHONI EVANS KIBURI </t>
  </si>
  <si>
    <t>PA109/G/8698/20</t>
  </si>
  <si>
    <t xml:space="preserve">Bsc Financial Engineering </t>
  </si>
  <si>
    <t xml:space="preserve">BIASHARA FOSA </t>
  </si>
  <si>
    <t xml:space="preserve">Grace Ngunjiri </t>
  </si>
  <si>
    <t xml:space="preserve">Mairo-inya , Nyahururu </t>
  </si>
  <si>
    <t>gracen@biasharasacco.co.ke</t>
  </si>
  <si>
    <t>Gatwiri Joram Muriira</t>
  </si>
  <si>
    <t>PA/106/G/17472/22</t>
  </si>
  <si>
    <t>Thales Software Solutions</t>
  </si>
  <si>
    <t>thalessolutions189@gmail.com</t>
  </si>
  <si>
    <t>Hillary Wainaina</t>
  </si>
  <si>
    <t>ANTONY GATITU GICHUKI</t>
  </si>
  <si>
    <t>CT101/G/17337/22</t>
  </si>
  <si>
    <t>BSC COMPUTER SCIENCE</t>
  </si>
  <si>
    <t>nyeri</t>
  </si>
  <si>
    <t>Gichuru maurine Nyambura</t>
  </si>
  <si>
    <t>PA109/G/14524/21</t>
  </si>
  <si>
    <t>254 745 168176</t>
  </si>
  <si>
    <t>Cosmopolitan Sacco</t>
  </si>
  <si>
    <t>Lucy Mugure</t>
  </si>
  <si>
    <t>Molo</t>
  </si>
  <si>
    <t>254 716861224</t>
  </si>
  <si>
    <t>info@cosmopolitansacco.co.ke</t>
  </si>
  <si>
    <t xml:space="preserve">Gitau Brian alphonse waweru </t>
  </si>
  <si>
    <t>CT101/G/12382/21</t>
  </si>
  <si>
    <t xml:space="preserve">BSc Computer Science </t>
  </si>
  <si>
    <t>CBK Pension  Towers</t>
  </si>
  <si>
    <t>Victor  Amollo</t>
  </si>
  <si>
    <t>support@ecitizen.go.ke</t>
  </si>
  <si>
    <t>Gitau John Njoroge</t>
  </si>
  <si>
    <t>CT101/G/17411/22</t>
  </si>
  <si>
    <t>Gacharage Tea Factory CO LTD</t>
  </si>
  <si>
    <t>JOHN KINYUA MATHENGE</t>
  </si>
  <si>
    <t>info@gacharage.ktdateas.com</t>
  </si>
  <si>
    <t>Gitonga Bryan</t>
  </si>
  <si>
    <t>PA102/G/12250/21</t>
  </si>
  <si>
    <t>BSC. ACTUARIAL SCIENCE</t>
  </si>
  <si>
    <t>(+254)708017451</t>
  </si>
  <si>
    <t>SOUTHERN STAR SACCO</t>
  </si>
  <si>
    <t>madam mercy</t>
  </si>
  <si>
    <t>chogoria town</t>
  </si>
  <si>
    <t>0202313991/064630290</t>
  </si>
  <si>
    <t>info@sothernstar.co.ke</t>
  </si>
  <si>
    <t>GRACE P WANGARI KIMANI</t>
  </si>
  <si>
    <t>CT101/G/16000/21</t>
  </si>
  <si>
    <t>BSC.  Computer Science</t>
  </si>
  <si>
    <t>Thika Law Courts</t>
  </si>
  <si>
    <t>KERUGOYA</t>
  </si>
  <si>
    <t>kerugoyacourt@court.go.ke</t>
  </si>
  <si>
    <t xml:space="preserve">Hannah Nyambura Mwangi </t>
  </si>
  <si>
    <t>CT102/G/13819/21</t>
  </si>
  <si>
    <t xml:space="preserve">Bachelor of business information technology </t>
  </si>
  <si>
    <t xml:space="preserve">ministry of EAC Arid semi Arid lands and Regional Development </t>
  </si>
  <si>
    <t xml:space="preserve">Dennis Kamau </t>
  </si>
  <si>
    <t>(+254)-20-33176741/2/3</t>
  </si>
  <si>
    <t>psasal2018@gmail.com/ps@asals.go.ke</t>
  </si>
  <si>
    <t xml:space="preserve">HANSON MICHIEKA </t>
  </si>
  <si>
    <t>PA101/G/14423/21</t>
  </si>
  <si>
    <t>BSc. Mathematics and Computer Science</t>
  </si>
  <si>
    <t xml:space="preserve">NG-CDF NYARIBARI MASABA CONSTITUENCY </t>
  </si>
  <si>
    <t>THOMAS OUKO</t>
  </si>
  <si>
    <t>KEROKA-MASIMBA</t>
  </si>
  <si>
    <t>cdfnyaribarimasaba@ngcdf.go.ke</t>
  </si>
  <si>
    <t xml:space="preserve">Harmony Okoth </t>
  </si>
  <si>
    <t>PA106/G/14023/21</t>
  </si>
  <si>
    <t xml:space="preserve">SHOFCO </t>
  </si>
  <si>
    <t>Peter Muraya</t>
  </si>
  <si>
    <t>info@shofco.org</t>
  </si>
  <si>
    <t>HARRY PRIMUS WANJALA</t>
  </si>
  <si>
    <t>CT100/G/12784/21`</t>
  </si>
  <si>
    <t>Bsc INFORMATION TECHNOLOGY</t>
  </si>
  <si>
    <t>|+254114518478</t>
  </si>
  <si>
    <t>BUNGOMA COUNTY REFFERAL HOSPITAL</t>
  </si>
  <si>
    <t>NEWTON NDEGU</t>
  </si>
  <si>
    <t>BUNGOMA</t>
  </si>
  <si>
    <t>bungomadhospital@yahoo.com</t>
  </si>
  <si>
    <t xml:space="preserve">HELLEN WANGARE NYAKIO </t>
  </si>
  <si>
    <t>PA109/G/14526/21</t>
  </si>
  <si>
    <t xml:space="preserve">Kirinyaga county government </t>
  </si>
  <si>
    <t>Wilson kiura</t>
  </si>
  <si>
    <t xml:space="preserve">Henry Gumba </t>
  </si>
  <si>
    <t>PA106/G/17558/22</t>
  </si>
  <si>
    <t xml:space="preserve">AVSI Foundation </t>
  </si>
  <si>
    <t>Elvis Ondijo</t>
  </si>
  <si>
    <t xml:space="preserve">Lang'ata, Nairobi </t>
  </si>
  <si>
    <t>elvisondijo@gmail.com</t>
  </si>
  <si>
    <t>Hussein Mgana Hamisi</t>
  </si>
  <si>
    <t>PA102/G/12189/21</t>
  </si>
  <si>
    <t xml:space="preserve">Bsc. Actuarial science </t>
  </si>
  <si>
    <t xml:space="preserve">Mombasa county office; trade and revenue </t>
  </si>
  <si>
    <t>Salim khalid</t>
  </si>
  <si>
    <t xml:space="preserve">Mombasa, Mvita, Bima towers </t>
  </si>
  <si>
    <t>trademombasa9@gmail.com</t>
  </si>
  <si>
    <t xml:space="preserve">IAN MUKABI </t>
  </si>
  <si>
    <t>PA100 /G/13412/21</t>
  </si>
  <si>
    <t>Ian Muriithi Mwiti</t>
  </si>
  <si>
    <t>PA106/G/17497/22</t>
  </si>
  <si>
    <t>Kijanapoa enterprize Org.</t>
  </si>
  <si>
    <t>Ian Murimi</t>
  </si>
  <si>
    <t>CT101/G/12421/21</t>
  </si>
  <si>
    <t xml:space="preserve">Chuka county refferal hospital </t>
  </si>
  <si>
    <t>Dennis Mutegi</t>
  </si>
  <si>
    <t>Chuka</t>
  </si>
  <si>
    <t>Ian Mutai</t>
  </si>
  <si>
    <t>PA106/G/17548/22</t>
  </si>
  <si>
    <t xml:space="preserve">kirinyaga </t>
  </si>
  <si>
    <t xml:space="preserve">Ibrahim Alex juma </t>
  </si>
  <si>
    <t>CT100/G/14141/21</t>
  </si>
  <si>
    <t>Kagumo teachers' Training College</t>
  </si>
  <si>
    <t xml:space="preserve"> ALEX MWAI</t>
  </si>
  <si>
    <t>gatitu,nyeri</t>
  </si>
  <si>
    <t>info@kagumocollege.ac.ke</t>
  </si>
  <si>
    <t>Isaac Gathua Murere</t>
  </si>
  <si>
    <t>CT100/G/15897/22</t>
  </si>
  <si>
    <t xml:space="preserve">Bsc in Information Technology </t>
  </si>
  <si>
    <t>County Assembly of Nakuru</t>
  </si>
  <si>
    <t>Jackson maina</t>
  </si>
  <si>
    <t>Wasegesward@gmail.com</t>
  </si>
  <si>
    <t>ISAAC KIPROTICH CHERUIYOT</t>
  </si>
  <si>
    <t>CT100/G/14131/21</t>
  </si>
  <si>
    <t xml:space="preserve">BSc in information technology </t>
  </si>
  <si>
    <t>Narok ICT Department</t>
  </si>
  <si>
    <t>RONOLINE CHERUIYOT</t>
  </si>
  <si>
    <t>Narok</t>
  </si>
  <si>
    <t>ronoline.Cheruiyot@icta.go.ke</t>
  </si>
  <si>
    <t>Jacinta Cherono Ngetich</t>
  </si>
  <si>
    <t>PA106/G/17447/22</t>
  </si>
  <si>
    <t>LISH LIMITED</t>
  </si>
  <si>
    <t>JOE KARANJA</t>
  </si>
  <si>
    <t>NAKURU</t>
  </si>
  <si>
    <t>info@lishailabs.com</t>
  </si>
  <si>
    <t>Jacinta Wachala</t>
  </si>
  <si>
    <t>CT101/G/12473/21</t>
  </si>
  <si>
    <t>BSC.COMPUTER SCIENCE</t>
  </si>
  <si>
    <t>FIDELITY SHIELD INSURANCE COMPANY</t>
  </si>
  <si>
    <t>LILIAN WANAMI</t>
  </si>
  <si>
    <t xml:space="preserve">KISUMU </t>
  </si>
  <si>
    <t>lwanami@fidelityshield.com</t>
  </si>
  <si>
    <t xml:space="preserve">Jack Samuel Omolo </t>
  </si>
  <si>
    <t>PA106/G/17561/22</t>
  </si>
  <si>
    <t xml:space="preserve">Office of the Data Protection Commissioner </t>
  </si>
  <si>
    <t>Jilo Iya</t>
  </si>
  <si>
    <t xml:space="preserve">Britam Towers, Upperhill Nairobi </t>
  </si>
  <si>
    <t>info@odpc.go.ke</t>
  </si>
  <si>
    <t xml:space="preserve">JAIRO MURAVWA MEIGE </t>
  </si>
  <si>
    <t>PA107/G/14456/21</t>
  </si>
  <si>
    <t xml:space="preserve">BSc.Computer systems Engineering </t>
  </si>
  <si>
    <t xml:space="preserve">COUNTY GOVERNMENT OF KAKAMEGA </t>
  </si>
  <si>
    <t>MR. WILLIAM SHIVINA</t>
  </si>
  <si>
    <t xml:space="preserve">LUMAKANDA </t>
  </si>
  <si>
    <t xml:space="preserve">Jalion Nyakundi </t>
  </si>
  <si>
    <t>CT101/G/14156/21</t>
  </si>
  <si>
    <t>Moretouchy company</t>
  </si>
  <si>
    <t>Job Marube</t>
  </si>
  <si>
    <t>Kisii</t>
  </si>
  <si>
    <t>info@muyog.org</t>
  </si>
  <si>
    <t>James Githiru macharia</t>
  </si>
  <si>
    <t>ct100/G/10559/20</t>
  </si>
  <si>
    <t>kerugoya  County referral hospital</t>
  </si>
  <si>
    <t>Geoffrey Gachoka</t>
  </si>
  <si>
    <t>kerugoya</t>
  </si>
  <si>
    <t>James Kamau</t>
  </si>
  <si>
    <t>PA101/G/13846/21</t>
  </si>
  <si>
    <t>BSC Mathmatics and computer science</t>
  </si>
  <si>
    <t>NCPB</t>
  </si>
  <si>
    <t>Madam Agnes</t>
  </si>
  <si>
    <t>infor@ncpb.co.ke</t>
  </si>
  <si>
    <t>JAMIN EBEI</t>
  </si>
  <si>
    <t>PA101/G/14392</t>
  </si>
  <si>
    <t>Bsc.mathematics and computer science</t>
  </si>
  <si>
    <t>JASON MACHARIA</t>
  </si>
  <si>
    <t>CT100/G/14130/21</t>
  </si>
  <si>
    <t>Bsc Information technology</t>
  </si>
  <si>
    <t>TechSavanna Company Limited</t>
  </si>
  <si>
    <t>MADAM SHARON</t>
  </si>
  <si>
    <t>Reliance Centre,Nairobi</t>
  </si>
  <si>
    <t>0700 106077</t>
  </si>
  <si>
    <t>info@techsavanna.technology</t>
  </si>
  <si>
    <t xml:space="preserve">JAYSON KUNG'U KIARIE </t>
  </si>
  <si>
    <t>PA106/G/17460/22</t>
  </si>
  <si>
    <t xml:space="preserve">BSC.Software Engineering </t>
  </si>
  <si>
    <t>DIMKES SACCO</t>
  </si>
  <si>
    <t>JAMES GATIMU</t>
  </si>
  <si>
    <t>kiambu</t>
  </si>
  <si>
    <t>info@dimkessacco.co.ke</t>
  </si>
  <si>
    <t>Jerry Tovicko Opiyo</t>
  </si>
  <si>
    <t>PA107/G/11737/20</t>
  </si>
  <si>
    <t xml:space="preserve">BSC. COMPUTER SYSTEMS ENGINEERING </t>
  </si>
  <si>
    <t>Kamgundho Primary School</t>
  </si>
  <si>
    <t>Jackim Obura</t>
  </si>
  <si>
    <t>Migori</t>
  </si>
  <si>
    <t>JOEL ONKWARE MIKURO</t>
  </si>
  <si>
    <t>CT101/G/16068/22</t>
  </si>
  <si>
    <t xml:space="preserve">BCS. COMPUTER SCIENCE </t>
  </si>
  <si>
    <t>NATIONAL  SOCIAL SECURITY FUND</t>
  </si>
  <si>
    <t xml:space="preserve">JOEL ONKWARE MIKURO </t>
  </si>
  <si>
    <t xml:space="preserve">BSC. COMPUTER SCIENCE </t>
  </si>
  <si>
    <t xml:space="preserve">NATIONAL SOCIAL SECURITY FUND </t>
  </si>
  <si>
    <t>Lilian siparo</t>
  </si>
  <si>
    <t xml:space="preserve">Nairobi Westlands </t>
  </si>
  <si>
    <t xml:space="preserve">nssf.westlands@nssfkenya.co.ke
</t>
  </si>
  <si>
    <t>JOHN GICHUKI MUGO</t>
  </si>
  <si>
    <t>PA100/G/13422/21</t>
  </si>
  <si>
    <t>COUNTY GOVERNMENT OF NYERI</t>
  </si>
  <si>
    <t>SIR PETER MWANGI</t>
  </si>
  <si>
    <t>kilimonyeri@gmail.com</t>
  </si>
  <si>
    <t>John Ochieng</t>
  </si>
  <si>
    <t>PA106/G/7888/19</t>
  </si>
  <si>
    <t xml:space="preserve">Rift Valley Training Insitute </t>
  </si>
  <si>
    <t>JOHN PAUL OUMA</t>
  </si>
  <si>
    <t>PA100 /G/13420/21</t>
  </si>
  <si>
    <t xml:space="preserve">Johnlarson wanyama </t>
  </si>
  <si>
    <t>PA107/G/14457/21</t>
  </si>
  <si>
    <t xml:space="preserve">Bsc. COMPUTER SYSTEM ENGINEERING </t>
  </si>
  <si>
    <t xml:space="preserve">kenya medical training collage </t>
  </si>
  <si>
    <t>Mr.kepha</t>
  </si>
  <si>
    <t xml:space="preserve">Lugari </t>
  </si>
  <si>
    <t>lugari@kmtc.ac.ke</t>
  </si>
  <si>
    <t>Joram Barasa Chikamai</t>
  </si>
  <si>
    <t>PA101/G/7444/19</t>
  </si>
  <si>
    <t>Mp-Shah Hospital</t>
  </si>
  <si>
    <t>info@mpshahhosp.org</t>
  </si>
  <si>
    <t>Jordan Musera</t>
  </si>
  <si>
    <t>PA106/G/17556/22</t>
  </si>
  <si>
    <t>Kitale Technical College</t>
  </si>
  <si>
    <t>kitaletchnical19@gmail.com</t>
  </si>
  <si>
    <t>JOSEPH MUKURU MWANGI</t>
  </si>
  <si>
    <t>CT101/G/17338/22</t>
  </si>
  <si>
    <t>MATHENGE TECHNICAL TRAINING INSTITUTE</t>
  </si>
  <si>
    <t>VICTOR KAMAU</t>
  </si>
  <si>
    <t xml:space="preserve">OTHAYA </t>
  </si>
  <si>
    <t>info@mathengetti.ac.ke</t>
  </si>
  <si>
    <t>Joseph Mungai</t>
  </si>
  <si>
    <t>PA100/G/13423/21</t>
  </si>
  <si>
    <t xml:space="preserve"> JOHN KIPKORIR</t>
  </si>
  <si>
    <t>Joseph Mwendwa Ngina</t>
  </si>
  <si>
    <t>PA109/G/14484/21</t>
  </si>
  <si>
    <t>County Government Of Kirinyaga</t>
  </si>
  <si>
    <t xml:space="preserve">JOSEPH NDERITU </t>
  </si>
  <si>
    <t>PA106/G/17438/22</t>
  </si>
  <si>
    <t xml:space="preserve">Kenya Forest service </t>
  </si>
  <si>
    <t>MOSES SARUNI</t>
  </si>
  <si>
    <t xml:space="preserve">Nyandarua </t>
  </si>
  <si>
    <t>zmnyandarua@kenyaforestservice.org</t>
  </si>
  <si>
    <t>joseph njenga</t>
  </si>
  <si>
    <t>CT100/G/14036/21</t>
  </si>
  <si>
    <t>Bsc. information technology</t>
  </si>
  <si>
    <t>National health insurance fund</t>
  </si>
  <si>
    <t>Caroline kariuki</t>
  </si>
  <si>
    <t>kerogoya</t>
  </si>
  <si>
    <t>kerogoya@nhif.or.ke</t>
  </si>
  <si>
    <t>Joseph Wanjiru</t>
  </si>
  <si>
    <t>PA101/G/14348/21</t>
  </si>
  <si>
    <t xml:space="preserve">Bsc. mathematics and computer science </t>
  </si>
  <si>
    <t xml:space="preserve">Mr Kariuki </t>
  </si>
  <si>
    <t>kutus</t>
  </si>
  <si>
    <t>info@kirinyaga.go.ke::</t>
  </si>
  <si>
    <t>Joshua Musira</t>
  </si>
  <si>
    <t>PA106/G/14979/21</t>
  </si>
  <si>
    <t>Sankhyana Consultancy Services</t>
  </si>
  <si>
    <t>Cecilia Nekesa</t>
  </si>
  <si>
    <t>info@sankhyana.com</t>
  </si>
  <si>
    <t>Josiah Nyamai Munguti</t>
  </si>
  <si>
    <t>PA101/G/14369/21</t>
  </si>
  <si>
    <t>Avenue Hospital</t>
  </si>
  <si>
    <t>Ruth Kabiri</t>
  </si>
  <si>
    <t>Parklands</t>
  </si>
  <si>
    <t>info@avenuehealthcare.com</t>
  </si>
  <si>
    <t xml:space="preserve">Joyce Njeri Mwangi </t>
  </si>
  <si>
    <t>CT101/G/12353/21</t>
  </si>
  <si>
    <t xml:space="preserve">Bsc.Computer Science </t>
  </si>
  <si>
    <t xml:space="preserve">Harambee House </t>
  </si>
  <si>
    <t>Francis Maguo</t>
  </si>
  <si>
    <t>Joyce Wambui Njoki</t>
  </si>
  <si>
    <t>CT102/G/13843/21</t>
  </si>
  <si>
    <t>Juma Emmanuel Frank</t>
  </si>
  <si>
    <t>CT101/G/16058/22</t>
  </si>
  <si>
    <t>BSC Computer Science</t>
  </si>
  <si>
    <t>Mutall Data Managers</t>
  </si>
  <si>
    <t xml:space="preserve">Juma Nyambura Lilian </t>
  </si>
  <si>
    <t>CT101 /G/10523 /20</t>
  </si>
  <si>
    <t xml:space="preserve">Bsc computer science </t>
  </si>
  <si>
    <t xml:space="preserve">PCEA Nakuru West College </t>
  </si>
  <si>
    <t>Samuel ndungu</t>
  </si>
  <si>
    <t xml:space="preserve">Nakuru </t>
  </si>
  <si>
    <t xml:space="preserve">info@pceamedicalcollege.ac.ke </t>
  </si>
  <si>
    <t xml:space="preserve">Jumamosi Mike Alwang'a </t>
  </si>
  <si>
    <t>PA106/G/17547/22</t>
  </si>
  <si>
    <t xml:space="preserve">Bsc Software engineering </t>
  </si>
  <si>
    <t>Ngenx Solutions Limited</t>
  </si>
  <si>
    <t>Carol Nabulo</t>
  </si>
  <si>
    <t>info@ngenx.io</t>
  </si>
  <si>
    <t>Karanja Isaac Richu</t>
  </si>
  <si>
    <t>PA106/G/17680/22</t>
  </si>
  <si>
    <t>THALES SOFTWARE SOLUTIONS</t>
  </si>
  <si>
    <t>info@itea4.org</t>
  </si>
  <si>
    <t>KARANJA ISAAC RICHU</t>
  </si>
  <si>
    <t xml:space="preserve">KARIUKI DENNIS MUKUNA </t>
  </si>
  <si>
    <t>CT100/G/14116/21</t>
  </si>
  <si>
    <t xml:space="preserve">Nakuru level 5/6 Hospital </t>
  </si>
  <si>
    <t xml:space="preserve">Humphrey </t>
  </si>
  <si>
    <t>rvpghnakuru@yahoo.com</t>
  </si>
  <si>
    <t>Kariuki Joseph Kibue</t>
  </si>
  <si>
    <t>PA109/G/14529/21</t>
  </si>
  <si>
    <t xml:space="preserve">KENYA INSTITUTE OF SECURITY AND CRIMINAL JUSTICE </t>
  </si>
  <si>
    <t>Mrs . Mary</t>
  </si>
  <si>
    <t xml:space="preserve">Nairobi , Hazina Towers </t>
  </si>
  <si>
    <t>info@kiscj.ac.ke</t>
  </si>
  <si>
    <t>KARIUKI PHILIP NDUNGU</t>
  </si>
  <si>
    <t>PA106/G/16711/22</t>
  </si>
  <si>
    <t>KELVIN RONO</t>
  </si>
  <si>
    <t>PA106/G/17512/22</t>
  </si>
  <si>
    <t>TRIGAGA TEA FACTORY LTD</t>
  </si>
  <si>
    <t>BOMET</t>
  </si>
  <si>
    <r>
      <rPr>
        <b/>
        <sz val="10"/>
        <rFont val="Arial"/>
      </rPr>
      <t>info@trigaga,</t>
    </r>
    <r>
      <rPr>
        <b/>
        <u/>
        <sz val="10"/>
        <color rgb="FF1155CC"/>
        <rFont val="Arial"/>
      </rPr>
      <t>ktdateas.com</t>
    </r>
  </si>
  <si>
    <t>KENLEWIS MOMANYI MOSAISI</t>
  </si>
  <si>
    <t>CT100/G/14163/21</t>
  </si>
  <si>
    <t xml:space="preserve">ICT AUTHORITY </t>
  </si>
  <si>
    <t>ISAIAH OLUOCH</t>
  </si>
  <si>
    <t>Nairobi CBD,Teleposter Towers 12th Floor</t>
  </si>
  <si>
    <t>O206676300</t>
  </si>
  <si>
    <t>info@ict.go.ke</t>
  </si>
  <si>
    <t xml:space="preserve">KENNEDY KIPCHIRCHIR KISIARA </t>
  </si>
  <si>
    <t>PA100/G/10632/20</t>
  </si>
  <si>
    <t xml:space="preserve">COUNTY GOVERNMENT OF KERICHO </t>
  </si>
  <si>
    <t>ALEX TANUI</t>
  </si>
  <si>
    <t xml:space="preserve">KERICHO </t>
  </si>
  <si>
    <t>info@kericho.go.ke</t>
  </si>
  <si>
    <t>Kennedy Mwangi mwaniki</t>
  </si>
  <si>
    <t>PA106/G/15027/21</t>
  </si>
  <si>
    <t>kelvin Comba</t>
  </si>
  <si>
    <t>Kephar Moses Amutsa</t>
  </si>
  <si>
    <t>PA106/G/15026/21</t>
  </si>
  <si>
    <t>BSC Software Enginnering</t>
  </si>
  <si>
    <t>Kelvin Comba</t>
  </si>
  <si>
    <t>Keren Mumbi</t>
  </si>
  <si>
    <t>PA106/G/17433/22</t>
  </si>
  <si>
    <t xml:space="preserve">Craydel Kenya Limited </t>
  </si>
  <si>
    <t>Joseph Maina</t>
  </si>
  <si>
    <t>info@</t>
  </si>
  <si>
    <t xml:space="preserve">Kevin Brian Ndungu </t>
  </si>
  <si>
    <t>Ct101/G/16050/22</t>
  </si>
  <si>
    <t xml:space="preserve">Egerton University </t>
  </si>
  <si>
    <t xml:space="preserve">Bernard Kimani </t>
  </si>
  <si>
    <t>NAKURU Njoro</t>
  </si>
  <si>
    <t>registrar.hca.@egerton.ac.ke</t>
  </si>
  <si>
    <t>KEVIN KIMANI</t>
  </si>
  <si>
    <t>CT100/G/14053/21</t>
  </si>
  <si>
    <t>Bsc Information Technology</t>
  </si>
  <si>
    <t>Victor</t>
  </si>
  <si>
    <t>Khaemba Jackton Mulongo</t>
  </si>
  <si>
    <t>PA106/G/17552/22</t>
  </si>
  <si>
    <t>Bsc. software engineering</t>
  </si>
  <si>
    <t>Nzoia Sugar Company</t>
  </si>
  <si>
    <t>kiarie serah wanjiru</t>
  </si>
  <si>
    <t>PA106/G/14950/21</t>
  </si>
  <si>
    <t>bsc software engineering</t>
  </si>
  <si>
    <t>Kibet Noel Sang</t>
  </si>
  <si>
    <t>PA102/G/12278/21</t>
  </si>
  <si>
    <t>ELDOWAS</t>
  </si>
  <si>
    <t>PETRONILA CHEYUIYOT</t>
  </si>
  <si>
    <t xml:space="preserve">Eldoret </t>
  </si>
  <si>
    <t>eldowas@gmail.com</t>
  </si>
  <si>
    <t>KIBUNJA TIMOTHY</t>
  </si>
  <si>
    <t>PA106/G/17474/22</t>
  </si>
  <si>
    <t xml:space="preserve">GATUNDU ICT CENTER </t>
  </si>
  <si>
    <t>DUNCAN MUTHAMI</t>
  </si>
  <si>
    <t>Gatundu,Kiambu</t>
  </si>
  <si>
    <t>duncanmuthami92@gmail.com</t>
  </si>
  <si>
    <t xml:space="preserve">KIGORO PAUL NJUGUNA </t>
  </si>
  <si>
    <t>CT100/G/14033/21</t>
  </si>
  <si>
    <t>BSC. INFORMATION TECHNOLOGY</t>
  </si>
  <si>
    <t>MURANG'A UNIVERSITY OF TECHNOLOGY</t>
  </si>
  <si>
    <t>RICHARD KHAMALI</t>
  </si>
  <si>
    <t>MURANG'A TOWN</t>
  </si>
  <si>
    <t>info@mut.ac.ke</t>
  </si>
  <si>
    <t xml:space="preserve">KIMATHI BRIAN MWITI </t>
  </si>
  <si>
    <t>CT101/G/16041/22</t>
  </si>
  <si>
    <t xml:space="preserve">FLAMINGO HORTICULTURE LIMITED </t>
  </si>
  <si>
    <t xml:space="preserve">Allan jumba </t>
  </si>
  <si>
    <t xml:space="preserve">Nanyuki </t>
  </si>
  <si>
    <t>info@flamingo.net</t>
  </si>
  <si>
    <t>KIOKO ALEXANDER MUUO</t>
  </si>
  <si>
    <t>CT101/G/12417/21</t>
  </si>
  <si>
    <t>ICT AUTHORITY KITUI COUNTY OFFICE</t>
  </si>
  <si>
    <t>NICHOLAS BABU</t>
  </si>
  <si>
    <t>KITUI (Kitui county commissioner's offices)</t>
  </si>
  <si>
    <t>info@icta.go.ke</t>
  </si>
  <si>
    <t>Kipkirui solomon Ngeno</t>
  </si>
  <si>
    <t>pa106/g/15469/21</t>
  </si>
  <si>
    <t>COUNTY GOVERMENT OF NAIROBI</t>
  </si>
  <si>
    <t>DAMARIS KIMATA</t>
  </si>
  <si>
    <t>INFO@NAIROBI.CO.KE</t>
  </si>
  <si>
    <t>KIPKORIR VICTOR PEACE</t>
  </si>
  <si>
    <t>PA106/G/13437/21</t>
  </si>
  <si>
    <t>BSC.SOFTWARE ENGINEERING</t>
  </si>
  <si>
    <t xml:space="preserve">TEACH2GIVE </t>
  </si>
  <si>
    <t>Kipkurui Laban Langat</t>
  </si>
  <si>
    <t>PA106/G/17533/22</t>
  </si>
  <si>
    <t>East African Portland Cement PLC</t>
  </si>
  <si>
    <t>Rose Boen</t>
  </si>
  <si>
    <t xml:space="preserve">Athi River, Machakos </t>
  </si>
  <si>
    <t>(254) 709 835 000/001</t>
  </si>
  <si>
    <t>info@eapcc.co.ke</t>
  </si>
  <si>
    <t>KIPLAGAT DAN KIMUTAI</t>
  </si>
  <si>
    <t>PA106/17549/22</t>
  </si>
  <si>
    <t>zeno Computers</t>
  </si>
  <si>
    <t>MOMBASA</t>
  </si>
  <si>
    <t>zenocomputer254@gmail.com</t>
  </si>
  <si>
    <t xml:space="preserve">kiplagat Vincent bett </t>
  </si>
  <si>
    <t>CT100/G/14123/21</t>
  </si>
  <si>
    <t>County government of uasin gishu</t>
  </si>
  <si>
    <t xml:space="preserve">shadrack tamabut </t>
  </si>
  <si>
    <t>Info@uasingishu.go.ke</t>
  </si>
  <si>
    <t>KIPNGENO DENNIS LANGAT</t>
  </si>
  <si>
    <t>PA109/G/14517/21</t>
  </si>
  <si>
    <t xml:space="preserve">  NDEGE CHAI SACCO</t>
  </si>
  <si>
    <t>Robert Koech</t>
  </si>
  <si>
    <t>0522030121/0522030592</t>
  </si>
  <si>
    <t>info@ndegechaisacco.com</t>
  </si>
  <si>
    <t xml:space="preserve">Kiprotich Kipsang Evans </t>
  </si>
  <si>
    <t>PA101/G/14411/21</t>
  </si>
  <si>
    <t>BSC. mathematics and computer science</t>
  </si>
  <si>
    <t xml:space="preserve">Chepsirei technical and vocational college </t>
  </si>
  <si>
    <t>PATRICK  TARUS</t>
  </si>
  <si>
    <t>Elgeyo marakwet ,kimwarer</t>
  </si>
  <si>
    <t>chepsireitvc@gmail.com</t>
  </si>
  <si>
    <t>Kiptoo Emmanuel</t>
  </si>
  <si>
    <t>PA106/G/15008/21</t>
  </si>
  <si>
    <t xml:space="preserve">Teach2give </t>
  </si>
  <si>
    <t>Kirui Abdi</t>
  </si>
  <si>
    <t>PA106/G/17519/22</t>
  </si>
  <si>
    <t xml:space="preserve">Mrs Brenda </t>
  </si>
  <si>
    <t>KITHITA SAMUEL WANE</t>
  </si>
  <si>
    <t>CT101/G/16038/22</t>
  </si>
  <si>
    <t xml:space="preserve">Bsc Computer Science </t>
  </si>
  <si>
    <t xml:space="preserve">Joetech General Supplies Limited </t>
  </si>
  <si>
    <t xml:space="preserve">Peter Mutua Musau </t>
  </si>
  <si>
    <t>info@joetechltd.co.ke</t>
  </si>
  <si>
    <t>CT101/G/1603822</t>
  </si>
  <si>
    <t xml:space="preserve">JOETECH GENERAL SUPPLIES LIMITED </t>
  </si>
  <si>
    <t>Peter Mutua Musau</t>
  </si>
  <si>
    <t xml:space="preserve">KIVIU DENNIS </t>
  </si>
  <si>
    <t>PA107/G/8386/20</t>
  </si>
  <si>
    <t xml:space="preserve">JUSNET BUSINESS INSTITUTE </t>
  </si>
  <si>
    <t>Mr AMANI MWINGA</t>
  </si>
  <si>
    <t>MALINDI</t>
  </si>
  <si>
    <t>jusnetcollege@ymail.com</t>
  </si>
  <si>
    <t xml:space="preserve">kuria James </t>
  </si>
  <si>
    <t>PA101/G/12319/21</t>
  </si>
  <si>
    <t xml:space="preserve">BSC Mathematics and computer science </t>
  </si>
  <si>
    <t xml:space="preserve">muki sacco society </t>
  </si>
  <si>
    <t xml:space="preserve">Philip maina </t>
  </si>
  <si>
    <t xml:space="preserve">ndunyu njeru </t>
  </si>
  <si>
    <t>info@muki sacco.co.ke</t>
  </si>
  <si>
    <t>KWEYU DELRON MUYALE</t>
  </si>
  <si>
    <t>PA106/G/17554/22</t>
  </si>
  <si>
    <t>BSc. Software Engineering</t>
  </si>
  <si>
    <t>Ministry of Investiment, Trade and Industry</t>
  </si>
  <si>
    <t>Felix Kinyua</t>
  </si>
  <si>
    <t xml:space="preserve">LAGAT KIPKEMOI </t>
  </si>
  <si>
    <t>CT100/G/14132/21</t>
  </si>
  <si>
    <t xml:space="preserve">ELDAMA RAVINE KAREN ROSES </t>
  </si>
  <si>
    <t>MARTÍN BUNDOTICH</t>
  </si>
  <si>
    <t xml:space="preserve">ELDAMA RAVINE </t>
  </si>
  <si>
    <t>Sales@karenroses.com</t>
  </si>
  <si>
    <t xml:space="preserve">Lawrence Gathirwa Muchiri </t>
  </si>
  <si>
    <t>CT101/G/16026/22</t>
  </si>
  <si>
    <t xml:space="preserve">kerugoya County referral hospital </t>
  </si>
  <si>
    <t xml:space="preserve">kerugoya </t>
  </si>
  <si>
    <t>Leon Nyabuto</t>
  </si>
  <si>
    <t>PA106/G/17576/22</t>
  </si>
  <si>
    <t>Kaptembwa Angaza</t>
  </si>
  <si>
    <t xml:space="preserve">Japeth </t>
  </si>
  <si>
    <t>nuabutoleaon22@gmail.com</t>
  </si>
  <si>
    <t xml:space="preserve">lewis mutwiri </t>
  </si>
  <si>
    <t>PA109/g/15331/21</t>
  </si>
  <si>
    <t xml:space="preserve">Bsc.financial Engineering </t>
  </si>
  <si>
    <t>Ngo coordination board</t>
  </si>
  <si>
    <t xml:space="preserve">Mr Chris </t>
  </si>
  <si>
    <t>info@ngobureau.go.ke</t>
  </si>
  <si>
    <t>NJERU PAMELA MUTHONI</t>
  </si>
  <si>
    <t xml:space="preserve">Lewis Saidimu kipukel </t>
  </si>
  <si>
    <t>PA106/G/10979/20</t>
  </si>
  <si>
    <t>LUKAS MUGAMBI MWANGI</t>
  </si>
  <si>
    <t>PA106/G/17526/22</t>
  </si>
  <si>
    <t>LINKSYSCOM MEDIA</t>
  </si>
  <si>
    <t xml:space="preserve"> REGINALD WAYNE</t>
  </si>
  <si>
    <t>MOLO</t>
  </si>
  <si>
    <t>info@linksys.co.ke</t>
  </si>
  <si>
    <t>MAGUTA EDGAR AMOS M.</t>
  </si>
  <si>
    <t>C101/G/13841/21</t>
  </si>
  <si>
    <t>Bsc. Computer Science</t>
  </si>
  <si>
    <t>(254)705803328</t>
  </si>
  <si>
    <t>NSSF THIKA</t>
  </si>
  <si>
    <t>JOHN KARIUKI</t>
  </si>
  <si>
    <t xml:space="preserve">THIKA </t>
  </si>
  <si>
    <t>(020)2710552</t>
  </si>
  <si>
    <t>info@nssfkenya.co.ke</t>
  </si>
  <si>
    <t>Maina Austin Kuria</t>
  </si>
  <si>
    <t>PA106/G/14998/21</t>
  </si>
  <si>
    <t>Hope Kamau</t>
  </si>
  <si>
    <t>Maina Ifan Nyakundi</t>
  </si>
  <si>
    <t>PA106/G/17563/22</t>
  </si>
  <si>
    <t>Teach2give</t>
  </si>
  <si>
    <t>Maina S Wachira</t>
  </si>
  <si>
    <t>PA106/G/14962/21</t>
  </si>
  <si>
    <t xml:space="preserve">Paveeria Tech Solutions </t>
  </si>
  <si>
    <t>Paul Moni</t>
  </si>
  <si>
    <t xml:space="preserve">Nyeri Town </t>
  </si>
  <si>
    <t>careers@paveeriatechsolutions.co.ke</t>
  </si>
  <si>
    <t xml:space="preserve">MAINYA BRIAN </t>
  </si>
  <si>
    <t>PA101/G/13333/21</t>
  </si>
  <si>
    <t>BSC. Mathematics and Computer Science</t>
  </si>
  <si>
    <t>KERUGOYA LAW COURT</t>
  </si>
  <si>
    <t>DAVID WANDATI</t>
  </si>
  <si>
    <t>MAJANI EUGEN BARAKA</t>
  </si>
  <si>
    <t>CT101/G/12479/21</t>
  </si>
  <si>
    <t>Systems Reengineered</t>
  </si>
  <si>
    <t>Vincent Koech</t>
  </si>
  <si>
    <t>Nairobi, Westlands</t>
  </si>
  <si>
    <t>info@sysre.co.ke</t>
  </si>
  <si>
    <t>MAKOKHA KWEYU SADIKI</t>
  </si>
  <si>
    <t>PA107/G/14460/21</t>
  </si>
  <si>
    <t>BSC.COMPUTER SYSTEM ENGINEERING</t>
  </si>
  <si>
    <t>infor@teach2give.com</t>
  </si>
  <si>
    <t xml:space="preserve">Margaret njeri ndiritu </t>
  </si>
  <si>
    <t>CT100/G/15443/21</t>
  </si>
  <si>
    <t xml:space="preserve">BSc  information technology </t>
  </si>
  <si>
    <t xml:space="preserve">county government of kirinyaga </t>
  </si>
  <si>
    <t>Mr kariuki</t>
  </si>
  <si>
    <t>Mark Kilunda</t>
  </si>
  <si>
    <t>PA100/G/13390/21</t>
  </si>
  <si>
    <t>SAFRA DATA SCIENCE,NAIROBI</t>
  </si>
  <si>
    <t>MR NGANGA NGARUIYA</t>
  </si>
  <si>
    <t>Martin Kamande Mwangi</t>
  </si>
  <si>
    <t>CT101/G/12373</t>
  </si>
  <si>
    <t xml:space="preserve">Martin Kipngeno </t>
  </si>
  <si>
    <t>PA109/G/14504/21</t>
  </si>
  <si>
    <t xml:space="preserve">BSC Financial engineering </t>
  </si>
  <si>
    <t>(+254)758477470</t>
  </si>
  <si>
    <t xml:space="preserve">Simba Chai Sacco </t>
  </si>
  <si>
    <t>Ruskio Drenge</t>
  </si>
  <si>
    <t>Kericho town</t>
  </si>
  <si>
    <t>(+254)708005555</t>
  </si>
  <si>
    <t>info@simbachaisacco.co.ke</t>
  </si>
  <si>
    <t>Mary Waithira Ndung'u</t>
  </si>
  <si>
    <t>PA101/G/10605/20</t>
  </si>
  <si>
    <t>BSC Mathematics and Computer Science</t>
  </si>
  <si>
    <t xml:space="preserve">Agricultural Finance Corporation </t>
  </si>
  <si>
    <t>Martin Wachira</t>
  </si>
  <si>
    <t>Loitokitok</t>
  </si>
  <si>
    <t>info@agrifinance.org</t>
  </si>
  <si>
    <t>MARYAM WANJIRU</t>
  </si>
  <si>
    <t>PA100/G/13386/21</t>
  </si>
  <si>
    <t>Bsc. Satistics</t>
  </si>
  <si>
    <t>(+254)713085158</t>
  </si>
  <si>
    <t>National Social security Fund</t>
  </si>
  <si>
    <t>(+254)737409471</t>
  </si>
  <si>
    <t>Mati morris mawira</t>
  </si>
  <si>
    <t>PA101/G/15358/21</t>
  </si>
  <si>
    <t>Context Expert Agencies ltd</t>
  </si>
  <si>
    <t>stephen ngunjiri</t>
  </si>
  <si>
    <t>Ruiru, Kiambu</t>
  </si>
  <si>
    <t>Mayaka Maureen Nyang'ara</t>
  </si>
  <si>
    <t>PA101/G/13500/21</t>
  </si>
  <si>
    <t>KEYMDEN SOLUTIONS</t>
  </si>
  <si>
    <t>Dennis Micheni</t>
  </si>
  <si>
    <t>Ngong-Lane plaza, Ngong-road</t>
  </si>
  <si>
    <t>info@keymdensolutions.com</t>
  </si>
  <si>
    <t xml:space="preserve">MBITHI JESSICA </t>
  </si>
  <si>
    <t>CT100/G/14059/21</t>
  </si>
  <si>
    <t>KENYA PIPELINE COMPANY LIMITED (PS1 Changamwe Terminal)</t>
  </si>
  <si>
    <t>CARO ABILA</t>
  </si>
  <si>
    <t>Old Magongo Road,ChangamweMombasa</t>
  </si>
  <si>
    <t>info@kpc.co.ke</t>
  </si>
  <si>
    <t>Mburu kevin kamau</t>
  </si>
  <si>
    <t>PA106/G/17500/22</t>
  </si>
  <si>
    <t>Zetech University</t>
  </si>
  <si>
    <t>info@zetech.ac.ke</t>
  </si>
  <si>
    <t>Meltus Bwire</t>
  </si>
  <si>
    <t>PA101/G/5904/18</t>
  </si>
  <si>
    <t>The Scout Global Technologies Limited</t>
  </si>
  <si>
    <t>Betty Kamanthe</t>
  </si>
  <si>
    <t>melvin jeptoo kiplimo</t>
  </si>
  <si>
    <t>PA106/G/17442/22</t>
  </si>
  <si>
    <t>Merab Wanza</t>
  </si>
  <si>
    <t>PA101/G/14372/21</t>
  </si>
  <si>
    <t>mercy chemuruny lorwata</t>
  </si>
  <si>
    <t>PA100/G/15422/21</t>
  </si>
  <si>
    <t>national social security fund</t>
  </si>
  <si>
    <t>Joseph p. lenanguram</t>
  </si>
  <si>
    <t xml:space="preserve">KAPENGURIA,west pokot </t>
  </si>
  <si>
    <t>Mercy Kasyoka Musyoka</t>
  </si>
  <si>
    <t>PA109/G/14509/21</t>
  </si>
  <si>
    <t>KEMRI HQ</t>
  </si>
  <si>
    <t xml:space="preserve">Mr Gabriel </t>
  </si>
  <si>
    <t>2540202722541 ,0722205901</t>
  </si>
  <si>
    <t>corporateservices@kemri.go.ke</t>
  </si>
  <si>
    <t xml:space="preserve">Meshack Mumo Musyimi </t>
  </si>
  <si>
    <t>CT101/G/12396/21</t>
  </si>
  <si>
    <t>masyopnet technology kitui</t>
  </si>
  <si>
    <t>peter</t>
  </si>
  <si>
    <t>kitui</t>
  </si>
  <si>
    <t>Mike Kimaru</t>
  </si>
  <si>
    <t>PA106/G/17470/22</t>
  </si>
  <si>
    <t xml:space="preserve">Bsc Software Engineer </t>
  </si>
  <si>
    <t xml:space="preserve">Impax Business Solutions </t>
  </si>
  <si>
    <t>Alex</t>
  </si>
  <si>
    <t>info@impaxafrica.com</t>
  </si>
  <si>
    <t>A</t>
  </si>
  <si>
    <t xml:space="preserve">MIKEALLAN GWAKO MASESE </t>
  </si>
  <si>
    <t>PA106/G/15084/21</t>
  </si>
  <si>
    <t xml:space="preserve">LIQUID TECH </t>
  </si>
  <si>
    <t xml:space="preserve">ENG. EDMOND MARIENGA </t>
  </si>
  <si>
    <t xml:space="preserve">NAIROBI </t>
  </si>
  <si>
    <t>liquidinfo@liquidtelecom.com</t>
  </si>
  <si>
    <t>MOGAKA WILFRED</t>
  </si>
  <si>
    <t>PA102/G/11510/20</t>
  </si>
  <si>
    <t>BSC ACTURIAL SCIENCE</t>
  </si>
  <si>
    <t>WAKENYA PAMOJA SACCO</t>
  </si>
  <si>
    <t>Dennis Momanyi</t>
  </si>
  <si>
    <t>KISII</t>
  </si>
  <si>
    <t>wpsacco@wakenyapamojasacco.com</t>
  </si>
  <si>
    <t>Molinta Anyango</t>
  </si>
  <si>
    <t>APENIA Modern Banking for Africans</t>
  </si>
  <si>
    <t>Veronicah Wambui Ngatia</t>
  </si>
  <si>
    <t>Nairobi,Kenyatta University</t>
  </si>
  <si>
    <t>infor@apenia.com</t>
  </si>
  <si>
    <t>MORARA POLYCARB BARONGO</t>
  </si>
  <si>
    <t>CT100/G/14150/21</t>
  </si>
  <si>
    <t>BSC.INFORMATION TECHNOLOGY</t>
  </si>
  <si>
    <t>Morrin wanjiku</t>
  </si>
  <si>
    <t>PA100/G/9026/20</t>
  </si>
  <si>
    <t xml:space="preserve">COUNTY GOVERNMENT OF MÛRANG'A </t>
  </si>
  <si>
    <t xml:space="preserve">Njogu Claire </t>
  </si>
  <si>
    <t xml:space="preserve">Mûrang'a </t>
  </si>
  <si>
    <t>cdpomuranga@gmail.com</t>
  </si>
  <si>
    <t xml:space="preserve">Mramba Emmanuel Mvuko </t>
  </si>
  <si>
    <t>PA106/G/17448/22</t>
  </si>
  <si>
    <t xml:space="preserve">Kenya Port Authority </t>
  </si>
  <si>
    <t>Evern Gari</t>
  </si>
  <si>
    <t>Mombasa</t>
  </si>
  <si>
    <t>254-41-211-2999</t>
  </si>
  <si>
    <t>ca@kpa.co.ke</t>
  </si>
  <si>
    <t xml:space="preserve">Mstafa Mohamed </t>
  </si>
  <si>
    <t>PA100/G/8407/20</t>
  </si>
  <si>
    <t xml:space="preserve">County Government Of Kilifi </t>
  </si>
  <si>
    <t>Abel Haro</t>
  </si>
  <si>
    <t xml:space="preserve">Kilifi </t>
  </si>
  <si>
    <t>planning@kilifi.go.ke</t>
  </si>
  <si>
    <t xml:space="preserve">Muchiri Samuel Kania </t>
  </si>
  <si>
    <t>CT101/G/15526/21</t>
  </si>
  <si>
    <t xml:space="preserve">Wilmas Computers </t>
  </si>
  <si>
    <t xml:space="preserve">Mr Wilson Mwaniki </t>
  </si>
  <si>
    <t>wilmascomputers@gmail.com</t>
  </si>
  <si>
    <t>MUE ERIC</t>
  </si>
  <si>
    <t>PA106/G/G17479/22</t>
  </si>
  <si>
    <t>BSc.SOFTWARE ENGINEERING</t>
  </si>
  <si>
    <t>COUNTY GOVERMENT OF KIRINYAGA</t>
  </si>
  <si>
    <t>KIRINYAGA</t>
  </si>
  <si>
    <t>Mugo Muriithi</t>
  </si>
  <si>
    <t>Ct101/g/12350/21</t>
  </si>
  <si>
    <t>Kenyatta university training research and referral hospital</t>
  </si>
  <si>
    <t>Ict@kutrrh.goke.ke</t>
  </si>
  <si>
    <t>MUHIA FRANCIS NJOROGE</t>
  </si>
  <si>
    <t>PA101/G/14380/21</t>
  </si>
  <si>
    <t>Bsc. Mathematics and Computer science</t>
  </si>
  <si>
    <t>VERITAS BOOKKEEPERS</t>
  </si>
  <si>
    <t>MR.KOSHIK</t>
  </si>
  <si>
    <t>NAIROBI-Westlands</t>
  </si>
  <si>
    <t>info@veritasbookkeepers.com</t>
  </si>
  <si>
    <t xml:space="preserve">Mukati Vivian Nawire </t>
  </si>
  <si>
    <t>PA109/G/14498/21</t>
  </si>
  <si>
    <t>County government of Laikipia</t>
  </si>
  <si>
    <t>Joseph Mwangi</t>
  </si>
  <si>
    <t>info@laikipia.go.ke</t>
  </si>
  <si>
    <t>Mungai Sheilla Njeri</t>
  </si>
  <si>
    <t>PA106/G/15000/21</t>
  </si>
  <si>
    <t>BSc. SE</t>
  </si>
  <si>
    <t xml:space="preserve">Shield International </t>
  </si>
  <si>
    <t>James Mugambi</t>
  </si>
  <si>
    <t>info@shieldintlorg.com</t>
  </si>
  <si>
    <t xml:space="preserve">MURAGE PATRICIA MUTHONI </t>
  </si>
  <si>
    <t>CT100/G/14041/21</t>
  </si>
  <si>
    <t>Mwai Kibaki Hospital - KNH</t>
  </si>
  <si>
    <t>Kevin Baraza</t>
  </si>
  <si>
    <t>OTHAYA</t>
  </si>
  <si>
    <t>knhadmin@knh.or.ke</t>
  </si>
  <si>
    <t>MUSA KAMAU</t>
  </si>
  <si>
    <t>PA106/G/17532/22</t>
  </si>
  <si>
    <t xml:space="preserve">NAKURU LEVEL 5 HOSPITAL (REFERRAL) </t>
  </si>
  <si>
    <t>HUMPHREY MUSAVA</t>
  </si>
  <si>
    <t>rpghnakuru@yahoo.com</t>
  </si>
  <si>
    <t>MUSAU DANIEL MUUO</t>
  </si>
  <si>
    <t>CT100/G/15944/22</t>
  </si>
  <si>
    <t>INFORMATION TECHNOLOGY</t>
  </si>
  <si>
    <t xml:space="preserve"> Teachers service commission</t>
  </si>
  <si>
    <t>Elangata Wuas sub county director JANET KOIKAI</t>
  </si>
  <si>
    <t>BOX 1 MAGADI/KAJIADO</t>
  </si>
  <si>
    <t>Janetkoikai@gmail.com</t>
  </si>
  <si>
    <t>MUTHEE DANIEL MUKURURO</t>
  </si>
  <si>
    <t>CT101/G/16013/22</t>
  </si>
  <si>
    <t>Kiru Tea Factory</t>
  </si>
  <si>
    <t xml:space="preserve"> Mr Nicholas Muraguri</t>
  </si>
  <si>
    <t>Kiria-ini,Muranga</t>
  </si>
  <si>
    <t>info@kiru.ktdateas.com</t>
  </si>
  <si>
    <t>Muthike Anita Margaret Njeri</t>
  </si>
  <si>
    <t>CT100/G/15858/22</t>
  </si>
  <si>
    <t>Bsc.Information Technology</t>
  </si>
  <si>
    <t>KCT Technical College</t>
  </si>
  <si>
    <t>James Mwangi Rama</t>
  </si>
  <si>
    <t>Kibingoti,Kirinyaga</t>
  </si>
  <si>
    <t>jmramah@gmail.com</t>
  </si>
  <si>
    <t>MUTHUI JUDITH MONAH</t>
  </si>
  <si>
    <t>PA106/G/14984/21</t>
  </si>
  <si>
    <t>MWANGI HOLIDAH MUTHONI</t>
  </si>
  <si>
    <t>PA102/G/12211/21</t>
  </si>
  <si>
    <t>ZENO COMPUTERS</t>
  </si>
  <si>
    <t>DAVID MUMBI</t>
  </si>
  <si>
    <t>Mwangi Thuranira Johnson</t>
  </si>
  <si>
    <t>PA106/13972/21</t>
  </si>
  <si>
    <t>BSC  SOFTWARE ENGINEERING</t>
  </si>
  <si>
    <t>MWANIKI COLLINS MWANGI</t>
  </si>
  <si>
    <t>PA101/G/14397/21</t>
  </si>
  <si>
    <t>BSC MATHEMATICS AND COMPUTER SCIENCE</t>
  </si>
  <si>
    <t>EGERTON UNIVERSITY</t>
  </si>
  <si>
    <t>BENARD KIMANI</t>
  </si>
  <si>
    <t>NAKURU, NJORO</t>
  </si>
  <si>
    <t>registar.hca@egerton.ac.ke</t>
  </si>
  <si>
    <t>Mwaniki Tifany Nyawira</t>
  </si>
  <si>
    <t>CT101/G/12438/21</t>
  </si>
  <si>
    <t>Mwaura Lydia wambui</t>
  </si>
  <si>
    <t>PA102/G/12267/21</t>
  </si>
  <si>
    <t xml:space="preserve">Bsc Actuarial science </t>
  </si>
  <si>
    <t xml:space="preserve">Zeno computers </t>
  </si>
  <si>
    <t xml:space="preserve">David Mumbi </t>
  </si>
  <si>
    <t xml:space="preserve">Mombasa </t>
  </si>
  <si>
    <t>Zeno computer 254@gmail.com</t>
  </si>
  <si>
    <t xml:space="preserve">Mwenda Ian Mwenda </t>
  </si>
  <si>
    <t>PA109/G/14494/21</t>
  </si>
  <si>
    <t xml:space="preserve">Ministry of interior and national Administration </t>
  </si>
  <si>
    <t>Joseph Chege</t>
  </si>
  <si>
    <t>feedback@president.go.ke</t>
  </si>
  <si>
    <t>Mwenda Kimathi Brian</t>
  </si>
  <si>
    <t>CT101/G/13323/21</t>
  </si>
  <si>
    <t>Bsc in Computer Science</t>
  </si>
  <si>
    <t>Agricultural Finance Corporation</t>
  </si>
  <si>
    <t>Kelvin Kimathi</t>
  </si>
  <si>
    <t>afcloitokitok@agrifinance.org</t>
  </si>
  <si>
    <t>Nathan Njoroge</t>
  </si>
  <si>
    <t>PA100/G/15431/21</t>
  </si>
  <si>
    <t>Bsc Statistics</t>
  </si>
  <si>
    <t>Anne Kimani</t>
  </si>
  <si>
    <t xml:space="preserve">Kerugoya </t>
  </si>
  <si>
    <t xml:space="preserve">Nathan Trevor </t>
  </si>
  <si>
    <t>PA100/G/13440/21</t>
  </si>
  <si>
    <t xml:space="preserve">BST STATISTICS </t>
  </si>
  <si>
    <t xml:space="preserve">COUNTY GOVERNMENT OF BUNGOMA </t>
  </si>
  <si>
    <t xml:space="preserve">Calvin </t>
  </si>
  <si>
    <t xml:space="preserve">Bungoma </t>
  </si>
  <si>
    <t>bungomacountygovt@gmail.com</t>
  </si>
  <si>
    <t>NDIRITU ANTONY</t>
  </si>
  <si>
    <t>PA101/G/8562/20</t>
  </si>
  <si>
    <t>ALEWAKI INVESTMENT LIMITED</t>
  </si>
  <si>
    <t>MR. MWANGI WANGARI</t>
  </si>
  <si>
    <t>KAGIO</t>
  </si>
  <si>
    <t>info.alewaki@gmail.com</t>
  </si>
  <si>
    <t>Ndung'u Ian Kinyanjui</t>
  </si>
  <si>
    <t>PA106/G/14973/21</t>
  </si>
  <si>
    <t>MAMA NGINA University College</t>
  </si>
  <si>
    <t>NDUNGWA JULIUS MUIA</t>
  </si>
  <si>
    <t>PA107/G/14437/21</t>
  </si>
  <si>
    <t>BSC. COMPUTER SYSTEM ENGINEERING</t>
  </si>
  <si>
    <t>COCA-COLA LIMITED</t>
  </si>
  <si>
    <t xml:space="preserve">Nemarrau Paul kariankei </t>
  </si>
  <si>
    <t>PA109/G/14531/21</t>
  </si>
  <si>
    <t xml:space="preserve">Cooperative Development </t>
  </si>
  <si>
    <t>Mary ndirangu</t>
  </si>
  <si>
    <t xml:space="preserve">Kirinyaga county, kerugoya </t>
  </si>
  <si>
    <t>Ng'ang'a Maureen wambui</t>
  </si>
  <si>
    <t>PA102/G/8904/20</t>
  </si>
  <si>
    <t>Bsc Actuarial science</t>
  </si>
  <si>
    <t xml:space="preserve"> Zeno computers</t>
  </si>
  <si>
    <t>David mumbi</t>
  </si>
  <si>
    <t>Zenocomputers254@gmail.com</t>
  </si>
  <si>
    <t>NGETICH KIPRONO WYCLIFFE</t>
  </si>
  <si>
    <t>CT100/G/15980/22</t>
  </si>
  <si>
    <t>HUDUMA CENTER- KIBRA</t>
  </si>
  <si>
    <t>JACKIE</t>
  </si>
  <si>
    <t xml:space="preserve">NGUGI SILVIA NDUTA </t>
  </si>
  <si>
    <t>PA106/G/15024/21</t>
  </si>
  <si>
    <t xml:space="preserve">DOUBLE MECHARNTS GEN. COMPANY </t>
  </si>
  <si>
    <t>Madam Mercy Mwangi</t>
  </si>
  <si>
    <t>doublemGen@gmail.com</t>
  </si>
  <si>
    <t>Nicholas Kiprotich</t>
  </si>
  <si>
    <t>CT101/G/12458/21</t>
  </si>
  <si>
    <t>NICODEMUS KIPROTICH CHESIR</t>
  </si>
  <si>
    <t>CT100/G/14093/21</t>
  </si>
  <si>
    <t>COUNTY GOVERNMENT OF UASIN GISHU</t>
  </si>
  <si>
    <t>MONICA TENAI</t>
  </si>
  <si>
    <t>info@uasingishu.go.ke</t>
  </si>
  <si>
    <t xml:space="preserve">NJIRU BICHEL W KYALO </t>
  </si>
  <si>
    <t>CT101/G/16040/22</t>
  </si>
  <si>
    <t xml:space="preserve">BSC Computer Science </t>
  </si>
  <si>
    <t>Brackenhurst Conference and Retreat Centre</t>
  </si>
  <si>
    <t>Edson</t>
  </si>
  <si>
    <t>Kiambu</t>
  </si>
  <si>
    <t xml:space="preserve">                                                  254 724 256 721 </t>
  </si>
  <si>
    <t>bookings@brackenhurst.com</t>
  </si>
  <si>
    <t>Njoroge Moses Ndegwa</t>
  </si>
  <si>
    <t>PA109/G/14482/21</t>
  </si>
  <si>
    <t xml:space="preserve">BSc.Finantial Engineering </t>
  </si>
  <si>
    <t>Bulfam investment and meat suppliers limited</t>
  </si>
  <si>
    <t>Ann Njau</t>
  </si>
  <si>
    <t>bulfamsupliers@gmail.com</t>
  </si>
  <si>
    <t>NJOROGE PAUL</t>
  </si>
  <si>
    <t>CT102/G/13845/21</t>
  </si>
  <si>
    <t xml:space="preserve">BACHELOR OF BUSINESS INFORMATION TECHNOLOGY </t>
  </si>
  <si>
    <t xml:space="preserve">NAIROBI CITY COUNTY </t>
  </si>
  <si>
    <t>MOSES OTEKO</t>
  </si>
  <si>
    <t>info@nairobi.go.ke</t>
  </si>
  <si>
    <t>Njuce Samuel Njoroge</t>
  </si>
  <si>
    <t>PA101/G/13425/21</t>
  </si>
  <si>
    <t>Cassini Degra Limited</t>
  </si>
  <si>
    <t>Alex Eshiwani</t>
  </si>
  <si>
    <t>Ruiru</t>
  </si>
  <si>
    <t>info.cassinidegra@gmail.com</t>
  </si>
  <si>
    <t>Njuguna David Muchai</t>
  </si>
  <si>
    <t>PA106/G/17518/22</t>
  </si>
  <si>
    <t>BSC Software Engeneering</t>
  </si>
  <si>
    <t>County Government  of Kirinyaga</t>
  </si>
  <si>
    <t>Njuguna Evans</t>
  </si>
  <si>
    <t>PA101/G/10586/20</t>
  </si>
  <si>
    <t>(254) 111 653 936</t>
  </si>
  <si>
    <t xml:space="preserve">Eminent Creative Solutions </t>
  </si>
  <si>
    <t xml:space="preserve">NYOKABI ANN NJOKI </t>
  </si>
  <si>
    <t>PA106/G/14976/21</t>
  </si>
  <si>
    <t xml:space="preserve">BSC. SOFTWARE ENGINEERING </t>
  </si>
  <si>
    <t>Zeno computers</t>
  </si>
  <si>
    <t>CLEON NGOYA</t>
  </si>
  <si>
    <t xml:space="preserve">NAIROBI, OLYMPIC </t>
  </si>
  <si>
    <t>contact @somoafrica.org</t>
  </si>
  <si>
    <t>OBONGO OCHOLA</t>
  </si>
  <si>
    <t>PA107/G/9973/20</t>
  </si>
  <si>
    <t>BSC COMPUTER SYTEMS ENGINEERING</t>
  </si>
  <si>
    <t>SEROXIDE ENTERTAINMENT</t>
  </si>
  <si>
    <t>DAISY CAROLINE</t>
  </si>
  <si>
    <t>HOMA BAY, NYANZA</t>
  </si>
  <si>
    <t>info@seroxideentertainment.co.ke</t>
  </si>
  <si>
    <t>Ochari Macilline Kemunto</t>
  </si>
  <si>
    <t>PA102/G/12300/21</t>
  </si>
  <si>
    <t>David Mumbi</t>
  </si>
  <si>
    <t>Oduor Brian Otieno</t>
  </si>
  <si>
    <t>CT100/G/14160/21</t>
  </si>
  <si>
    <t>Bsc. Information Technology</t>
  </si>
  <si>
    <t>KALRO-NRI</t>
  </si>
  <si>
    <t>Mr. Fred A. Emongor</t>
  </si>
  <si>
    <t>Kakamega</t>
  </si>
  <si>
    <t>kalronri@kalro.org</t>
  </si>
  <si>
    <t>Omenge Cynthia Kerubo</t>
  </si>
  <si>
    <t>PA109/G/14513/21</t>
  </si>
  <si>
    <t>BSC Financial engineering</t>
  </si>
  <si>
    <t>Rigoma school</t>
  </si>
  <si>
    <t>Jerusa Gechemba</t>
  </si>
  <si>
    <t xml:space="preserve"> Nyamira</t>
  </si>
  <si>
    <t>rigomagirls@gmail.com</t>
  </si>
  <si>
    <t>Omusee Kimutai Cyrus</t>
  </si>
  <si>
    <t>CT100/G/14395/21</t>
  </si>
  <si>
    <t xml:space="preserve">Nyeri </t>
  </si>
  <si>
    <t>Osindi Ariga Vincent</t>
  </si>
  <si>
    <t>CT100/G/15989/22</t>
  </si>
  <si>
    <t>OUMA WYCLIFFE</t>
  </si>
  <si>
    <t>PA101/G/11629/20</t>
  </si>
  <si>
    <t>Bsc. Mathematics and computer science</t>
  </si>
  <si>
    <t>AMREC Consultants</t>
  </si>
  <si>
    <t>Wilson Nyabera Goche</t>
  </si>
  <si>
    <t>info@amrecafrica.org</t>
  </si>
  <si>
    <t>Wilson Nyaberia Goche</t>
  </si>
  <si>
    <t>Oyugi Mourice Odhiambo</t>
  </si>
  <si>
    <t>PA106/G/17567/22</t>
  </si>
  <si>
    <t>Bsc. Software engineering</t>
  </si>
  <si>
    <t>Maji.co.ke</t>
  </si>
  <si>
    <t>Patrick Kiprotich kirui</t>
  </si>
  <si>
    <t>PA106/G/17509/22</t>
  </si>
  <si>
    <t xml:space="preserve">Bsc. Software engineering </t>
  </si>
  <si>
    <t xml:space="preserve">PATNAS SACCO SOCIETY </t>
  </si>
  <si>
    <t>WELDON YEGON</t>
  </si>
  <si>
    <t>chebirbelek Bomet</t>
  </si>
  <si>
    <t>info@patnassacco.co.ke</t>
  </si>
  <si>
    <t>PATRICK MAINA MWANGI</t>
  </si>
  <si>
    <t>CT100/G/8467/20</t>
  </si>
  <si>
    <t xml:space="preserve">Bsc.Information Technology </t>
  </si>
  <si>
    <t xml:space="preserve">Nanyuki Teaching and Referral Hospital </t>
  </si>
  <si>
    <t xml:space="preserve">Mr.Obadiah </t>
  </si>
  <si>
    <t>Nanyuki</t>
  </si>
  <si>
    <t>info@nanyukihospital.org.</t>
  </si>
  <si>
    <t xml:space="preserve">Patrick wachira weru </t>
  </si>
  <si>
    <t>CT101/G/12354/21</t>
  </si>
  <si>
    <t xml:space="preserve">Bsc. Computer science </t>
  </si>
  <si>
    <t>(+254) 797632007</t>
  </si>
  <si>
    <t xml:space="preserve">Gully Net solutions </t>
  </si>
  <si>
    <t>Simon Mwangi Wamaitha</t>
  </si>
  <si>
    <t>Kinoo,Kiambu</t>
  </si>
  <si>
    <t>(+254) 717175929</t>
  </si>
  <si>
    <t>gullynet@gmail.com</t>
  </si>
  <si>
    <t xml:space="preserve">Paul Kimani Kariuki </t>
  </si>
  <si>
    <t>CT100/G/12327/21</t>
  </si>
  <si>
    <t>Paul Njuguna Waweru</t>
  </si>
  <si>
    <t>PA109/G/14511/21</t>
  </si>
  <si>
    <t>254 707 147636</t>
  </si>
  <si>
    <t>St Mary's Mision Hsp</t>
  </si>
  <si>
    <t>Madam Ann</t>
  </si>
  <si>
    <t>254 720 392511</t>
  </si>
  <si>
    <t>elementaita@stmmh.co.ke</t>
  </si>
  <si>
    <t>PAULINE WAMAITHA MWAURA</t>
  </si>
  <si>
    <t>PA100/G/13380/21</t>
  </si>
  <si>
    <t>Peter Kiprono</t>
  </si>
  <si>
    <t>CT100/G14119/21</t>
  </si>
  <si>
    <t xml:space="preserve">BSC Information technology </t>
  </si>
  <si>
    <t xml:space="preserve">Nanyuki teaching and referral hospital </t>
  </si>
  <si>
    <t>Obadiah Too</t>
  </si>
  <si>
    <t>Nanyuki,Laikipia</t>
  </si>
  <si>
    <t>nanyukihospital@gmail.com</t>
  </si>
  <si>
    <t>PETER MARIGA MAGETO</t>
  </si>
  <si>
    <t>PA101/G/14421/21</t>
  </si>
  <si>
    <t>BSC.MATHEMATICS AND COMPUTER SCIENCE</t>
  </si>
  <si>
    <t>NATIONAL HEALTH INSURANCE FUND-KISII</t>
  </si>
  <si>
    <t>CLIFFORD OTIENO MUGA</t>
  </si>
  <si>
    <t>`0800720601</t>
  </si>
  <si>
    <t>kisii@nhif.or.ke</t>
  </si>
  <si>
    <t xml:space="preserve">Peter Mburu </t>
  </si>
  <si>
    <t>CT100/G/15382/21</t>
  </si>
  <si>
    <t>CT100/G/14026/21</t>
  </si>
  <si>
    <t>Zora Technologies</t>
  </si>
  <si>
    <t>Isaac Ndutumo</t>
  </si>
  <si>
    <t>Nyandarua</t>
  </si>
  <si>
    <t>zoratechnologies@gmail.com</t>
  </si>
  <si>
    <t xml:space="preserve">Ezaura Grace </t>
  </si>
  <si>
    <t>PA106/G/15091/21</t>
  </si>
  <si>
    <t>Erick Kamau</t>
  </si>
  <si>
    <t>PA106/G/17450/22</t>
  </si>
  <si>
    <t>Peter Nyakundi</t>
  </si>
  <si>
    <t>PA106/G/15439/21</t>
  </si>
  <si>
    <t>Kijana Poa Org.</t>
  </si>
  <si>
    <t>Peter Waciuri</t>
  </si>
  <si>
    <t>CT101/G/12187/20</t>
  </si>
  <si>
    <t>Bsc COMPUTER SCIENCE</t>
  </si>
  <si>
    <t>KALRO NAIVASHA</t>
  </si>
  <si>
    <t>Monica</t>
  </si>
  <si>
    <t>Naivasha</t>
  </si>
  <si>
    <t>0708 620095</t>
  </si>
  <si>
    <t>PETER ZAWADI SAMUEL</t>
  </si>
  <si>
    <t>CT100/G/15931/22</t>
  </si>
  <si>
    <t xml:space="preserve"> Deveint Ltd</t>
  </si>
  <si>
    <t>Enock DI</t>
  </si>
  <si>
    <t>westlands</t>
  </si>
  <si>
    <t>PlimoLeonard</t>
  </si>
  <si>
    <t>PA101/G/15330/21</t>
  </si>
  <si>
    <t>West pokot Treasury and Economic Planning</t>
  </si>
  <si>
    <t>Nickson Poghisho</t>
  </si>
  <si>
    <t>Kapenguria</t>
  </si>
  <si>
    <t>053-201-5000</t>
  </si>
  <si>
    <t>info@westpokot.go.ke</t>
  </si>
  <si>
    <t>Polycarp Sally</t>
  </si>
  <si>
    <t>PA106/G/17443/22</t>
  </si>
  <si>
    <t>Deloway Solutions</t>
  </si>
  <si>
    <t>Clive Ndegwa</t>
  </si>
  <si>
    <t>hello@deloway.com</t>
  </si>
  <si>
    <t xml:space="preserve">Racheal  muthoni wanjiru </t>
  </si>
  <si>
    <t>Ct100/G/15869/22</t>
  </si>
  <si>
    <t xml:space="preserve">Sidiana bank </t>
  </si>
  <si>
    <t>Lucy ngugu</t>
  </si>
  <si>
    <t xml:space="preserve">Kilimani Nairobi </t>
  </si>
  <si>
    <t>Talktous@sidianbank.co.ke</t>
  </si>
  <si>
    <t xml:space="preserve">RACHEL WAMBUI NJUGUNA </t>
  </si>
  <si>
    <t>PA101/G/14378/21</t>
  </si>
  <si>
    <t xml:space="preserve">BSC. IN MATHEMATICS AND COMPUTER SCIENCE </t>
  </si>
  <si>
    <t xml:space="preserve">AFS HOLDINGS LIMITED </t>
  </si>
  <si>
    <t xml:space="preserve">JEFFERSON KAMAU </t>
  </si>
  <si>
    <t>info@afsholdings.co.ke</t>
  </si>
  <si>
    <t xml:space="preserve">RAMADHAN MUNIIR </t>
  </si>
  <si>
    <t>CT101/G/16062/22</t>
  </si>
  <si>
    <t xml:space="preserve">Rampei Solomon Rumpas </t>
  </si>
  <si>
    <t>PA109/G/14530/21</t>
  </si>
  <si>
    <t>WRA narok sub basin</t>
  </si>
  <si>
    <t>Joshua Osio/Boaz maroko</t>
  </si>
  <si>
    <t>0713113287/0704540409</t>
  </si>
  <si>
    <t>wrmanarok@gmail.com</t>
  </si>
  <si>
    <t>RASMITH BUSAMI</t>
  </si>
  <si>
    <t>PA100/G/13398/21</t>
  </si>
  <si>
    <t>Bsc.STATISTICS</t>
  </si>
  <si>
    <t>Mr.JOSEPH LENANGURAM</t>
  </si>
  <si>
    <t xml:space="preserve">KAPENGURIA </t>
  </si>
  <si>
    <t>infor@nssfkenya.co.ke</t>
  </si>
  <si>
    <t xml:space="preserve">Rehema Nduku Mwau </t>
  </si>
  <si>
    <t>CT100/G/15877/22</t>
  </si>
  <si>
    <t>Bsc information technology</t>
  </si>
  <si>
    <t>Ministry of water, sanitasion and irrigation</t>
  </si>
  <si>
    <t>Caroline Ligale</t>
  </si>
  <si>
    <t xml:space="preserve">Maji house,upper hill, Nairobi </t>
  </si>
  <si>
    <t>ps@water.go.ke</t>
  </si>
  <si>
    <t>Reinhard Onyango</t>
  </si>
  <si>
    <t>PA106/G/17571/22</t>
  </si>
  <si>
    <t>Rency Jeptanui</t>
  </si>
  <si>
    <t>PA106/G/15052/21</t>
  </si>
  <si>
    <t xml:space="preserve">Bsc.Software Engineering </t>
  </si>
  <si>
    <t xml:space="preserve">County Government of Uasin gishu </t>
  </si>
  <si>
    <t>Alex Bore</t>
  </si>
  <si>
    <t>countyhrm@uasingishu.go.ke</t>
  </si>
  <si>
    <t>REYIA SAITOTI BENJAMIN</t>
  </si>
  <si>
    <t>CT101/G/12440/21</t>
  </si>
  <si>
    <t>STRAIGHT UP MISSION</t>
  </si>
  <si>
    <t>MARA, NAROK</t>
  </si>
  <si>
    <t>straightupmission@gmail.com</t>
  </si>
  <si>
    <t>Rhoda Wausi Joel</t>
  </si>
  <si>
    <t>PA109/G/14515/21</t>
  </si>
  <si>
    <t>County Government of Kirinyaga</t>
  </si>
  <si>
    <t xml:space="preserve">Robert Mwangi </t>
  </si>
  <si>
    <t>PA101/G/14407/21</t>
  </si>
  <si>
    <t xml:space="preserve">Bsc.Mathematics and Computer science </t>
  </si>
  <si>
    <t xml:space="preserve">Nakuru water and Sanitation company limited </t>
  </si>
  <si>
    <t>James Mwangi</t>
  </si>
  <si>
    <t>Nawasco Plaza Government road</t>
  </si>
  <si>
    <t>info@nawasco.co.ke</t>
  </si>
  <si>
    <t>ROBINS OKIOMA OBIRI</t>
  </si>
  <si>
    <t>PA106/G/17570/22</t>
  </si>
  <si>
    <t>BSC. SOFTWARE ENGINEERING</t>
  </si>
  <si>
    <t>NAIROBI CITY COUNTY(CITY HALL ANEX)</t>
  </si>
  <si>
    <t>INFO@NAIROBI.GO.KE</t>
  </si>
  <si>
    <t>Robinson mwiti</t>
  </si>
  <si>
    <t>CT101/G/15401/21</t>
  </si>
  <si>
    <t xml:space="preserve">Roda Ndunge Kisaka </t>
  </si>
  <si>
    <t>PA109/G/14497/21</t>
  </si>
  <si>
    <t>KALRO,HQ</t>
  </si>
  <si>
    <t>David muriithi</t>
  </si>
  <si>
    <t>info@kalro.org</t>
  </si>
  <si>
    <t>Ronney Otieno</t>
  </si>
  <si>
    <t>CT100/G/14157/21</t>
  </si>
  <si>
    <t>AWS | TechAlpha</t>
  </si>
  <si>
    <t>Thomas Nyururu</t>
  </si>
  <si>
    <t>RONOH ALEX</t>
  </si>
  <si>
    <t>CT101/G/12425/21</t>
  </si>
  <si>
    <t>BSc.Computer Science</t>
  </si>
  <si>
    <t>ROSEMARY GATETE</t>
  </si>
  <si>
    <t>PA101/G/5752/18</t>
  </si>
  <si>
    <t>SOGUTU HQ TELEKOM</t>
  </si>
  <si>
    <t>MICHAEL OMOLE</t>
  </si>
  <si>
    <t>O726935354</t>
  </si>
  <si>
    <t>sogutuhqtelekom@gmail.com</t>
  </si>
  <si>
    <t>Rosemary Mumbi Wanjiru</t>
  </si>
  <si>
    <t>PA109/G/14476/21</t>
  </si>
  <si>
    <t>FLAVIN VENTURES CO.LTD</t>
  </si>
  <si>
    <t xml:space="preserve">KELVIN KIOGORA </t>
  </si>
  <si>
    <t>NAIROBI/MERU</t>
  </si>
  <si>
    <t>FLAVIN VENTURES SKE@GMAIL.COM</t>
  </si>
  <si>
    <t xml:space="preserve">RUGENDO  ALISON MUTWIRI </t>
  </si>
  <si>
    <t>PA101/G/15355/21</t>
  </si>
  <si>
    <t xml:space="preserve">Bsc Mathematics and computer science </t>
  </si>
  <si>
    <t xml:space="preserve">COUNTY GOVERNMENT OF THARAKA-NITHI </t>
  </si>
  <si>
    <t xml:space="preserve">Peter Kwenga </t>
  </si>
  <si>
    <t xml:space="preserve">Kathwana </t>
  </si>
  <si>
    <t>info@tharakanithi.go.ke</t>
  </si>
  <si>
    <t xml:space="preserve">Ryan Kasire </t>
  </si>
  <si>
    <t>PA107/G/14446/21</t>
  </si>
  <si>
    <t xml:space="preserve">Nextgen NETWORKS </t>
  </si>
  <si>
    <t xml:space="preserve">Eugene Odari </t>
  </si>
  <si>
    <t>info@nextgenke.com</t>
  </si>
  <si>
    <t>SAID LUGO S. KAHINDI</t>
  </si>
  <si>
    <t>PA109/G/14472/21</t>
  </si>
  <si>
    <t>KENYA ELECTRICITY GENERATING COMPANY</t>
  </si>
  <si>
    <t>JUDE ODHIAMBO</t>
  </si>
  <si>
    <t>(254)-20-3666000/(254)-711-036000</t>
  </si>
  <si>
    <t>pr@Kengen.co.ke</t>
  </si>
  <si>
    <t>SAMBA DECE</t>
  </si>
  <si>
    <t>CT100/G/15881/22</t>
  </si>
  <si>
    <t>MKU Kitale Odel Centre</t>
  </si>
  <si>
    <t>Maryanne Muchai</t>
  </si>
  <si>
    <t>info@eac.ac.ke</t>
  </si>
  <si>
    <t xml:space="preserve">Sammy Kivisha </t>
  </si>
  <si>
    <t>PA106/G/17504/22</t>
  </si>
  <si>
    <t xml:space="preserve">County commissioner's office Trans Nzoia </t>
  </si>
  <si>
    <t xml:space="preserve">Evans Tanui </t>
  </si>
  <si>
    <t xml:space="preserve">Kitale </t>
  </si>
  <si>
    <t>Samuel Muthari</t>
  </si>
  <si>
    <t>CT101/G/12365/21</t>
  </si>
  <si>
    <t>Bsc computer Science</t>
  </si>
  <si>
    <t>ALEX MWAI</t>
  </si>
  <si>
    <t xml:space="preserve">Samuel wachira </t>
  </si>
  <si>
    <t>PA100/G/15319/21</t>
  </si>
  <si>
    <t>SAFRA DATA</t>
  </si>
  <si>
    <t>Benard</t>
  </si>
  <si>
    <t xml:space="preserve"> 770 534969</t>
  </si>
  <si>
    <t>safraconsultke@gmail.com</t>
  </si>
  <si>
    <t xml:space="preserve">Shadrack Sabaya </t>
  </si>
  <si>
    <t>PA106/G/17540/22</t>
  </si>
  <si>
    <t>Bsc. software Engineering</t>
  </si>
  <si>
    <t>Maasai Mara University</t>
  </si>
  <si>
    <t>Ronny Macharia</t>
  </si>
  <si>
    <t>info@mmarau.ac.ke</t>
  </si>
  <si>
    <t>Shaline Osuka</t>
  </si>
  <si>
    <t>PA100/G/13429/21</t>
  </si>
  <si>
    <t>SHARLIN NYAKIO</t>
  </si>
  <si>
    <t>PA101/G/14374/21</t>
  </si>
  <si>
    <t>EWASCO EMBU</t>
  </si>
  <si>
    <t>LUKAS MUNYI</t>
  </si>
  <si>
    <t>0791610239 ·</t>
  </si>
  <si>
    <t>info@embuwater.co.ke</t>
  </si>
  <si>
    <t>Shawn Wasike Abwoka</t>
  </si>
  <si>
    <t>PA106/G/17550/22</t>
  </si>
  <si>
    <t>Naj Tracking Ltd</t>
  </si>
  <si>
    <t>Douglas Kisanya</t>
  </si>
  <si>
    <t>Nairobi Parklands-16 Mogotio Road</t>
  </si>
  <si>
    <t>najtracking@gmail.com</t>
  </si>
  <si>
    <t xml:space="preserve">SHEM Nyabuto Nyaboga </t>
  </si>
  <si>
    <t>PA106/G/15433/21</t>
  </si>
  <si>
    <t xml:space="preserve">BSc in software engineering </t>
  </si>
  <si>
    <t>Kenya power and lighting company</t>
  </si>
  <si>
    <t>Lilian Macharia</t>
  </si>
  <si>
    <t>kplc.co.ke</t>
  </si>
  <si>
    <t xml:space="preserve">SIMON MWAURA </t>
  </si>
  <si>
    <t>CT101/G/16027/22</t>
  </si>
  <si>
    <t>UNIVERSITY OF EMBU</t>
  </si>
  <si>
    <t>MATREX MORAA</t>
  </si>
  <si>
    <t>info@embuni.ac.ke</t>
  </si>
  <si>
    <t>Solomon Ndirangu Macharia</t>
  </si>
  <si>
    <t>PA106/G/17457/22</t>
  </si>
  <si>
    <t>Nakuru Training Institute</t>
  </si>
  <si>
    <t>Anthony Mutunga</t>
  </si>
  <si>
    <t>info@ntci.ac.ke</t>
  </si>
  <si>
    <t>Solomon Ngari Waitiki</t>
  </si>
  <si>
    <t>PA106/G/17455/22</t>
  </si>
  <si>
    <t>Nairobi City County</t>
  </si>
  <si>
    <t>Mary Ouma</t>
  </si>
  <si>
    <t>STACY KIBET</t>
  </si>
  <si>
    <t>PA106/G/17444/22</t>
  </si>
  <si>
    <t xml:space="preserve">MARTIN BUNDOTICH </t>
  </si>
  <si>
    <t>Steven Odhiambo</t>
  </si>
  <si>
    <t>PA106/G/14945/21</t>
  </si>
  <si>
    <t xml:space="preserve">Bsc. software engineering </t>
  </si>
  <si>
    <t>Rift Valley Institute.</t>
  </si>
  <si>
    <t>Mr Kemboi</t>
  </si>
  <si>
    <t>principal@rvist.ac.e</t>
  </si>
  <si>
    <t>SYLVANUS OCHIENG OTIENO</t>
  </si>
  <si>
    <t>PA101/G/14427/21</t>
  </si>
  <si>
    <t>COUNTY GOVERNMENT OF BUNGOMA</t>
  </si>
  <si>
    <t>WILLIAM WABUKE</t>
  </si>
  <si>
    <t>bungomacountygvt@gmail.com</t>
  </si>
  <si>
    <t xml:space="preserve">Timothy Waihenya </t>
  </si>
  <si>
    <t>CT101/G/16712/22</t>
  </si>
  <si>
    <t xml:space="preserve">BSC COMPUTER SCIENCE </t>
  </si>
  <si>
    <t>TINDI JUMA HAMISI</t>
  </si>
  <si>
    <t>EE100/G/14601/21</t>
  </si>
  <si>
    <t>BTECH ELECTRONICS &amp; COMPUTER</t>
  </si>
  <si>
    <t>Coast General Teaching &amp; Referral hospital</t>
  </si>
  <si>
    <t>ABDALLAH HASSAN</t>
  </si>
  <si>
    <t>info@cpgh.go.ke</t>
  </si>
  <si>
    <t>Tingisha Ferdinand</t>
  </si>
  <si>
    <t>PA106/G/17584/22</t>
  </si>
  <si>
    <t>NAROK COUNTY GOVERMENT</t>
  </si>
  <si>
    <t>DAVID TUARARI</t>
  </si>
  <si>
    <t>NAROK</t>
  </si>
  <si>
    <t>administration@narok.go.ke</t>
  </si>
  <si>
    <t>TIRUS MWANGI</t>
  </si>
  <si>
    <t>PA106/G/17465/22</t>
  </si>
  <si>
    <t>Tito Mutethia</t>
  </si>
  <si>
    <t>PA107/G/14441/21</t>
  </si>
  <si>
    <t>BSC Computer System Engineering</t>
  </si>
  <si>
    <t>CENTRIC LIMITED</t>
  </si>
  <si>
    <t>BELINDA KOECH</t>
  </si>
  <si>
    <t>PARKLANDS</t>
  </si>
  <si>
    <t>info@centricltd.co.ke</t>
  </si>
  <si>
    <t>Titua Waititu Wanja</t>
  </si>
  <si>
    <t>PA106/G/14948/21</t>
  </si>
  <si>
    <t>TRACY JEPKORIR</t>
  </si>
  <si>
    <t>PA106/G/15050/21</t>
  </si>
  <si>
    <t xml:space="preserve">SOMO AFRICA </t>
  </si>
  <si>
    <t>CLEON  NGOYA</t>
  </si>
  <si>
    <t>NAIROBI, OLYMPIC</t>
  </si>
  <si>
    <t>contact@somoafrica.org</t>
  </si>
  <si>
    <t>Valarie Nyakio</t>
  </si>
  <si>
    <t>PA106/G/17426/22</t>
  </si>
  <si>
    <t>VICTOR MWANGI KAMAU</t>
  </si>
  <si>
    <t>PA101/G/14398/21</t>
  </si>
  <si>
    <t>EUTICUS MURAGURI</t>
  </si>
  <si>
    <t>PA101/G/14377/21</t>
  </si>
  <si>
    <t>MR.ERIC</t>
  </si>
  <si>
    <t>Victor Njeru Wanjira</t>
  </si>
  <si>
    <t>PA106/G/17481/22</t>
  </si>
  <si>
    <t>BSC  Software Engineering</t>
  </si>
  <si>
    <t>Kirinyaga</t>
  </si>
  <si>
    <t>VICTOR OMONDI OTIENO</t>
  </si>
  <si>
    <t>CT100/G/15974/22</t>
  </si>
  <si>
    <t>Rudis Gadget World</t>
  </si>
  <si>
    <t>MESHACK KIPRUTO</t>
  </si>
  <si>
    <t>rgroupeld@gmail.com</t>
  </si>
  <si>
    <t xml:space="preserve">Vincent Kipkoech </t>
  </si>
  <si>
    <t>PA109/G/14522/21</t>
  </si>
  <si>
    <t>County Government of Nandi</t>
  </si>
  <si>
    <t>Peter Tanui</t>
  </si>
  <si>
    <t xml:space="preserve">Kapsabet </t>
  </si>
  <si>
    <t>(+254)053-5252355</t>
  </si>
  <si>
    <t>info@nandi.go.ke</t>
  </si>
  <si>
    <t>VINCENT MOGAKA</t>
  </si>
  <si>
    <t>C101/G/12342/21</t>
  </si>
  <si>
    <t>NYAMIRA COUNTY OFFICE HQ</t>
  </si>
  <si>
    <t>SIBIA NYAMWEYA</t>
  </si>
  <si>
    <t>NYAMIRA</t>
  </si>
  <si>
    <t>(+254722298792)</t>
  </si>
  <si>
    <t>info@nyamira.go.ke</t>
  </si>
  <si>
    <t>Vincent Ndegwa</t>
  </si>
  <si>
    <t>PA106/G/15478/21</t>
  </si>
  <si>
    <t>Dynamic Mobility Technology</t>
  </si>
  <si>
    <t>Getrude</t>
  </si>
  <si>
    <t>info@@dynamicmobility.co.ke</t>
  </si>
  <si>
    <t>VIRGINIA FUNDI WANJIKU</t>
  </si>
  <si>
    <t>CT100/15870/22</t>
  </si>
  <si>
    <t>Thika Ministry of Education</t>
  </si>
  <si>
    <t>Maurice Sifuna</t>
  </si>
  <si>
    <t>educationthika@yahoo</t>
  </si>
  <si>
    <t>Wahu Vivian Njeri</t>
  </si>
  <si>
    <t>CT101/G/15392/21</t>
  </si>
  <si>
    <t xml:space="preserve">BSC SoftwareEnginnering </t>
  </si>
  <si>
    <t xml:space="preserve">Agile Cloud </t>
  </si>
  <si>
    <t xml:space="preserve">Wambui Grace </t>
  </si>
  <si>
    <t>CT100/G/15864/22</t>
  </si>
  <si>
    <t>BSC INFORMATION TECHNOLOGY</t>
  </si>
  <si>
    <t>WANGECI EMMANUEL JUMA</t>
  </si>
  <si>
    <t>CT100/G/15952/22</t>
  </si>
  <si>
    <t>Bachelor of Science in Information Technology</t>
  </si>
  <si>
    <t>Techlion</t>
  </si>
  <si>
    <t>Sinai Mutuva</t>
  </si>
  <si>
    <t>(+254) 726608985</t>
  </si>
  <si>
    <t>info@techlion.co.ke</t>
  </si>
  <si>
    <t>WANJORA FREDRICK KANYUGO</t>
  </si>
  <si>
    <t>CT101/G/16011/22</t>
  </si>
  <si>
    <t>Tetu Aberdare Water &amp; Sanitation Company LTD</t>
  </si>
  <si>
    <t>P.Wachira Gitonga</t>
  </si>
  <si>
    <t>0796-976-937</t>
  </si>
  <si>
    <t>teawasco@gmail.com</t>
  </si>
  <si>
    <t>Were Ruth Awuor</t>
  </si>
  <si>
    <t>PA109/G/14508/21</t>
  </si>
  <si>
    <t>LAIKIPIA EAST SUB-COUNTY TREASURY</t>
  </si>
  <si>
    <t>Sospeter Kibobo</t>
  </si>
  <si>
    <t>tkibobo@gmail.com</t>
  </si>
  <si>
    <t>Whitney Ingato</t>
  </si>
  <si>
    <t>PA106/G/16850/22</t>
  </si>
  <si>
    <t>Ministry of information,communication and the digital economy</t>
  </si>
  <si>
    <t>Lydia Ehaba</t>
  </si>
  <si>
    <t>Nairobi,CBD</t>
  </si>
  <si>
    <t>0204920000/4921000</t>
  </si>
  <si>
    <t>info@information.go.ke</t>
  </si>
  <si>
    <t>Wicliff Njoroge</t>
  </si>
  <si>
    <t>PA106/G/17466/22</t>
  </si>
  <si>
    <t>WIELAN KIPNGETICH MUTAI</t>
  </si>
  <si>
    <t>CT100/G/14099/21</t>
  </si>
  <si>
    <t>BS INFORMATION TECHNOLOGY</t>
  </si>
  <si>
    <t xml:space="preserve">William Kiarie Mungai </t>
  </si>
  <si>
    <t>PA107/G/9120/20</t>
  </si>
  <si>
    <t xml:space="preserve">BSC.COMPUTER SYSTEMS ENGINEERING </t>
  </si>
  <si>
    <t xml:space="preserve">Joseph Mukoto </t>
  </si>
  <si>
    <t>director@kefri.org</t>
  </si>
  <si>
    <t>Willkins B. Kenyata</t>
  </si>
  <si>
    <t>CT101/G/12478/21</t>
  </si>
  <si>
    <t>Ketech Solutions.</t>
  </si>
  <si>
    <t>Peter Sikolia</t>
  </si>
  <si>
    <t>Ketechsolutions@gmail.com</t>
  </si>
  <si>
    <t>ZACK ONYINKWA OGETO</t>
  </si>
  <si>
    <t>JUMA MICHAEL</t>
  </si>
  <si>
    <t>admissions@cuk.ac.ke</t>
  </si>
  <si>
    <t>PA106/G/14988/21</t>
  </si>
  <si>
    <t>Meru Central Dairy</t>
  </si>
  <si>
    <t>Tobias</t>
  </si>
  <si>
    <t>MERU</t>
  </si>
  <si>
    <t>maziwa@merudairy.co.ke</t>
  </si>
  <si>
    <t>CT100/G/15907/22</t>
  </si>
  <si>
    <t xml:space="preserve">Mwalimu National sacco </t>
  </si>
  <si>
    <t>Joseph Gichuki</t>
  </si>
  <si>
    <t xml:space="preserve">upperhill Nairobi </t>
  </si>
  <si>
    <t>mwalimu@mwalimunational.coop</t>
  </si>
  <si>
    <t>PA106/G/17513/22</t>
  </si>
  <si>
    <t xml:space="preserve">TET Tea factory </t>
  </si>
  <si>
    <t>Diana Chepkirui</t>
  </si>
  <si>
    <t>Kericho</t>
  </si>
  <si>
    <t>Kasyula Boniface</t>
  </si>
  <si>
    <t>PA100/G/14298/21</t>
  </si>
  <si>
    <t xml:space="preserve">Bsc. Statistics </t>
  </si>
  <si>
    <t xml:space="preserve">Nazareth Hospital </t>
  </si>
  <si>
    <t>Josephine Muthoni</t>
  </si>
  <si>
    <t>ruirunazarethhospital@gmail.com</t>
  </si>
  <si>
    <t xml:space="preserve">Janice Wangui kiiru </t>
  </si>
  <si>
    <t>PA106/G/17437/22</t>
  </si>
  <si>
    <t xml:space="preserve">Nakuru referral hospital </t>
  </si>
  <si>
    <t xml:space="preserve">Humphrey  Musava </t>
  </si>
  <si>
    <t>Oscar wamalwa</t>
  </si>
  <si>
    <t>PA107/G/7488/19</t>
  </si>
  <si>
    <t>Bsc computer system engineering</t>
  </si>
  <si>
    <t>Clifford technologies Limited</t>
  </si>
  <si>
    <t>Kennedy  Majau</t>
  </si>
  <si>
    <t>Parklands, Nairobi</t>
  </si>
  <si>
    <t>info@clifford.co.ke</t>
  </si>
  <si>
    <t xml:space="preserve">DENNIS KURIA WAMBUI </t>
  </si>
  <si>
    <t>CT101/G/12217/21</t>
  </si>
  <si>
    <t xml:space="preserve">THETA TEA FACTORY </t>
  </si>
  <si>
    <t>Macharia</t>
  </si>
  <si>
    <t>Kiganjo</t>
  </si>
  <si>
    <t>info@theta.ktdateas.com</t>
  </si>
  <si>
    <t>Jeremiah Wainaina Kahora</t>
  </si>
  <si>
    <t>CT100/G/17675/22</t>
  </si>
  <si>
    <t>BSC Information Technology</t>
  </si>
  <si>
    <t>Tonycomm Internet Providers</t>
  </si>
  <si>
    <t xml:space="preserve">Anthony wachira </t>
  </si>
  <si>
    <t xml:space="preserve">NAKURU </t>
  </si>
  <si>
    <t>tonycommgroupltd@gmail.com</t>
  </si>
  <si>
    <t xml:space="preserve">Financial engineering </t>
  </si>
  <si>
    <t>Joseph Kamau</t>
  </si>
  <si>
    <t xml:space="preserve">BSc information technology </t>
  </si>
  <si>
    <t>KELVIN NG'ANG'A KARARI</t>
  </si>
  <si>
    <t>254 710-453-693.</t>
  </si>
  <si>
    <t>KORIR KIPKURUI VINCENT</t>
  </si>
  <si>
    <t>PA101/G/14408/21</t>
  </si>
  <si>
    <t>BSC MATHEMATICS and COMPUTER SCIENCE</t>
  </si>
  <si>
    <t xml:space="preserve">   NCPB </t>
  </si>
  <si>
    <t>Nobert Odhiambo</t>
  </si>
  <si>
    <t>info@ncpb.co.ke</t>
  </si>
  <si>
    <t>john mwangi monica</t>
  </si>
  <si>
    <t>CT100/G/15918/22</t>
  </si>
  <si>
    <t>Thika technical training institute</t>
  </si>
  <si>
    <t>Emmah mugure</t>
  </si>
  <si>
    <t>020- 2044965</t>
  </si>
  <si>
    <t>thikatechnical@gmail.com</t>
  </si>
  <si>
    <t xml:space="preserve"> LINUS MURIUKI</t>
  </si>
  <si>
    <t>PA101/G/14375/21</t>
  </si>
  <si>
    <t xml:space="preserve"> NCPB</t>
  </si>
  <si>
    <t>0111 000 600</t>
  </si>
  <si>
    <t xml:space="preserve"> PURITY KIRATU</t>
  </si>
  <si>
    <t>KITUI</t>
  </si>
  <si>
    <t>Timau town</t>
  </si>
  <si>
    <t>info@timesusacco.co.ke</t>
  </si>
  <si>
    <t>info@agilecloud.co.ke</t>
  </si>
  <si>
    <t xml:space="preserve">IWORETE MAINA ROBERT </t>
  </si>
  <si>
    <t>PA109/G/14537/21</t>
  </si>
  <si>
    <t xml:space="preserve">REVENUE-COUNTY GOVERNMENT OF BUNGOMA </t>
  </si>
  <si>
    <t>BORIS MASINDE</t>
  </si>
  <si>
    <t xml:space="preserve">SIRISIA -BUNGOMA </t>
  </si>
  <si>
    <t xml:space="preserve">ANTHONY MUSINGI MUENI </t>
  </si>
  <si>
    <t>PA106/G/14983/21</t>
  </si>
  <si>
    <t xml:space="preserve">ANTKIM ENTERPRISES LTD </t>
  </si>
  <si>
    <t>Stephen Kimani</t>
  </si>
  <si>
    <t>antkimenterprises@gmail.com</t>
  </si>
  <si>
    <t xml:space="preserve">Godfrey Mukira </t>
  </si>
  <si>
    <t>CT101/G/12462/21</t>
  </si>
  <si>
    <t>Alpha grid Technologies</t>
  </si>
  <si>
    <t>Abigael Wamboi</t>
  </si>
  <si>
    <t>Duncan Njoroge</t>
  </si>
  <si>
    <t>CT100/G/14037/21</t>
  </si>
  <si>
    <t>Ditimac Limited</t>
  </si>
  <si>
    <t>PETER KOECH</t>
  </si>
  <si>
    <t>Jackson Kabutha Muraguri</t>
  </si>
  <si>
    <t>PA109/G/9004/20</t>
  </si>
  <si>
    <t>KENYA ANIMAL GENETIC RESOURCES CENTER</t>
  </si>
  <si>
    <t>Joe Kamatu</t>
  </si>
  <si>
    <t>020 41813256</t>
  </si>
  <si>
    <t>info@kagric.co.ke</t>
  </si>
  <si>
    <t xml:space="preserve">Rozina Njoroge </t>
  </si>
  <si>
    <t>CT100/G/14049/21</t>
  </si>
  <si>
    <t xml:space="preserve">Mathari hospital </t>
  </si>
  <si>
    <t>John Njoki</t>
  </si>
  <si>
    <t xml:space="preserve">Muthaiga </t>
  </si>
  <si>
    <t>matharihospital@gmail.com</t>
  </si>
  <si>
    <t xml:space="preserve">Bramwel Fwamba </t>
  </si>
  <si>
    <t>PA102/G/12290/21</t>
  </si>
  <si>
    <t>TRANS NATIONAL TIMES SACCO LTD</t>
  </si>
  <si>
    <t>EVANS SUDI</t>
  </si>
  <si>
    <t xml:space="preserve">info@tntsacco.co.ke </t>
  </si>
  <si>
    <t>COLLIN KIRUI</t>
  </si>
  <si>
    <t>PA109/G/14507/21</t>
  </si>
  <si>
    <t>BSC FINANCIAL ENGINEERING</t>
  </si>
  <si>
    <t>NATIONAL SUB COUNTY TREASURY SOTIK</t>
  </si>
  <si>
    <t>ROBERT MAKORI</t>
  </si>
  <si>
    <r>
      <rPr>
        <b/>
        <sz val="10"/>
        <rFont val="Arial"/>
      </rPr>
      <t>treasury.sotik@</t>
    </r>
    <r>
      <rPr>
        <b/>
        <u/>
        <sz val="10"/>
        <color rgb="FF1155CC"/>
        <rFont val="Arial"/>
      </rPr>
      <t>gmail.com</t>
    </r>
  </si>
  <si>
    <t>Vincent Wambugu</t>
  </si>
  <si>
    <t>CT101/G/8671/20</t>
  </si>
  <si>
    <t>National Health Inssurance Fund</t>
  </si>
  <si>
    <t>Caroline Kariuki</t>
  </si>
  <si>
    <t>kerugoya@nhif.or.ke</t>
  </si>
  <si>
    <t>Paul Mwangi</t>
  </si>
  <si>
    <t>PA106/G/17454/22</t>
  </si>
  <si>
    <t>BSE SOFTWARE ENGINEERING</t>
  </si>
  <si>
    <t>Nyandarua county government</t>
  </si>
  <si>
    <t>Mr moses</t>
  </si>
  <si>
    <t>OLKALOU</t>
  </si>
  <si>
    <t>es@nyandarua.go.ke</t>
  </si>
  <si>
    <t xml:space="preserve">Domnic koech </t>
  </si>
  <si>
    <t>PA102/G/12274/21</t>
  </si>
  <si>
    <t xml:space="preserve">Bsc actuarial science </t>
  </si>
  <si>
    <t>RUIRU NAZARETH HOSPITAL</t>
  </si>
  <si>
    <t>JOSPHINE MUTHONI</t>
  </si>
  <si>
    <t>RUIRU</t>
  </si>
  <si>
    <t>Simon Macharia</t>
  </si>
  <si>
    <t>PA106/G/14974/21</t>
  </si>
  <si>
    <t>POWER HUB CONSULTANT LIMITED</t>
  </si>
  <si>
    <t>MARTIN KAMAU</t>
  </si>
  <si>
    <t>info@powerhub.co.ke</t>
  </si>
  <si>
    <t xml:space="preserve">EVANS  KIPROTICH </t>
  </si>
  <si>
    <t>PA102/G/12276/21</t>
  </si>
  <si>
    <t>)</t>
  </si>
  <si>
    <t>Ruiru Nazareth Hospital</t>
  </si>
  <si>
    <t>Josphine Muthoni</t>
  </si>
  <si>
    <t>Michael Faith Kavingo</t>
  </si>
  <si>
    <t>PA101/G/14066/21</t>
  </si>
  <si>
    <t>Bsc. maths and Computer science</t>
  </si>
  <si>
    <t>Meru county government</t>
  </si>
  <si>
    <t>Eric Ribu</t>
  </si>
  <si>
    <t>Meru</t>
  </si>
  <si>
    <t>merucounty@meru.go.ke</t>
  </si>
  <si>
    <t>Simon Ng'ang'a Thumbi</t>
  </si>
  <si>
    <t>PA101/G/14347/21</t>
  </si>
  <si>
    <t>NG-CDF</t>
  </si>
  <si>
    <t>Mr. Albert</t>
  </si>
  <si>
    <t>cfkirinyagacentral@ngcdf.go.ke</t>
  </si>
  <si>
    <t>Joseph Kyuti Musyoki</t>
  </si>
  <si>
    <t>PA106/G/17477/22</t>
  </si>
  <si>
    <t>kevin comba</t>
  </si>
  <si>
    <t>Teach2give@gmail.com</t>
  </si>
  <si>
    <t>Peter Muriithi Ngugi</t>
  </si>
  <si>
    <t>PA106/G/17476/22</t>
  </si>
  <si>
    <t>Christian Outreach Center</t>
  </si>
  <si>
    <t>Paul Kingori</t>
  </si>
  <si>
    <t>kingorimwangi237@gmail.com</t>
  </si>
  <si>
    <t>PHINEAS NDUNGU</t>
  </si>
  <si>
    <t>PA106/G/17490/22</t>
  </si>
  <si>
    <t>morris</t>
  </si>
  <si>
    <t xml:space="preserve">Odera mark Omoit </t>
  </si>
  <si>
    <t>PA106/G/15069/21</t>
  </si>
  <si>
    <t xml:space="preserve">BSC Software engineering </t>
  </si>
  <si>
    <t xml:space="preserve">Thales Software Solutions </t>
  </si>
  <si>
    <t>Emmanuel Kibet</t>
  </si>
  <si>
    <t>PA106/G/15014/21</t>
  </si>
  <si>
    <t>Kevin comba</t>
  </si>
  <si>
    <t>Casper Kamanda</t>
  </si>
  <si>
    <t>PA107/G/11599/20</t>
  </si>
  <si>
    <t>BSC Computer system engineering</t>
  </si>
  <si>
    <t>Clifford technologies limited</t>
  </si>
  <si>
    <t>Kennedy Majau</t>
  </si>
  <si>
    <t>Raymond Ruto</t>
  </si>
  <si>
    <t>PA106/G/17545/22</t>
  </si>
  <si>
    <t xml:space="preserve">University of Eldoret </t>
  </si>
  <si>
    <t>Gladys</t>
  </si>
  <si>
    <t>info@uoeld.ac.ke</t>
  </si>
  <si>
    <t>Waithaka Harun Githinji</t>
  </si>
  <si>
    <t>PA101/G/14360/21</t>
  </si>
  <si>
    <t xml:space="preserve">Mukuru Referral Hospital </t>
  </si>
  <si>
    <t xml:space="preserve">Esther </t>
  </si>
  <si>
    <t>mukuruccc54@gmail.com</t>
  </si>
  <si>
    <t>COLLINS MASIRA ONDIEKI</t>
  </si>
  <si>
    <t>CT102/G/13859/21</t>
  </si>
  <si>
    <t>COMPULYNX</t>
  </si>
  <si>
    <t>OWEN OSCAR</t>
  </si>
  <si>
    <t>Westlands</t>
  </si>
  <si>
    <t>WWW.Compulynx.com</t>
  </si>
  <si>
    <t>Awuor Marylinda Akoth</t>
  </si>
  <si>
    <t>CT100/G/15875/22</t>
  </si>
  <si>
    <t>PROCOM NETWORKING SOLUTIONS LTD</t>
  </si>
  <si>
    <t>SYLVANCE OLANG</t>
  </si>
  <si>
    <t>info@procom.net.co.ke</t>
  </si>
  <si>
    <t xml:space="preserve"> Muendo  Evans Ndilinge</t>
  </si>
  <si>
    <t>PA107/G/14443/21</t>
  </si>
  <si>
    <t>Bsc Computer  System  Enginering</t>
  </si>
  <si>
    <t>KEVIN Obura</t>
  </si>
  <si>
    <t>kitui town</t>
  </si>
  <si>
    <t>Titus Matabiri</t>
  </si>
  <si>
    <t>PA106/G/15066/21</t>
  </si>
  <si>
    <t xml:space="preserve">RUEL LIMITED </t>
  </si>
  <si>
    <t>Amos Kinyanjui</t>
  </si>
  <si>
    <t>Charles Njoroge</t>
  </si>
  <si>
    <t>CT101/G/12370/21</t>
  </si>
  <si>
    <t>Maritons Ventures LTD</t>
  </si>
  <si>
    <t>Martin Muhoha</t>
  </si>
  <si>
    <t>CHEYECH NAOMI</t>
  </si>
  <si>
    <t>PA101/G/11012/20</t>
  </si>
  <si>
    <t>COUNTY GOVERNMENT OF WEST POKOT</t>
  </si>
  <si>
    <t>ISAAC DOME</t>
  </si>
  <si>
    <t>KAPENGURIA</t>
  </si>
  <si>
    <t>dome@gmail.com</t>
  </si>
  <si>
    <t xml:space="preserve">Michael Wenge </t>
  </si>
  <si>
    <t>PA106/G/14980/21</t>
  </si>
  <si>
    <t xml:space="preserve">Kega Limited </t>
  </si>
  <si>
    <t>Benjamin Kivu</t>
  </si>
  <si>
    <t xml:space="preserve">kabete </t>
  </si>
  <si>
    <t>benjaminkivue@gmail.com</t>
  </si>
  <si>
    <t xml:space="preserve">Susan kavutha </t>
  </si>
  <si>
    <t>ct101/g/12400/21</t>
  </si>
  <si>
    <t xml:space="preserve">county government of kitui </t>
  </si>
  <si>
    <t>Simon nzomo</t>
  </si>
  <si>
    <t>ict@kitui.go.ke</t>
  </si>
  <si>
    <t>Maryanne Muthoni  Njoroge</t>
  </si>
  <si>
    <t>CT102/G/13851/21</t>
  </si>
  <si>
    <t>Pivot Networks</t>
  </si>
  <si>
    <t>Frankline Kelvin</t>
  </si>
  <si>
    <t>frankline.kelvin@pivotnetworks.co.ke</t>
  </si>
  <si>
    <t xml:space="preserve">Njogu wilson kiiru </t>
  </si>
  <si>
    <t>PA106/G/17452/22</t>
  </si>
  <si>
    <t>Upendo Electronics ltd</t>
  </si>
  <si>
    <t>Irene Wangui</t>
  </si>
  <si>
    <t>Nairobi branch</t>
  </si>
  <si>
    <t>Bygrace2022shop@gmail.com</t>
  </si>
  <si>
    <t xml:space="preserve">Kalaita Fred Matheka </t>
  </si>
  <si>
    <t>PA106/G/17485/22</t>
  </si>
  <si>
    <t xml:space="preserve">Bsc software engineering </t>
  </si>
  <si>
    <t xml:space="preserve">ikutha level 4 hospital </t>
  </si>
  <si>
    <t>ikutha, kitui</t>
  </si>
  <si>
    <t>Swambua00@gmail.com</t>
  </si>
  <si>
    <t>KELVIN MAINA WACERA</t>
  </si>
  <si>
    <t>CT100/G/17591/22</t>
  </si>
  <si>
    <t>ZURI PRODUCTS ENTERPRISES</t>
  </si>
  <si>
    <t>MR DAVID</t>
  </si>
  <si>
    <t>MARAGUA</t>
  </si>
  <si>
    <t>Mary Njeri Mwangi</t>
  </si>
  <si>
    <t>PA101/G/10581/20</t>
  </si>
  <si>
    <t>Eldoret water and sanitation company</t>
  </si>
  <si>
    <t>Joseph Kemboi</t>
  </si>
  <si>
    <t>info@eldowas.or.ke</t>
  </si>
  <si>
    <t xml:space="preserve">Daniel Ndichu </t>
  </si>
  <si>
    <t>PA100/G/13404/21</t>
  </si>
  <si>
    <t xml:space="preserve">BSc statistics </t>
  </si>
  <si>
    <t>Joy millers Limited</t>
  </si>
  <si>
    <t>Phylis Wangotho</t>
  </si>
  <si>
    <t>admin@joymillerlimited.co.ke</t>
  </si>
  <si>
    <t>Erick Mwangi</t>
  </si>
  <si>
    <t>Clinton Onchwari</t>
  </si>
  <si>
    <t>PA106/G/15092/21</t>
  </si>
  <si>
    <t xml:space="preserve">Sanganti Tea Company </t>
  </si>
  <si>
    <t>Korir Kibet</t>
  </si>
  <si>
    <t>Nyamira</t>
  </si>
  <si>
    <t>info@sanganyi.ktdates.com</t>
  </si>
  <si>
    <t>Ian Gatundu</t>
  </si>
  <si>
    <t>KEVIN OBURA</t>
  </si>
  <si>
    <t>Kitui Town, Kitui</t>
  </si>
  <si>
    <t>meru</t>
  </si>
  <si>
    <t>KASHINGA KENNEDY LEYIAN</t>
  </si>
  <si>
    <t>PA106/G/15042/21</t>
  </si>
  <si>
    <t>JOMU TECHNOLOGIES ICT training CENTER</t>
  </si>
  <si>
    <t>Jomu tech</t>
  </si>
  <si>
    <t xml:space="preserve">  Kihonge  Robin  </t>
  </si>
  <si>
    <t>PA107/G/7464/19</t>
  </si>
  <si>
    <t xml:space="preserve">BSc. Computer Systems Engineering </t>
  </si>
  <si>
    <t xml:space="preserve">       KONZA TECHNOPOLIS</t>
  </si>
  <si>
    <t xml:space="preserve">William Chege </t>
  </si>
  <si>
    <t>konza@konza.go.ke</t>
  </si>
  <si>
    <t>Njoki David Ngigi</t>
  </si>
  <si>
    <t>PA106/G/17737/22</t>
  </si>
  <si>
    <t>WInfred Kamathi</t>
  </si>
  <si>
    <t>PA102/G/12240/21</t>
  </si>
  <si>
    <t>Bsc acturial science</t>
  </si>
  <si>
    <t>AndrewYoung Okeyo</t>
  </si>
  <si>
    <t>PA106/G/15090/21</t>
  </si>
  <si>
    <t>POWERHUB CONSULTANT LIMITED</t>
  </si>
  <si>
    <t>Florence Maina</t>
  </si>
  <si>
    <t>ruiru</t>
  </si>
  <si>
    <t>Antony Mutethia Kirimi</t>
  </si>
  <si>
    <t>PA106/G/17491/22</t>
  </si>
  <si>
    <t>CHEBARA SOPPRT INITIATIVE</t>
  </si>
  <si>
    <t>Mr Robert</t>
  </si>
  <si>
    <t>Benson Kiragu Ndiritu</t>
  </si>
  <si>
    <t>PA100/G/8638/20</t>
  </si>
  <si>
    <t xml:space="preserve">BSC Statistics </t>
  </si>
  <si>
    <t>NHIF Nakuru</t>
  </si>
  <si>
    <t>cecilliah wairimu</t>
  </si>
  <si>
    <t>nakuru@nhif.or.ke</t>
  </si>
  <si>
    <t xml:space="preserve">Kinoti Mark Mutura </t>
  </si>
  <si>
    <t>PA106/G/17489/22</t>
  </si>
  <si>
    <t>county government of kirinyaga</t>
  </si>
  <si>
    <t xml:space="preserve">kutus </t>
  </si>
  <si>
    <t>Maureen Nyambura Mucheru</t>
  </si>
  <si>
    <t>PA100/G/13376/21</t>
  </si>
  <si>
    <t>BST STATISTICS</t>
  </si>
  <si>
    <t>COUNty government of kirinyaga</t>
  </si>
  <si>
    <t>Titus Njama Mugo</t>
  </si>
  <si>
    <t>James Njoroge</t>
  </si>
  <si>
    <t>CT101/G/16052/22</t>
  </si>
  <si>
    <t xml:space="preserve">Bsc  Computer  Science </t>
  </si>
  <si>
    <t>Dina Web Developers</t>
  </si>
  <si>
    <t>Ian</t>
  </si>
  <si>
    <t xml:space="preserve">dinawebdevelopers@gmail.com </t>
  </si>
  <si>
    <t>Gisare miogo simon</t>
  </si>
  <si>
    <t>PA106/G/17453/22</t>
  </si>
  <si>
    <t>Upendo electronics ltd</t>
  </si>
  <si>
    <t>Irene wangui</t>
  </si>
  <si>
    <t>Koech Sophronios K</t>
  </si>
  <si>
    <t>PA106/G/15055/21</t>
  </si>
  <si>
    <t>NEMA</t>
  </si>
  <si>
    <t>PETER WANJAU</t>
  </si>
  <si>
    <t xml:space="preserve">Wachira Cynthia </t>
  </si>
  <si>
    <t>pa106/g/17423/22</t>
  </si>
  <si>
    <t xml:space="preserve">bsc.software engineering </t>
  </si>
  <si>
    <t xml:space="preserve">Kenya forest services </t>
  </si>
  <si>
    <t>info@kenyaforestservices</t>
  </si>
  <si>
    <t>Victor Gakule</t>
  </si>
  <si>
    <t>PA100/G/13392/21</t>
  </si>
  <si>
    <t>BST statistics</t>
  </si>
  <si>
    <t>KNBS</t>
  </si>
  <si>
    <t>Peter Maina</t>
  </si>
  <si>
    <t>nyeri@knbs.or.ke</t>
  </si>
  <si>
    <t xml:space="preserve">Wilson Bundi </t>
  </si>
  <si>
    <t>pa106/g/14993/21</t>
  </si>
  <si>
    <t xml:space="preserve">bsc. software engineering </t>
  </si>
  <si>
    <t xml:space="preserve">county government of Nakuru </t>
  </si>
  <si>
    <t>mr. Maina Harron</t>
  </si>
  <si>
    <t>info@nakuru.go.ke</t>
  </si>
  <si>
    <t>Samuel Karitie</t>
  </si>
  <si>
    <t>PA106/G/17475/22</t>
  </si>
  <si>
    <t>craydel kenya limited</t>
  </si>
  <si>
    <t>info@craydel.com</t>
  </si>
  <si>
    <t>Miriti M Emmanuel</t>
  </si>
  <si>
    <t>PA106/G/14632/21</t>
  </si>
  <si>
    <t>Kerugoya County Referal Hospital</t>
  </si>
  <si>
    <t>Geofrey Gachoka</t>
  </si>
  <si>
    <t>kerugoyahopital@gmail.com</t>
  </si>
  <si>
    <t>MOSES MWANGI KABERI</t>
  </si>
  <si>
    <t>CT100/G/14102/21</t>
  </si>
  <si>
    <t xml:space="preserve">BSc. INFORMATION TECHNOLOGY </t>
  </si>
  <si>
    <t>0111313226</t>
  </si>
  <si>
    <t xml:space="preserve">KIRINYAGA COUNTY OFFICE REVENUE COLLECTION </t>
  </si>
  <si>
    <t>Mr. Henry</t>
  </si>
  <si>
    <t>Kutus, Kerugoya</t>
  </si>
  <si>
    <t>0202582237</t>
  </si>
  <si>
    <t>infor@kirinyaga.go.ke</t>
  </si>
  <si>
    <t>PA102/G/12281/21</t>
  </si>
  <si>
    <t xml:space="preserve">Kianyaga sub-county hospital </t>
  </si>
  <si>
    <t>Dr.Irene</t>
  </si>
  <si>
    <t xml:space="preserve">kianyaga </t>
  </si>
  <si>
    <t>pa106/g/12318/21</t>
  </si>
  <si>
    <t>kirinyaga county headquarters</t>
  </si>
  <si>
    <t>Edwin</t>
  </si>
  <si>
    <t>020-21053</t>
  </si>
  <si>
    <t>countycommissionerkirinyaga@gmail.com</t>
  </si>
  <si>
    <t>PA106/G/14972/21</t>
  </si>
  <si>
    <t>Rapsoltech consulting</t>
  </si>
  <si>
    <t>Kennedy macharia</t>
  </si>
  <si>
    <t>rapsoltech254@gmail.com</t>
  </si>
  <si>
    <t>PA106/G/14609/21</t>
  </si>
  <si>
    <t>Software engineering</t>
  </si>
  <si>
    <t>Gully Net solutions</t>
  </si>
  <si>
    <t>Kinoo</t>
  </si>
  <si>
    <t>0717 175929</t>
  </si>
  <si>
    <t>gullynet @gmail.com</t>
  </si>
  <si>
    <t>IAN JOHN MUNENE</t>
  </si>
  <si>
    <t>CT101/G/9566/20</t>
  </si>
  <si>
    <t>Bsc Computer science</t>
  </si>
  <si>
    <t xml:space="preserve">net international </t>
  </si>
  <si>
    <t>MR.NJERU</t>
  </si>
  <si>
    <t xml:space="preserve">Remison Barawa </t>
  </si>
  <si>
    <t>county government nakuru</t>
  </si>
  <si>
    <t>Mr.Maina</t>
  </si>
  <si>
    <t>KARIUKI HANNAH</t>
  </si>
  <si>
    <t>CT100/G/12584/21</t>
  </si>
  <si>
    <t xml:space="preserve">Bsc. Information  technology </t>
  </si>
  <si>
    <t xml:space="preserve">FILMTECH SYSTEMS </t>
  </si>
  <si>
    <t>SAMUEL  MAINA</t>
  </si>
  <si>
    <t xml:space="preserve">filmtech systems @gmail.com </t>
  </si>
  <si>
    <t>Shalon Kathambi</t>
  </si>
  <si>
    <t>CT101/G/17750/22</t>
  </si>
  <si>
    <t>Meru university -Meru town campus</t>
  </si>
  <si>
    <t>Githae</t>
  </si>
  <si>
    <t>towncampus@must.ac.ke</t>
  </si>
  <si>
    <t xml:space="preserve">Violet Achieng </t>
  </si>
  <si>
    <t>PA101/G/14396/21</t>
  </si>
  <si>
    <t xml:space="preserve">Bsc in mathematics and computer science </t>
  </si>
  <si>
    <t xml:space="preserve">Teach2Give </t>
  </si>
  <si>
    <t>Hawona Rodgers Wisdom</t>
  </si>
  <si>
    <t>PA106/G/17569/22</t>
  </si>
  <si>
    <t>Bsc.Software Engineering</t>
  </si>
  <si>
    <t>Dr. Erick Oduor</t>
  </si>
  <si>
    <t>info@maji.co.ke</t>
  </si>
  <si>
    <t>mr.njeru</t>
  </si>
  <si>
    <t xml:space="preserve">Mathew Ndolo </t>
  </si>
  <si>
    <t>Ct100/g/14078/21</t>
  </si>
  <si>
    <t>Mwea Software company</t>
  </si>
  <si>
    <t xml:space="preserve">Mr. James </t>
  </si>
  <si>
    <t>Mwea</t>
  </si>
  <si>
    <t>mweasoftwarecompany@gmail.com</t>
  </si>
  <si>
    <t>Fredrick Oluoch Odumbe</t>
  </si>
  <si>
    <t>CT101/G/12481/21</t>
  </si>
  <si>
    <t>NHIF kerugoya</t>
  </si>
  <si>
    <t>Juma Berine</t>
  </si>
  <si>
    <t>PA101/G/11178/20</t>
  </si>
  <si>
    <t>Umeskia softawares</t>
  </si>
  <si>
    <t>Patrick Kimathi</t>
  </si>
  <si>
    <t>PA101/G/7412/19</t>
  </si>
  <si>
    <t>Bsc in mathematics and computer science</t>
  </si>
  <si>
    <t>Mr Alvin</t>
  </si>
  <si>
    <t>info@umeskiasoftwares.com</t>
  </si>
  <si>
    <t>Elias Gift Wamalwa</t>
  </si>
  <si>
    <t>PA101/G/7442/19</t>
  </si>
  <si>
    <t>Kibet Sosthen</t>
  </si>
  <si>
    <t>PA106/G/15037/21</t>
  </si>
  <si>
    <t>Jacob Muema Munywoki</t>
  </si>
  <si>
    <t>CT101/G/!2402/21</t>
  </si>
  <si>
    <t>BSC  Computer Science</t>
  </si>
  <si>
    <t>masyopnet Technologies</t>
  </si>
  <si>
    <t>Mr Kevin</t>
  </si>
  <si>
    <t>Brian Muimi Paul</t>
  </si>
  <si>
    <t>PA106/G/14977/21</t>
  </si>
  <si>
    <t xml:space="preserve">Okutu Henry onyango </t>
  </si>
  <si>
    <t>CT100/G/15977/22</t>
  </si>
  <si>
    <t>PRO. RESEARCH CO</t>
  </si>
  <si>
    <t>Ongili Pancras</t>
  </si>
  <si>
    <t xml:space="preserve">Nairobi. Kutus </t>
  </si>
  <si>
    <t>Proresearch@gmail.com</t>
  </si>
  <si>
    <t>ALEX NYANGARESI OBWOGI</t>
  </si>
  <si>
    <t>CT101/G/16037/22</t>
  </si>
  <si>
    <t>Course BSc. Computer science</t>
  </si>
  <si>
    <t>Delmonte limited company</t>
  </si>
  <si>
    <t>Elizabeth Wayua</t>
  </si>
  <si>
    <t>nanasi@delmonte.co.ke</t>
  </si>
  <si>
    <t>JOEL MACHARIA KARANJA</t>
  </si>
  <si>
    <t>CT100/G/15891/22</t>
  </si>
  <si>
    <t>KINANGOP TECHNICAL AND VOCATIONAL COLLEGE</t>
  </si>
  <si>
    <t>KEN KARANJA</t>
  </si>
  <si>
    <t>NJABINI</t>
  </si>
  <si>
    <t>kinangoptvc@gmail.com</t>
  </si>
  <si>
    <t>ENOCK KIMUTAI SIGEI</t>
  </si>
  <si>
    <t>CT100/G/15963/22</t>
  </si>
  <si>
    <t>PRP4+ GM8, Uthiru Nairobi</t>
  </si>
  <si>
    <t>KERICH KIMTAI</t>
  </si>
  <si>
    <t>705 262 407</t>
  </si>
  <si>
    <t>info@franciumsources.com</t>
  </si>
  <si>
    <t>SHIKHULE BENARD STEVEN</t>
  </si>
  <si>
    <t>PA106/G/17555/22</t>
  </si>
  <si>
    <t>HUDUMA CENTER GPO, NAIROBI</t>
  </si>
  <si>
    <t>IDRIS SIMIYU</t>
  </si>
  <si>
    <t>0747 191919</t>
  </si>
  <si>
    <t>info@hudumakenya.go.ke</t>
  </si>
  <si>
    <t>VICTOR M. KARANI KINYUA</t>
  </si>
  <si>
    <t>CT100/G/12681/21</t>
  </si>
  <si>
    <t>BSc INFORMATION TECHNOLOGYY</t>
  </si>
  <si>
    <t>MURANG'A UNIVERSITY</t>
  </si>
  <si>
    <t>MR. RICHARD</t>
  </si>
  <si>
    <t>MURANG'A</t>
  </si>
  <si>
    <t xml:space="preserve">Karimi Brian </t>
  </si>
  <si>
    <t>PA102/G/12249/21</t>
  </si>
  <si>
    <t xml:space="preserve">BSC Actuarial </t>
  </si>
  <si>
    <t xml:space="preserve">Britam Life Assurance </t>
  </si>
  <si>
    <t>Irene Makau</t>
  </si>
  <si>
    <t>info@britam.com</t>
  </si>
  <si>
    <t>ALVONS CHEPSOIYO CHEPKEITANY</t>
  </si>
  <si>
    <t>PA106/G/17542/22</t>
  </si>
  <si>
    <t>DOMINIC KEMBOI</t>
  </si>
  <si>
    <t>Principal@rvist.ac.ke</t>
  </si>
  <si>
    <t>NDABA RUFAS MUGO</t>
  </si>
  <si>
    <t>CT100/G/15914/22</t>
  </si>
  <si>
    <t xml:space="preserve">BSC INFORMATION  TECHNOLOGY </t>
  </si>
  <si>
    <t>WALTER NG'ENO</t>
  </si>
  <si>
    <t>CLINTON  ONGAGA</t>
  </si>
  <si>
    <t>PA101/G/15514/21</t>
  </si>
  <si>
    <t>NYANGENA HOSPITAL LIMITED</t>
  </si>
  <si>
    <t>KEVIN  NYAUNDI</t>
  </si>
  <si>
    <t>info@nyangenahospital.com</t>
  </si>
  <si>
    <t>Kevin Mwaniki</t>
  </si>
  <si>
    <t>CT100/G/14052/21</t>
  </si>
  <si>
    <t>Kenya Airport Authority</t>
  </si>
  <si>
    <t>Victor Munyithya</t>
  </si>
  <si>
    <t>info@kaa.go.ke</t>
  </si>
  <si>
    <t>NYAMBANE BOAZ ONGARO</t>
  </si>
  <si>
    <t>CT100/G/17673/22</t>
  </si>
  <si>
    <t>EASY COMPUTER TRAINING COLLEGE</t>
  </si>
  <si>
    <t>EVANS OMOI</t>
  </si>
  <si>
    <t xml:space="preserve">easycomp@gmail.com </t>
  </si>
  <si>
    <t>Brian Otieno Marende</t>
  </si>
  <si>
    <t>PA106/G/15082</t>
  </si>
  <si>
    <t>Masyopnet Techology Company</t>
  </si>
  <si>
    <t>kelvin Obura</t>
  </si>
  <si>
    <t xml:space="preserve">Purity Juma </t>
  </si>
  <si>
    <t>CT101/G/11183/20</t>
  </si>
  <si>
    <t xml:space="preserve">IBM </t>
  </si>
  <si>
    <t>ibm.eu@skilluponline.com</t>
  </si>
  <si>
    <t>Shekinah Nyambura</t>
  </si>
  <si>
    <t>PA106/G/15444/21</t>
  </si>
  <si>
    <t>State Department for Youth Affairs</t>
  </si>
  <si>
    <t>Mary Wangechi Kimaru</t>
  </si>
  <si>
    <t>Pa106/G/15056/21</t>
  </si>
  <si>
    <t>KONZA TECHNOPOLIS</t>
  </si>
  <si>
    <t>Kevin Kiprop</t>
  </si>
  <si>
    <t>YEGO COLLINS KIMELI</t>
  </si>
  <si>
    <t>CT100/G/14111/21</t>
  </si>
  <si>
    <t>Bsc. INFORMATION TECHNOLOGY</t>
  </si>
  <si>
    <t>MAJI.CO.KE</t>
  </si>
  <si>
    <t>DR. ERICK ODUOR</t>
  </si>
  <si>
    <t>Paul Gatambia</t>
  </si>
  <si>
    <t>PA106/G/17458/22</t>
  </si>
  <si>
    <t>Starnet Solutions Limited</t>
  </si>
  <si>
    <t>Simon Musyoki</t>
  </si>
  <si>
    <t>Ruai Nairobi</t>
  </si>
  <si>
    <t>info@starnet.co.ke</t>
  </si>
  <si>
    <t>KAGAI FRANCIS GITAU</t>
  </si>
  <si>
    <t>CT100/G/15887/22</t>
  </si>
  <si>
    <t>COUNTY GOVERNMENT OF NYANDARUA</t>
  </si>
  <si>
    <t>MR.MOSES</t>
  </si>
  <si>
    <t>info@nyandarua.go.ke</t>
  </si>
  <si>
    <t>SAMUEL N NDIRITU</t>
  </si>
  <si>
    <t>CT101/G/16055/22</t>
  </si>
  <si>
    <t>Bsc. COMPUTER SCIENCE</t>
  </si>
  <si>
    <t>Mr Henry</t>
  </si>
  <si>
    <t xml:space="preserve">Duncan Ngegwa </t>
  </si>
  <si>
    <t>PA106/G/17471/22</t>
  </si>
  <si>
    <t>Couty Government of Nakuru Department of Finance</t>
  </si>
  <si>
    <t>Victor Muriuki</t>
  </si>
  <si>
    <t>psm@nakuru.go.e</t>
  </si>
  <si>
    <t xml:space="preserve">Joy Gitonga </t>
  </si>
  <si>
    <t>CT101/G/12357/21</t>
  </si>
  <si>
    <t xml:space="preserve">Nyeri Water and Sanitation company limited </t>
  </si>
  <si>
    <t>Boniface Mwaniki</t>
  </si>
  <si>
    <t>www.nyewasco.co.ke</t>
  </si>
  <si>
    <t xml:space="preserve">Ruth Wangare Kariuki </t>
  </si>
  <si>
    <t>wainaina susan wangui</t>
  </si>
  <si>
    <t>Erick ngechu</t>
  </si>
  <si>
    <t xml:space="preserve">Murigi Caroline </t>
  </si>
  <si>
    <t>KITUR ELLAINE JEPKORIR</t>
  </si>
  <si>
    <t>PA106/G/15049/21</t>
  </si>
  <si>
    <t xml:space="preserve">Ministry of ICT- ICT Authority West Pokot </t>
  </si>
  <si>
    <t>Daniel Ondigo Odongo</t>
  </si>
  <si>
    <t>daniel.odongo@icta.go.ke</t>
  </si>
  <si>
    <t xml:space="preserve">Zakayo Mwangi </t>
  </si>
  <si>
    <t>CT100/G/14090/21</t>
  </si>
  <si>
    <t xml:space="preserve">Bsc.information technology </t>
  </si>
  <si>
    <t xml:space="preserve">Biashara wakulima daily society limited </t>
  </si>
  <si>
    <t xml:space="preserve">wambui kamaru </t>
  </si>
  <si>
    <t xml:space="preserve">Naivasha </t>
  </si>
  <si>
    <t>wambuikamaru824@gmail.com</t>
  </si>
  <si>
    <t xml:space="preserve">TITUS KIPKIRUI </t>
  </si>
  <si>
    <t>PA106/G/17507/22</t>
  </si>
  <si>
    <t xml:space="preserve">                                  +254 748 860 781                          </t>
  </si>
  <si>
    <t>HUDUMA CENTER BOMET</t>
  </si>
  <si>
    <t>AMOS KIBET</t>
  </si>
  <si>
    <t xml:space="preserve">Bomet Town </t>
  </si>
  <si>
    <t xml:space="preserve">IDA AMAKOVE MUTAKHA </t>
  </si>
  <si>
    <t>CT101/G/12448/21</t>
  </si>
  <si>
    <t xml:space="preserve">BSC.COMPUTER SCIENCE </t>
  </si>
  <si>
    <t xml:space="preserve">UNITED STATES INTERNATIONAL UNIVERSITY </t>
  </si>
  <si>
    <t>MOSES SHIYUKA</t>
  </si>
  <si>
    <t>helpdesk@usiu.ac.ke</t>
  </si>
  <si>
    <t>BRIAN MWAI KIMANI</t>
  </si>
  <si>
    <t>CT101/G/12379/21</t>
  </si>
  <si>
    <t>KENVERSITY SACCO LTD</t>
  </si>
  <si>
    <t>Kepher Masai ICT head</t>
  </si>
  <si>
    <t>info.@kenversitysacco.co.ke</t>
  </si>
  <si>
    <t xml:space="preserve">FRANCIS GICUHO MACHARIA </t>
  </si>
  <si>
    <t>CT100/G/14057/21</t>
  </si>
  <si>
    <t xml:space="preserve">BSC. INFORMATION TECHNOLOGY </t>
  </si>
  <si>
    <t>0715588826</t>
  </si>
  <si>
    <t>Directorate Of Children Services</t>
  </si>
  <si>
    <t>REBECCA KARIUKI</t>
  </si>
  <si>
    <t>GATUNDU SOUTH</t>
  </si>
  <si>
    <t>0721900905</t>
  </si>
  <si>
    <t>ABIHA LYDIA LOZENJA</t>
  </si>
  <si>
    <t>PA107/G/14439/21</t>
  </si>
  <si>
    <t>KENYA POWER AND LIGHTING COMPANY(STIMA PLAZA)</t>
  </si>
  <si>
    <t>MARGARET MUNYOKI</t>
  </si>
  <si>
    <t>254-20-3201000</t>
  </si>
  <si>
    <t xml:space="preserve">Simiyu Jerioth Jebet </t>
  </si>
  <si>
    <t>CT102/G/13852/21</t>
  </si>
  <si>
    <t xml:space="preserve">National Social Security Fund </t>
  </si>
  <si>
    <t>Lizz Boit</t>
  </si>
  <si>
    <t xml:space="preserve">MWANGI JAMES KANYI </t>
  </si>
  <si>
    <t>CT100/G/9039/20</t>
  </si>
  <si>
    <t xml:space="preserve">BSC . INFORMATION TECHNOLOGY </t>
  </si>
  <si>
    <t>Mr.Henry</t>
  </si>
  <si>
    <t xml:space="preserve">muia maurine mumbua </t>
  </si>
  <si>
    <t>CT102/G/13836/21</t>
  </si>
  <si>
    <t>BACHELOR  OF BUSINESS INFORMATION TECHNOLOGY</t>
  </si>
  <si>
    <t xml:space="preserve">KENAFRIC  INDUSTRY </t>
  </si>
  <si>
    <t xml:space="preserve"> MR AMOS NYAKUNDI</t>
  </si>
  <si>
    <t>admin@kenafricind.com</t>
  </si>
  <si>
    <t>Vivian wairimu Gikonyo</t>
  </si>
  <si>
    <t>CT102/G/11964/20</t>
  </si>
  <si>
    <t>Business and information technology</t>
  </si>
  <si>
    <t xml:space="preserve">Cooperative bank </t>
  </si>
  <si>
    <t>Gerald Ngare</t>
  </si>
  <si>
    <t>kutusbr@co-opbank.co.ke</t>
  </si>
  <si>
    <t>LONNEX NGURE WAITHAKA</t>
  </si>
  <si>
    <t>PA106/G/14956/21</t>
  </si>
  <si>
    <t xml:space="preserve"> </t>
  </si>
  <si>
    <t>PA106/G/17534/22</t>
  </si>
  <si>
    <t>Victor Gatuma Wachira</t>
  </si>
  <si>
    <t>PA106/G/17482/22</t>
  </si>
  <si>
    <t>QUICK KOBIL SERVICES ORG</t>
  </si>
  <si>
    <t>PETER NDIRANGU GATUMA</t>
  </si>
  <si>
    <t>quickkobilembu@yahoo.com</t>
  </si>
  <si>
    <t>WAMBIRU MICHAEL BRADON GITAU</t>
  </si>
  <si>
    <t>CT101/G/16010/22</t>
  </si>
  <si>
    <t>KENYA POWER AND LIGHTNING COMPANY, PLC</t>
  </si>
  <si>
    <t>BRIAN KIMITEI</t>
  </si>
  <si>
    <t>061-30646</t>
  </si>
  <si>
    <t>Joan  Chemutai</t>
  </si>
  <si>
    <t>PA101/G/15343/21</t>
  </si>
  <si>
    <t>BSC . Mathematics &amp; computer Science</t>
  </si>
  <si>
    <t>COUNTY GOVERNMENT OF BOMET</t>
  </si>
  <si>
    <t>GILBERT CHERUIYOT</t>
  </si>
  <si>
    <t>Gilbert.cheruiyot@bomet.go.ke</t>
  </si>
  <si>
    <t xml:space="preserve">IRUNGU MAXWELL NJOROGE </t>
  </si>
  <si>
    <t>CT101/G/12366/21</t>
  </si>
  <si>
    <t xml:space="preserve">MURIRANJA HOSPITAL </t>
  </si>
  <si>
    <t>Mr.Francis</t>
  </si>
  <si>
    <t>Muranga</t>
  </si>
  <si>
    <t>hosymuri@yahoo.com</t>
  </si>
  <si>
    <t>BRIAN MUTAHI WAHOME</t>
  </si>
  <si>
    <t>CT100/G/14127/21</t>
  </si>
  <si>
    <t>BRIGHT INNOVATIONS LTD</t>
  </si>
  <si>
    <t>Jonathan Kisemy</t>
  </si>
  <si>
    <t xml:space="preserve">Nganga Samuel Njenga </t>
  </si>
  <si>
    <t>PA109/G/14486/21</t>
  </si>
  <si>
    <t xml:space="preserve">BSC. Financial Engineering </t>
  </si>
  <si>
    <t xml:space="preserve">NAIROBI CITY WATER AND SEWERAGE COMPANY LTD </t>
  </si>
  <si>
    <t>Madam.Miriam</t>
  </si>
  <si>
    <t>@nairobiwater.co.ke</t>
  </si>
  <si>
    <t>MULI GERALD KIOKO</t>
  </si>
  <si>
    <t>PA109/G/14491/21</t>
  </si>
  <si>
    <t>PA101/G/14384/21</t>
  </si>
  <si>
    <t>BSC.Mathematics and computer science</t>
  </si>
  <si>
    <t>County Government of Embu</t>
  </si>
  <si>
    <t>MERCY MUTHONI</t>
  </si>
  <si>
    <t>CT101/G/12444/21</t>
  </si>
  <si>
    <t>COUNTY GOVERNMENT OF NAKURU</t>
  </si>
  <si>
    <t>ALEX NJERU MUNENE</t>
  </si>
  <si>
    <t>Julius kioko kimanzi</t>
  </si>
  <si>
    <t>PA101/G/15511/21</t>
  </si>
  <si>
    <t>BSC Mathematics and computer science</t>
  </si>
  <si>
    <t>COUNTY GOVERNMENT OF EMBU</t>
  </si>
  <si>
    <t>Benson kilonzi musya</t>
  </si>
  <si>
    <t>PA101/G/9425/20</t>
  </si>
  <si>
    <t>Martin King'ori Mwangi</t>
  </si>
  <si>
    <t>PA109/G/14475/21</t>
  </si>
  <si>
    <t xml:space="preserve">Bsc. Financial Engineering </t>
  </si>
  <si>
    <t>Gitugi Tea Factory Limited</t>
  </si>
  <si>
    <t>Cheruiyot Koech</t>
  </si>
  <si>
    <t>Othaya</t>
  </si>
  <si>
    <t>Muguna Collins</t>
  </si>
  <si>
    <t>CT101/G/9666/20</t>
  </si>
  <si>
    <t>Icon Computers</t>
  </si>
  <si>
    <t>Edger Mayabi</t>
  </si>
  <si>
    <t xml:space="preserve">EVANS KIPTANUI </t>
  </si>
  <si>
    <t>PA102/G/12279/21</t>
  </si>
  <si>
    <t xml:space="preserve">MINET KENYA INSURANCE BROKERS LTD </t>
  </si>
  <si>
    <t xml:space="preserve">PETER ARIMI </t>
  </si>
  <si>
    <t>info@minet.co.ke</t>
  </si>
  <si>
    <t>SHADRAK KIRAGU</t>
  </si>
  <si>
    <t>CT100/G/14027/21</t>
  </si>
  <si>
    <t>BSC IT</t>
  </si>
  <si>
    <t>Norah Kasiva Sammy</t>
  </si>
  <si>
    <t>CT102/G/13829/21</t>
  </si>
  <si>
    <t>PATRICK  MUTUKU</t>
  </si>
  <si>
    <t>dvc.paf@embuni.ac.ke</t>
  </si>
  <si>
    <t xml:space="preserve">Meshack Cheberi </t>
  </si>
  <si>
    <t>PA106/G/15047/21</t>
  </si>
  <si>
    <t xml:space="preserve">KAPSOWAR ICT CENTRE </t>
  </si>
  <si>
    <t>Willy Cheruiyot</t>
  </si>
  <si>
    <t>Elgeiyo Marakwet</t>
  </si>
  <si>
    <t xml:space="preserve">Christine Nyambwari </t>
  </si>
  <si>
    <t>CT102/G/13842/21</t>
  </si>
  <si>
    <t xml:space="preserve">Teach2give training program </t>
  </si>
  <si>
    <t>KILUMA TONNY MBITHI</t>
  </si>
  <si>
    <t>CT101/G/12398/21`</t>
  </si>
  <si>
    <t>LEETECH WORLD K LIMITED</t>
  </si>
  <si>
    <t>Antony Musyoka</t>
  </si>
  <si>
    <t>leetechworldklimited@gmail.com</t>
  </si>
  <si>
    <t>Bravine Ochieng</t>
  </si>
  <si>
    <t>CT100/G/15988/22</t>
  </si>
  <si>
    <t xml:space="preserve">KENYA AGRICULTURAL AND LIVESTOCK RESEARCH ORGANIZATION </t>
  </si>
  <si>
    <t>Dukakis Agalamwa</t>
  </si>
  <si>
    <t>Kisumu</t>
  </si>
  <si>
    <t>0735 33 99 12</t>
  </si>
  <si>
    <t xml:space="preserve"> director.sri@kalro.org</t>
  </si>
  <si>
    <t>ELPHAS KIPROTICH BETT</t>
  </si>
  <si>
    <t>PA106/G/17529/22</t>
  </si>
  <si>
    <t>Bsc.SOFTWARE ENGINEERING</t>
  </si>
  <si>
    <t>MOMONIAT COFFEE FARMERS CO-OPERATIVE SOCIETY</t>
  </si>
  <si>
    <t>Nicholas Langat</t>
  </si>
  <si>
    <t>Kericho,kipkelion</t>
  </si>
  <si>
    <t>momcopsociety@gmail.com</t>
  </si>
  <si>
    <t xml:space="preserve">Macharia George Mwangi </t>
  </si>
  <si>
    <t>CT101/G/16057/22</t>
  </si>
  <si>
    <t xml:space="preserve">Bsc Computer science </t>
  </si>
  <si>
    <t>0740804333</t>
  </si>
  <si>
    <t>UNIVERSITY OF NAIROBI - UPPER KABETE CAMPUS</t>
  </si>
  <si>
    <t>Zaxaia Ali Har</t>
  </si>
  <si>
    <t>PA106/G/14704/21</t>
  </si>
  <si>
    <t>PREMIER BANK EASTLEIGH ONE - GARISSA LODGE BRANCH</t>
  </si>
  <si>
    <t>Ayub Hassan</t>
  </si>
  <si>
    <t xml:space="preserve"> Eastleigh,Nairobi</t>
  </si>
  <si>
    <t>info.eastleighbranch@fcb.co.ke</t>
  </si>
  <si>
    <t xml:space="preserve">KENYA TEA DEVELOPMENT AGENCY LIMITED </t>
  </si>
  <si>
    <t>Vincent Kyeva</t>
  </si>
  <si>
    <t>Makindu</t>
  </si>
  <si>
    <t>info.sonifixenergies.co.ke</t>
  </si>
  <si>
    <t xml:space="preserve">Maxon Ngoi Mulandi </t>
  </si>
  <si>
    <t>CT101/G/12424/21</t>
  </si>
  <si>
    <t>Sonifix Energy Company</t>
  </si>
  <si>
    <t xml:space="preserve">ELIAS KIPLANGAT </t>
  </si>
  <si>
    <t>CT100/G/14096/21</t>
  </si>
  <si>
    <t>THAMES ELECTRICALS LIMITED</t>
  </si>
  <si>
    <t>NJOROGE DAVID</t>
  </si>
  <si>
    <t xml:space="preserve">valentine Wanjiru Kimotho </t>
  </si>
  <si>
    <t>PA100 /G/9181/20</t>
  </si>
  <si>
    <t>BSC.STATISTICS</t>
  </si>
  <si>
    <t>KENYA AGRICULTURAL AND LIVESTOCK RESEARCH ORGANISATION</t>
  </si>
  <si>
    <t>Elias Thuranira</t>
  </si>
  <si>
    <t xml:space="preserve">KABETE </t>
  </si>
  <si>
    <t>Gideon Kipkurui Ngetich</t>
  </si>
  <si>
    <t>PA106/G/15038/21</t>
  </si>
  <si>
    <t>AWS Restart Emobilis  | Gully Net Solution</t>
  </si>
  <si>
    <t>Harrison Macharia</t>
  </si>
  <si>
    <t xml:space="preserve">MIKAELA MUTHONI </t>
  </si>
  <si>
    <t>CT101/G/10726/20</t>
  </si>
  <si>
    <t>MR KEVIN COMBA</t>
  </si>
  <si>
    <t xml:space="preserve">KIRINYAGA UNIVERSITY </t>
  </si>
  <si>
    <t xml:space="preserve"> +254-710-453-693</t>
  </si>
  <si>
    <t>Victor kiplimo kibet</t>
  </si>
  <si>
    <t>CT101/G/16059/22</t>
  </si>
  <si>
    <t xml:space="preserve">County government of kirinyaga </t>
  </si>
  <si>
    <t>Henery Muruga</t>
  </si>
  <si>
    <t>Waswah Jerry</t>
  </si>
  <si>
    <t>PA107/G/11582/20</t>
  </si>
  <si>
    <t>Bsc. Computer Systems Engineering</t>
  </si>
  <si>
    <t>Daisy Caroline</t>
  </si>
  <si>
    <t>Homa Bay, Nyanza</t>
  </si>
  <si>
    <t>Joseph Nganga</t>
  </si>
  <si>
    <t>CT101/G/16048/22</t>
  </si>
  <si>
    <t>County government of Kirinyaga</t>
  </si>
  <si>
    <t>James Gathuita Irungu</t>
  </si>
  <si>
    <t>CT101/G/12367/21</t>
  </si>
  <si>
    <t>KTDA</t>
  </si>
  <si>
    <t>Ongeri Douglas</t>
  </si>
  <si>
    <t>Info@tombe.ktdateas.com</t>
  </si>
  <si>
    <t>Sharon Vusha Kevogo</t>
  </si>
  <si>
    <t>PA101/G/14420/21</t>
  </si>
  <si>
    <t>MINISTRY OF ROADS AND PUBLIC TRANSPORT</t>
  </si>
  <si>
    <t>Brian Thuo</t>
  </si>
  <si>
    <t>Industrial area, Nairobi</t>
  </si>
  <si>
    <t>020-2517914/ 0718976445</t>
  </si>
  <si>
    <t>cmte@mechanical.go.ke</t>
  </si>
  <si>
    <t>Penina Wangari Njeri</t>
  </si>
  <si>
    <t>PA106/G/1530/21</t>
  </si>
  <si>
    <t>Gully Net Solutions</t>
  </si>
  <si>
    <t xml:space="preserve">Simon Mwangi </t>
  </si>
  <si>
    <t>DERIC MAWIRA</t>
  </si>
  <si>
    <t>CT100/G/Q5946/22</t>
  </si>
  <si>
    <t>EMBU LEVEL 5 HOSPITAL</t>
  </si>
  <si>
    <t>EDWIN MWANIKI</t>
  </si>
  <si>
    <t>pghembu@gmail.com</t>
  </si>
  <si>
    <t>Gitau Roy Kullet</t>
  </si>
  <si>
    <t>CT100/G/10930/20</t>
  </si>
  <si>
    <t xml:space="preserve">KE-900 Oseronyokie Child Development &amp; Resource Centre </t>
  </si>
  <si>
    <t>Joseph Kiranto</t>
  </si>
  <si>
    <t>Ewuaso, Kajiado</t>
  </si>
  <si>
    <t>ke900pomcoseronyokie@gmail.com</t>
  </si>
  <si>
    <t>Samuel wahome kaminja</t>
  </si>
  <si>
    <t>CT102/G/13809/21</t>
  </si>
  <si>
    <t>Bsc.business information technology</t>
  </si>
  <si>
    <t>Environment and Land Court</t>
  </si>
  <si>
    <t>Mr.ibrahim</t>
  </si>
  <si>
    <t xml:space="preserve">Thika, Kiambu </t>
  </si>
  <si>
    <t>thikaelc@gmail.com</t>
  </si>
  <si>
    <t>Kipruto Jepkemoi Mercy</t>
  </si>
  <si>
    <t>PA107/G/14455/21</t>
  </si>
  <si>
    <t>Bcs.Computer Systems Engineering</t>
  </si>
  <si>
    <t>KENYA COAST GUARD SERVICE</t>
  </si>
  <si>
    <t>Alphonse Kioko</t>
  </si>
  <si>
    <t>Liwatoni, Mombasa</t>
  </si>
  <si>
    <t>info@kcgs.go.ke</t>
  </si>
  <si>
    <t>Moses kinyua mwangi</t>
  </si>
  <si>
    <t>CT101/G/14607/21</t>
  </si>
  <si>
    <t xml:space="preserve">Bsc.computer science </t>
  </si>
  <si>
    <t xml:space="preserve">teach2give training </t>
  </si>
  <si>
    <t xml:space="preserve">maryanne museng'ya </t>
  </si>
  <si>
    <t>CT102/G/13808/21</t>
  </si>
  <si>
    <t xml:space="preserve">i-lab Africa </t>
  </si>
  <si>
    <t xml:space="preserve">Charles wambugu </t>
  </si>
  <si>
    <t>ilabafrica@strathmore.edu</t>
  </si>
  <si>
    <t xml:space="preserve">Stanley Odhiambo </t>
  </si>
  <si>
    <t>CT100/G/15987/22</t>
  </si>
  <si>
    <t xml:space="preserve">BSc Information Technology </t>
  </si>
  <si>
    <t>Xping Technologies LTD</t>
  </si>
  <si>
    <t>DANIEL KANYAKA MWANGI</t>
  </si>
  <si>
    <t>Kikuyu, Kiambu</t>
  </si>
  <si>
    <t>0711844263/0713912090</t>
  </si>
  <si>
    <t>@xpingtechnologies.com</t>
  </si>
  <si>
    <t>Aggrey Omondi ouko</t>
  </si>
  <si>
    <t>PA106/G/17574/22</t>
  </si>
  <si>
    <t>Techkids Africa</t>
  </si>
  <si>
    <t>Bill</t>
  </si>
  <si>
    <t>techkidsafrica@gmail.com</t>
  </si>
  <si>
    <t xml:space="preserve">Peter Kirima Kimonde </t>
  </si>
  <si>
    <t>CT101/G/12453/21</t>
  </si>
  <si>
    <t xml:space="preserve">BSC Computer science </t>
  </si>
  <si>
    <t>Caroline Nyawira</t>
  </si>
  <si>
    <t xml:space="preserve">Kutus, Kirinyaga </t>
  </si>
  <si>
    <t xml:space="preserve">Lester Sinja Watosia </t>
  </si>
  <si>
    <t>PA106/G/15053/21</t>
  </si>
  <si>
    <t>Joshua Pseret</t>
  </si>
  <si>
    <t>CT101/G/12431/21</t>
  </si>
  <si>
    <t>Kapenguria County Refferal Hospital</t>
  </si>
  <si>
    <t>David Kipyegon</t>
  </si>
  <si>
    <t>kapenguria,west pokot</t>
  </si>
  <si>
    <t>kapenguria@yahoo.com</t>
  </si>
  <si>
    <t xml:space="preserve">Kelvin Githinji </t>
  </si>
  <si>
    <t>CT102/G/8718/20</t>
  </si>
  <si>
    <t xml:space="preserve">Bachelor of Business information Technology </t>
  </si>
  <si>
    <t>PESAFY AFRICA</t>
  </si>
  <si>
    <t>FRANCIS NGUGI</t>
  </si>
  <si>
    <t xml:space="preserve">KASARANI, NAIROBI </t>
  </si>
  <si>
    <t>pesafyafrica@gmail.com</t>
  </si>
  <si>
    <t xml:space="preserve">Emmanuel Muhami Kibe </t>
  </si>
  <si>
    <t xml:space="preserve">Pa101-g-14355-21 </t>
  </si>
  <si>
    <t xml:space="preserve">ICT fire and rescue </t>
  </si>
  <si>
    <t>Thika,kiambu</t>
  </si>
  <si>
    <t>Hesbon Arisi Arisi</t>
  </si>
  <si>
    <t>Kebirigo Tea Factory company LTD</t>
  </si>
  <si>
    <t>Victor langat</t>
  </si>
  <si>
    <t>CT100/G/14101/21</t>
  </si>
  <si>
    <t xml:space="preserve">Brian kipkoech ngetich </t>
  </si>
  <si>
    <t>PA107/G/15458/21</t>
  </si>
  <si>
    <t xml:space="preserve">Bsc . Computer System Engineering </t>
  </si>
  <si>
    <t xml:space="preserve">Kinoo Gully Net Solution </t>
  </si>
  <si>
    <t>Simon mwangi</t>
  </si>
  <si>
    <t>kinoo</t>
  </si>
  <si>
    <t xml:space="preserve">Daudi Yaa Yeri </t>
  </si>
  <si>
    <t>CT101/G/16008/22</t>
  </si>
  <si>
    <t xml:space="preserve">KEFRI COAST ECO-REGION </t>
  </si>
  <si>
    <t>Mr Francis Munene</t>
  </si>
  <si>
    <t>Gede,Kilifi</t>
  </si>
  <si>
    <t>rdgede@kefri.org</t>
  </si>
  <si>
    <t>victor langat</t>
  </si>
  <si>
    <t>CT100/G/1410121</t>
  </si>
  <si>
    <t>Longisa Referral Hospital</t>
  </si>
  <si>
    <t>Elizabeth Kamene Mulei</t>
  </si>
  <si>
    <t>CT100/G/14063/21</t>
  </si>
  <si>
    <t>CyberEdge Systems</t>
  </si>
  <si>
    <t>John Gitau</t>
  </si>
  <si>
    <t>info@cyberedgesystems.com</t>
  </si>
  <si>
    <t>Gitonga fides kawira</t>
  </si>
  <si>
    <t>CT100/G/15335/21</t>
  </si>
  <si>
    <t>BSc information Technology</t>
  </si>
  <si>
    <t>county government of Kirinyaga</t>
  </si>
  <si>
    <t xml:space="preserve">Bsc.COMPUTER SYSTEMS ENGINEERING </t>
  </si>
  <si>
    <t xml:space="preserve">MARGARET MUNYWOKI </t>
  </si>
  <si>
    <t>VIVIAN NJERI WAHU</t>
  </si>
  <si>
    <t>AGILE CLOUD LIMITED</t>
  </si>
  <si>
    <t>THURANIRA JEFF MURIUKI</t>
  </si>
  <si>
    <t>CT100/G/15903/22</t>
  </si>
  <si>
    <t>WAITHAKA V.T.C</t>
  </si>
  <si>
    <t>BONFACE AMAYAYA</t>
  </si>
  <si>
    <t xml:space="preserve">                                         0113259363 / 0722286318</t>
  </si>
  <si>
    <t>waithakatechicalcenter@gmail.com</t>
  </si>
  <si>
    <t>KITHINJI ERIC</t>
  </si>
  <si>
    <t>CT100/G/13833/21</t>
  </si>
  <si>
    <t>pgembu@gmai.com</t>
  </si>
  <si>
    <t xml:space="preserve"> WAMUYU LILIAN WAMBUI</t>
  </si>
  <si>
    <t>PA106/G/14957/21</t>
  </si>
  <si>
    <t>MATHIRA SUBCOUNTY REVENUE DEPARTMENT</t>
  </si>
  <si>
    <t>ESTHER KARIUKI</t>
  </si>
  <si>
    <t>KARATINA</t>
  </si>
  <si>
    <t>mathiraeastsubcounty@gmail.com</t>
  </si>
  <si>
    <t>FIDEL LANGAT</t>
  </si>
  <si>
    <t>PA106/G/15062/21</t>
  </si>
  <si>
    <t>KEVIN GATIMU</t>
  </si>
  <si>
    <t>DENIS WAITHAKA</t>
  </si>
  <si>
    <t>CT102/G/13810/21</t>
  </si>
  <si>
    <t>Bachelor of business information technology</t>
  </si>
  <si>
    <t>HUDUMA CENTRE NYERI</t>
  </si>
  <si>
    <t>ANNE NJORA</t>
  </si>
  <si>
    <t>silas muteti</t>
  </si>
  <si>
    <t>pa109/g/14499/21</t>
  </si>
  <si>
    <t>BSC.financial engineering</t>
  </si>
  <si>
    <t>wilson kiura</t>
  </si>
  <si>
    <t>PA101/G/14414/21</t>
  </si>
  <si>
    <t>Samuel Mwangi</t>
  </si>
  <si>
    <t>CT100/G/15928/22</t>
  </si>
  <si>
    <t>Kevin Gatimu</t>
  </si>
  <si>
    <t xml:space="preserve">SAMUEL KARIUKI </t>
  </si>
  <si>
    <t>CT100/G/9704/20</t>
  </si>
  <si>
    <t>pgembu@gmail.com</t>
  </si>
  <si>
    <t>LEONARD KIPLANGAT</t>
  </si>
  <si>
    <t>PA100/G/13399/21</t>
  </si>
  <si>
    <t>LONGISA COUNTY REFERRAL HOSPITAL</t>
  </si>
  <si>
    <t>SAMUEL MUTUVI</t>
  </si>
  <si>
    <t>PA102/G/12231/21</t>
  </si>
  <si>
    <t>BSC IN ACTUARIAL SCIENCE</t>
  </si>
  <si>
    <t>PLATINUM CREDIT LIMITED- RONGAI BRANCH</t>
  </si>
  <si>
    <t>RAMADHAN MUTUA</t>
  </si>
  <si>
    <t>RONGAI</t>
  </si>
  <si>
    <t>rongailbf@gmail.com</t>
  </si>
  <si>
    <t>WYCLIFE ODHIAMBO OGWENO</t>
  </si>
  <si>
    <t>PA102/G/12298/21</t>
  </si>
  <si>
    <t>BSC ACTUARIAL SCIENCE</t>
  </si>
  <si>
    <t xml:space="preserve">FIDELITY SHIELD INSURANCE </t>
  </si>
  <si>
    <t>PETER KARIUKI</t>
  </si>
  <si>
    <t xml:space="preserve">                    070998800/ 0709988714</t>
  </si>
  <si>
    <t>nakuru@fidelityshield.com</t>
  </si>
  <si>
    <t>DANIEL KIPKOECH</t>
  </si>
  <si>
    <t>PA102/G/10111/20</t>
  </si>
  <si>
    <t>NATIONAL SOCIAL SECURITY FUNDS</t>
  </si>
  <si>
    <t>Martin Maina</t>
  </si>
  <si>
    <t>CT102/G/13822/21</t>
  </si>
  <si>
    <t xml:space="preserve">bachelor of business information technology </t>
  </si>
  <si>
    <t xml:space="preserve">KU referral </t>
  </si>
  <si>
    <t>0710642513/ 0780900519</t>
  </si>
  <si>
    <t>John maina</t>
  </si>
  <si>
    <t>PA102/G/12200/21</t>
  </si>
  <si>
    <t>Nile Capita insurance Brokerage</t>
  </si>
  <si>
    <t>Mr Arthur</t>
  </si>
  <si>
    <t>customer.care@nilecapotal.co.ke</t>
  </si>
  <si>
    <t>BYZONE OCHIENG ODONG</t>
  </si>
  <si>
    <t>PA106/G/17577/22</t>
  </si>
  <si>
    <t xml:space="preserve">RONGO UNIVERSITY </t>
  </si>
  <si>
    <t>DR. ABILA</t>
  </si>
  <si>
    <t>MIGORY</t>
  </si>
  <si>
    <t>egaa@rongovarsity.ac.ke</t>
  </si>
  <si>
    <t xml:space="preserve">Cynthia Njoroge </t>
  </si>
  <si>
    <t>PA102/G/12192/21</t>
  </si>
  <si>
    <t xml:space="preserve">BSC Actuarial science </t>
  </si>
  <si>
    <t xml:space="preserve">Bricks insurance Agency limited </t>
  </si>
  <si>
    <t xml:space="preserve">Madam Nancy Mwaura </t>
  </si>
  <si>
    <t xml:space="preserve">Nairobi - Upperhill </t>
  </si>
  <si>
    <t>underwriting bricks@gmail.com</t>
  </si>
  <si>
    <t>EMELDAS NDIRANGU</t>
  </si>
  <si>
    <t>CT102/G/13812/21</t>
  </si>
  <si>
    <t>Bsc.Business information technology</t>
  </si>
  <si>
    <t>wananchi sacco society</t>
  </si>
  <si>
    <t>Ann Maina</t>
  </si>
  <si>
    <t>Nyeri-kenya</t>
  </si>
  <si>
    <t>Ezekiel Kirui Kipruto</t>
  </si>
  <si>
    <t>CT101/G/17343/22</t>
  </si>
  <si>
    <t xml:space="preserve">Kerugoya County Referral Hospital </t>
  </si>
  <si>
    <t>Charles ouma</t>
  </si>
  <si>
    <t>PA107/G/14469/21</t>
  </si>
  <si>
    <t xml:space="preserve">BSC computer system engineering </t>
  </si>
  <si>
    <t>County Government of Migori</t>
  </si>
  <si>
    <t>Hillary Otieno</t>
  </si>
  <si>
    <t>Meshack kipkoech</t>
  </si>
  <si>
    <t>CT100/G/15959/22</t>
  </si>
  <si>
    <t>County assembly of nakuru</t>
  </si>
  <si>
    <t>wasegesward@gmail.com</t>
  </si>
  <si>
    <t>MARO ADAMS CHARLES</t>
  </si>
  <si>
    <t>PA106/G/17565/22</t>
  </si>
  <si>
    <t>TSAVO GLASS COMPANY</t>
  </si>
  <si>
    <t>MD.Zammary chepkorir</t>
  </si>
  <si>
    <t>Athi river</t>
  </si>
  <si>
    <t>Cindy Karanja</t>
  </si>
  <si>
    <t>PA102/G/12219/21</t>
  </si>
  <si>
    <t>Nakuru Seguton house</t>
  </si>
  <si>
    <t>Henry Ambeva</t>
  </si>
  <si>
    <t>Brian Githua Mwangi</t>
  </si>
  <si>
    <t>CT101/G/12355/21</t>
  </si>
  <si>
    <t>Nyahururu County Referral Hospital</t>
  </si>
  <si>
    <t>Purity Muthoni</t>
  </si>
  <si>
    <t>Nyahururu town</t>
  </si>
  <si>
    <t>medsupnyahudh@gmail.com</t>
  </si>
  <si>
    <t>PA102/G/12301/21</t>
  </si>
  <si>
    <t>BSC Actuarial science</t>
  </si>
  <si>
    <t>County Assembly of kirinyaga</t>
  </si>
  <si>
    <t>Kennedy Kagiri</t>
  </si>
  <si>
    <t>kirinyagacountyassembly@gmail.com</t>
  </si>
  <si>
    <t>Esther Wanjiku</t>
  </si>
  <si>
    <t>PA102/G/12216/21</t>
  </si>
  <si>
    <t>MINISTRY OF YOUTHS AFFAIRS, CREATIVE ECONOMY AND SPORTS</t>
  </si>
  <si>
    <t>wanjiku.12216@students.kyu.ac.ke</t>
  </si>
  <si>
    <t>Ngahu Wanjiku</t>
  </si>
  <si>
    <t>PA106/G/17580/22</t>
  </si>
  <si>
    <t>Techfinity Softwares</t>
  </si>
  <si>
    <t>Henry Muroga</t>
  </si>
  <si>
    <t>info@techfinitysoftwares.ac.ke</t>
  </si>
  <si>
    <t xml:space="preserve">GODARD MOGAKA </t>
  </si>
  <si>
    <t>CT101/G/16071/22</t>
  </si>
  <si>
    <t xml:space="preserve">MINISTRY OF LANDS NAIROBI </t>
  </si>
  <si>
    <t>Carol  Jomo</t>
  </si>
  <si>
    <t>pslands@ardhi.go.ke</t>
  </si>
  <si>
    <t xml:space="preserve">Sheila Chepkoech </t>
  </si>
  <si>
    <t>CT100/G/12721/21</t>
  </si>
  <si>
    <t xml:space="preserve">Tenwek Hospital </t>
  </si>
  <si>
    <t>Leonard kirui</t>
  </si>
  <si>
    <t>customer.experience@tenwekhosp.org</t>
  </si>
  <si>
    <t>pPA106/G/15002/21</t>
  </si>
  <si>
    <t>Dennis wanjala</t>
  </si>
  <si>
    <t>PA102/G/11945/20</t>
  </si>
  <si>
    <t xml:space="preserve">JAMES MUITA </t>
  </si>
  <si>
    <t>CT100/G/15929/22</t>
  </si>
  <si>
    <t xml:space="preserve">BSC IN INFORMATION TECHNOLOGY </t>
  </si>
  <si>
    <t>Jackson  Maina</t>
  </si>
  <si>
    <t>Naomi chepkoech sang</t>
  </si>
  <si>
    <t>CT102/G/13848/21</t>
  </si>
  <si>
    <t>Business information technology</t>
  </si>
  <si>
    <t>Toror tea factory</t>
  </si>
  <si>
    <t>info@toror.ktdateas.com</t>
  </si>
  <si>
    <t>Erick Otako</t>
  </si>
  <si>
    <t>PA10G/G/17566/22</t>
  </si>
  <si>
    <t>Hills health center</t>
  </si>
  <si>
    <t>Stephen Koyoo</t>
  </si>
  <si>
    <t>Homa Bay</t>
  </si>
  <si>
    <t xml:space="preserve">Joseph Ikombo Waweru </t>
  </si>
  <si>
    <t>CT101/G/12168/20</t>
  </si>
  <si>
    <t>Twinnet Computer College</t>
  </si>
  <si>
    <t xml:space="preserve">NICHOLAS GIKONYO </t>
  </si>
  <si>
    <t xml:space="preserve">ENGINEER </t>
  </si>
  <si>
    <t>twinnetcybercenter@gmail.com</t>
  </si>
  <si>
    <t>EUGINE OKWALO OPEMI</t>
  </si>
  <si>
    <t xml:space="preserve">TWINNET COMPUTER COLLEGE </t>
  </si>
  <si>
    <t xml:space="preserve">Nicholas Gikonyo </t>
  </si>
  <si>
    <t>Blessit kipkoech king rotich</t>
  </si>
  <si>
    <t>PA106/G/17694/22</t>
  </si>
  <si>
    <t xml:space="preserve">BSC.Software engineering </t>
  </si>
  <si>
    <t xml:space="preserve">Kenyatta National Hospital </t>
  </si>
  <si>
    <t xml:space="preserve">KAMENCU DOMINIC MUNENE </t>
  </si>
  <si>
    <t>CT101/G/16025/22</t>
  </si>
  <si>
    <t xml:space="preserve">BSC.Computer Science </t>
  </si>
  <si>
    <t>NSSF(NATIONAL SOCIAL SECURITY FUND)</t>
  </si>
  <si>
    <t>PETER OJWANG</t>
  </si>
  <si>
    <t>MAUA</t>
  </si>
  <si>
    <t>Njiru William Mbuthi</t>
  </si>
  <si>
    <t>CT100/G/14146/21</t>
  </si>
  <si>
    <t xml:space="preserve">Kenya Ports Authority </t>
  </si>
  <si>
    <t xml:space="preserve">Bett Kiplangat Hillary </t>
  </si>
  <si>
    <t>PA106/G/15022/21</t>
  </si>
  <si>
    <t xml:space="preserve">Bsc in software engineering </t>
  </si>
  <si>
    <t xml:space="preserve">Powerlearn Project </t>
  </si>
  <si>
    <t>JOHN KURIA NDUNG'U</t>
  </si>
  <si>
    <t>PA102/G/12209/21</t>
  </si>
  <si>
    <t>PALMTIMES EXTRA SOLUTIONS LIMITED</t>
  </si>
  <si>
    <t>SIMON NJOROGE</t>
  </si>
  <si>
    <t>info@palmtimessolutions.com</t>
  </si>
  <si>
    <t xml:space="preserve">Abdube Dida </t>
  </si>
  <si>
    <t xml:space="preserve"> CT100/G/15979/22</t>
  </si>
  <si>
    <t>Alex Njogu</t>
  </si>
  <si>
    <t>PA102/G/12214/21</t>
  </si>
  <si>
    <t>Pelican Auto Trading Limited</t>
  </si>
  <si>
    <t>Isaac Musyoki</t>
  </si>
  <si>
    <t>info@pelicanauto.co.ke</t>
  </si>
  <si>
    <t>JAMES MUITA</t>
  </si>
  <si>
    <t>CHEMUTAI NANCY</t>
  </si>
  <si>
    <t xml:space="preserve">ROBINSON MWITI </t>
  </si>
  <si>
    <t>MUTINDA JULIANA MUKONYO</t>
  </si>
  <si>
    <t>PA100/G/13388/21</t>
  </si>
  <si>
    <t xml:space="preserve">BSC statistics </t>
  </si>
  <si>
    <t>PZ CUSSONS</t>
  </si>
  <si>
    <t>Eric Onamu</t>
  </si>
  <si>
    <t>General. Enquiries@pzcusson.com</t>
  </si>
  <si>
    <t xml:space="preserve">PA106/G/17533/22 </t>
  </si>
  <si>
    <t>CHIMWENJE ABDHALLAH</t>
  </si>
  <si>
    <t>CT101/G/12339/21</t>
  </si>
  <si>
    <t>Peter Nyaundi</t>
  </si>
  <si>
    <t>Kilifi</t>
  </si>
  <si>
    <t>DERICK MUGENDI</t>
  </si>
  <si>
    <t xml:space="preserve">Mogogosiek tea factory </t>
  </si>
  <si>
    <t>Mr.Rono</t>
  </si>
  <si>
    <t xml:space="preserve">Mogogosiek </t>
  </si>
  <si>
    <t xml:space="preserve">Muyong Technologies </t>
  </si>
  <si>
    <t>Dedan Maina</t>
  </si>
  <si>
    <t xml:space="preserve">PA106/G/17509/22     </t>
  </si>
  <si>
    <t xml:space="preserve">CT101 /G/10523 /20 </t>
  </si>
  <si>
    <t>briget Kimani Wangu</t>
  </si>
  <si>
    <t xml:space="preserve">St Theresa dispensary </t>
  </si>
  <si>
    <t>Susan muriuki</t>
  </si>
  <si>
    <t xml:space="preserve">Kitengela </t>
  </si>
  <si>
    <t>info@sttheresahealth.com</t>
  </si>
  <si>
    <t>GICHUKI ANTHONY GATITU</t>
  </si>
  <si>
    <t>Alvin Njuguna Wanjiku</t>
  </si>
  <si>
    <t xml:space="preserve">THIWASCO </t>
  </si>
  <si>
    <t>CT101/G/15999/22</t>
  </si>
  <si>
    <t>Bsc.Compter Science</t>
  </si>
  <si>
    <t>Wanaanga credit and savings cooperative</t>
  </si>
  <si>
    <t>Mr.Ricky</t>
  </si>
  <si>
    <t>Nairobi,Dagoretti Corner</t>
  </si>
  <si>
    <t>waanga@yahoo.com</t>
  </si>
  <si>
    <t xml:space="preserve">AMBROSE KIPNGETICH ROTICH </t>
  </si>
  <si>
    <t xml:space="preserve">STANLEY LUMUMBA </t>
  </si>
  <si>
    <t>PA10G/G/17568/22</t>
  </si>
  <si>
    <t xml:space="preserve">Niftecs </t>
  </si>
  <si>
    <t xml:space="preserve">Emma MUMBI </t>
  </si>
  <si>
    <r>
      <rPr>
        <b/>
        <sz val="10"/>
        <rFont val="Arial"/>
      </rPr>
      <t>treasury.sotik@</t>
    </r>
    <r>
      <rPr>
        <b/>
        <u/>
        <sz val="10"/>
        <color rgb="FF1155CC"/>
        <rFont val="Arial"/>
      </rPr>
      <t>gmail.com</t>
    </r>
  </si>
  <si>
    <t xml:space="preserve">BSC. ACTURIAL  SCIENCE </t>
  </si>
  <si>
    <t>BSC. ACTURIAL  SCIENCE</t>
  </si>
  <si>
    <t xml:space="preserve">Kevin Obura </t>
  </si>
  <si>
    <t>SALIM ENTERPRISES</t>
  </si>
  <si>
    <t>nyaga@gmail.com</t>
  </si>
  <si>
    <t>Chimwenje Abdhallah</t>
  </si>
  <si>
    <t>Ct101/G/12339/21</t>
  </si>
  <si>
    <t>https://docs.google.com/spreadsheets/d/1MvWxP-iB0Fqd5SP3F4CjWfupUvRmsLEaJCSadvsd6B4/edit?usp=sharing</t>
  </si>
  <si>
    <t xml:space="preserve"> MIKE CHERUIYOT ROTICH</t>
  </si>
  <si>
    <t xml:space="preserve">NAIROBI CITY WATER AND SEWERAGE COMPANY LTD @ </t>
  </si>
  <si>
    <t>: director.sri@kalro.org</t>
  </si>
  <si>
    <t xml:space="preserve">Mzalendo Distributor Company </t>
  </si>
  <si>
    <t>MIKAELA MUTHO</t>
  </si>
  <si>
    <t>KENYA MARITIME AUTHORITY</t>
  </si>
  <si>
    <t>254724319344/254733221322</t>
  </si>
  <si>
    <t>info@kma.go.ke</t>
  </si>
  <si>
    <t>BRIAN MWITI</t>
  </si>
  <si>
    <t>PA106/G/14990/21</t>
  </si>
  <si>
    <t>OUTSPAN MEDICAL COLLEGE</t>
  </si>
  <si>
    <t>Derick Munene</t>
  </si>
  <si>
    <t>PA/106/G/17498/22</t>
  </si>
  <si>
    <t>Delian Consultancy</t>
  </si>
  <si>
    <t>Ian Tanui</t>
  </si>
  <si>
    <t>kericho</t>
  </si>
  <si>
    <t>infodeliyan@gmail.com</t>
  </si>
  <si>
    <t>Grace Mburu</t>
  </si>
  <si>
    <t>customercare@kutrrh.go.ke</t>
  </si>
  <si>
    <t>Nicholas Mbithi</t>
  </si>
  <si>
    <t>PA100/G/13433/21</t>
  </si>
  <si>
    <t>K.N.B.S</t>
  </si>
  <si>
    <t>Joy Njogu</t>
  </si>
  <si>
    <t>info@knbs.or.ke</t>
  </si>
  <si>
    <t>Alfred Andati</t>
  </si>
  <si>
    <t>CT101/G/11245/20</t>
  </si>
  <si>
    <t>Ketech Solution</t>
  </si>
  <si>
    <t>CT100/G/12723/21</t>
  </si>
  <si>
    <t>Leonard Kirui</t>
  </si>
  <si>
    <t xml:space="preserve">Esther Wangari </t>
  </si>
  <si>
    <t>Pa102/G/10906/20</t>
  </si>
  <si>
    <t xml:space="preserve">Bsc Actuarial Science </t>
  </si>
  <si>
    <t>Tower Sacco</t>
  </si>
  <si>
    <t>Tabitha Banga</t>
  </si>
  <si>
    <t>info@towersacco.co.ke</t>
  </si>
  <si>
    <t>Bsc Actuarial Science</t>
  </si>
  <si>
    <t>Simon Njoroge</t>
  </si>
  <si>
    <t xml:space="preserve">powerlearn project </t>
  </si>
  <si>
    <t>LEWIS NDIRANGU</t>
  </si>
  <si>
    <t>CT102/G/13814/21</t>
  </si>
  <si>
    <t>Bsc.BUSINESS AND INFORMATION TECHNOLOGY</t>
  </si>
  <si>
    <t>A-PLUS MOTORS LTD</t>
  </si>
  <si>
    <t>JACKSON</t>
  </si>
  <si>
    <t>info@aplusmotors.biz</t>
  </si>
  <si>
    <t>MBURIA LEWIS MUNENE</t>
  </si>
  <si>
    <t>PA102/G/12248/21</t>
  </si>
  <si>
    <t>Meru Central Dairy Co-operative Union Ltd</t>
  </si>
  <si>
    <t>Merucentralmaziwa@gmail.com</t>
  </si>
  <si>
    <t>Sammy  Munyeki</t>
  </si>
  <si>
    <t>CT100/G/14126/21</t>
  </si>
  <si>
    <t xml:space="preserve">NDWIGA ELECTRONICS </t>
  </si>
  <si>
    <t>Levis Wachira Gitaru</t>
  </si>
  <si>
    <t xml:space="preserve"> ndwigaelectronics@gmail.com</t>
  </si>
  <si>
    <t>Ann Munee</t>
  </si>
  <si>
    <t>CT102/G/13823/21</t>
  </si>
  <si>
    <t>Ministry of Investment ,trading and industry</t>
  </si>
  <si>
    <t>D.K Mirwoba</t>
  </si>
  <si>
    <t>ps@trade.go.ke</t>
  </si>
  <si>
    <t>Mark Kiprotich</t>
  </si>
  <si>
    <t>PA106/G/17508/22</t>
  </si>
  <si>
    <t>OPEN UNIVERSITY OF kENYA</t>
  </si>
  <si>
    <t>JOHN MWARABU</t>
  </si>
  <si>
    <t>MACHAKOS</t>
  </si>
  <si>
    <t>020 2000211 / 020 2000212</t>
  </si>
  <si>
    <t>info@ouk.ac.ke</t>
  </si>
  <si>
    <t xml:space="preserve">ELVIS KIPRONO NGETICH </t>
  </si>
  <si>
    <t>PA100/G/13405/21</t>
  </si>
  <si>
    <t>TEBESONIK TEA FACTORY</t>
  </si>
  <si>
    <t>Gilbert korir</t>
  </si>
  <si>
    <t>info@tebesonik.ktdateas.com</t>
  </si>
  <si>
    <t>MWANGANGI DAVID MUSYOKA</t>
  </si>
  <si>
    <t>PA100/G/9793/20</t>
  </si>
  <si>
    <t>KENYA NATIONAL BUREAU OF STATISTICS</t>
  </si>
  <si>
    <t>LUCAS SAGIRE</t>
  </si>
  <si>
    <t>MURIUKI JOHN NDUNG'U</t>
  </si>
  <si>
    <t>PA102/G/12191/21</t>
  </si>
  <si>
    <t xml:space="preserve">BSC ACTURIAL </t>
  </si>
  <si>
    <t>JOMWANO INSURANCE</t>
  </si>
  <si>
    <t>Patrick Mwangi</t>
  </si>
  <si>
    <t xml:space="preserve">IAN MUTUMA </t>
  </si>
  <si>
    <t>pa102/g/12241/21</t>
  </si>
  <si>
    <t xml:space="preserve">BSC actuarial science </t>
  </si>
  <si>
    <t>PETER OCHIENG ONYANGO</t>
  </si>
  <si>
    <t>pa100/g/13418/21</t>
  </si>
  <si>
    <t>county government of Siaya</t>
  </si>
  <si>
    <t>Mercy Ochieng</t>
  </si>
  <si>
    <t>Siaya</t>
  </si>
  <si>
    <t>info@siaya.com</t>
  </si>
  <si>
    <t>Godfrey Mbugua</t>
  </si>
  <si>
    <t>PA106/G/14970</t>
  </si>
  <si>
    <t>KIPKEMBOI PAUL</t>
  </si>
  <si>
    <t>CT100/G/17740/2022</t>
  </si>
  <si>
    <t>KAPSABET COUNTY REFFERAL HOSPITAL</t>
  </si>
  <si>
    <t>victor</t>
  </si>
  <si>
    <t>KAPSABET</t>
  </si>
  <si>
    <t>Kennedy masai mutua</t>
  </si>
  <si>
    <t>PA02/G/2224/21</t>
  </si>
  <si>
    <t xml:space="preserve">pro research co ltd </t>
  </si>
  <si>
    <t>patrick</t>
  </si>
  <si>
    <t>proresearch@gmail.com</t>
  </si>
  <si>
    <t xml:space="preserve">CAREN CHEPKOECH </t>
  </si>
  <si>
    <t>PA106/G/15012/21</t>
  </si>
  <si>
    <t xml:space="preserve">CRYSTAL TECHNOLOGY </t>
  </si>
  <si>
    <t>SHADRACK NZIVO</t>
  </si>
  <si>
    <t>crystal technologies@gmail.com</t>
  </si>
  <si>
    <t>Ndwiga Victor Mutugi</t>
  </si>
  <si>
    <t>CT102/G/13828/21</t>
  </si>
  <si>
    <t>EWASCO</t>
  </si>
  <si>
    <t>Eric Muchina</t>
  </si>
  <si>
    <t>Valentine chepchumba keino</t>
  </si>
  <si>
    <t>PA102/G/12259/21</t>
  </si>
  <si>
    <t xml:space="preserve">Thales software software </t>
  </si>
  <si>
    <t>Hillary Wanaina</t>
  </si>
  <si>
    <t>DAVID NYAGA</t>
  </si>
  <si>
    <t>PA102/G/12234/21</t>
  </si>
  <si>
    <t>KATANA</t>
  </si>
  <si>
    <t>csembucounty@gmail.com</t>
  </si>
  <si>
    <t xml:space="preserve">BRIAN KIPYEGON </t>
  </si>
  <si>
    <t>PA106/G/15072/21</t>
  </si>
  <si>
    <t xml:space="preserve">LYDISHA CHEPTOO </t>
  </si>
  <si>
    <t xml:space="preserve">Robinson Musau </t>
  </si>
  <si>
    <t>PA106/G/14077/21</t>
  </si>
  <si>
    <t>MasyopNET Technologies</t>
  </si>
  <si>
    <t>Kevin Obura</t>
  </si>
  <si>
    <t>Brian kiprotich</t>
  </si>
  <si>
    <t>PA102/G/12273/21</t>
  </si>
  <si>
    <t>BSC  ACTURIAL SCIENCE</t>
  </si>
  <si>
    <t>KAPKATET TEA FACTORY</t>
  </si>
  <si>
    <t>Anthony Rotich</t>
  </si>
  <si>
    <t>Litein , KERICHO</t>
  </si>
  <si>
    <t>info@kapkatet.ktdateas.com</t>
  </si>
  <si>
    <t>Eden Nasiali Shisanya</t>
  </si>
  <si>
    <t xml:space="preserve">James Mugambi </t>
  </si>
  <si>
    <t xml:space="preserve">Robinson Mwiti </t>
  </si>
  <si>
    <t>Ct101/G/15401/21</t>
  </si>
  <si>
    <t>COUNTY GOVERNMENT OF KIRINYAGA</t>
  </si>
  <si>
    <t xml:space="preserve">Muriithi Mark Thomas Njogu </t>
  </si>
  <si>
    <t>PA106/G/17469/22</t>
  </si>
  <si>
    <t>Hilton Koome</t>
  </si>
  <si>
    <t>PA102/G/12236/21</t>
  </si>
  <si>
    <t>Meru Dairy Cooperative union LTD</t>
  </si>
  <si>
    <t>mr collins</t>
  </si>
  <si>
    <t xml:space="preserve">kelvin charagu </t>
  </si>
  <si>
    <t>PA102/G/6139/19</t>
  </si>
  <si>
    <t>Directline assurance co ltd</t>
  </si>
  <si>
    <t xml:space="preserve">Baba Shani </t>
  </si>
  <si>
    <t xml:space="preserve">
ababioinsuranceagency@gmail.com</t>
  </si>
  <si>
    <t>Mwangangi Irene Martha</t>
  </si>
  <si>
    <t>pa100/g/9444/20</t>
  </si>
  <si>
    <t>NHIF</t>
  </si>
  <si>
    <t>Alyois nyamweya</t>
  </si>
  <si>
    <t>Ongata-Rongai</t>
  </si>
  <si>
    <t>OKUMU KIMASISI EUGINE</t>
  </si>
  <si>
    <t>CT100/G/11338/20</t>
  </si>
  <si>
    <t>LEVIS WACHIRA GITARU</t>
  </si>
  <si>
    <t>ndwigaelectronics@gmail.com</t>
  </si>
  <si>
    <t xml:space="preserve">Kiarie D NGUGI </t>
  </si>
  <si>
    <t>CT102/G/12218/21</t>
  </si>
  <si>
    <t xml:space="preserve">BSC BUSINESS INFORMATION TECHNOLOGY </t>
  </si>
  <si>
    <t>silverine odhiambo</t>
  </si>
  <si>
    <t>PA100/G/11561/20</t>
  </si>
  <si>
    <t>NSSF headquarters Nairobi</t>
  </si>
  <si>
    <t>Daniel Muange</t>
  </si>
  <si>
    <t>DENNIS MUSYOKA</t>
  </si>
  <si>
    <t>PA109/G/14492/21</t>
  </si>
  <si>
    <t>Hydrointel Africa Limited</t>
  </si>
  <si>
    <t xml:space="preserve">mautia Felix nyangoto </t>
  </si>
  <si>
    <t>PA106/G/G/17575/22</t>
  </si>
  <si>
    <t xml:space="preserve">bsc software engineering </t>
  </si>
  <si>
    <t xml:space="preserve">Kisii training and referral hospital </t>
  </si>
  <si>
    <t xml:space="preserve">Oimeke Mariita </t>
  </si>
  <si>
    <t xml:space="preserve">kisii </t>
  </si>
  <si>
    <t>info@ktrh.go.ke</t>
  </si>
  <si>
    <t>Denis Wachira</t>
  </si>
  <si>
    <t>CT101/G/4512/18</t>
  </si>
  <si>
    <t>BSC Comuter Science</t>
  </si>
  <si>
    <t xml:space="preserve">Collins Njehia </t>
  </si>
  <si>
    <t>CT101/G/12456/21</t>
  </si>
  <si>
    <t>Maritons Ventures Lmt</t>
  </si>
  <si>
    <t>Martin Muhoho</t>
  </si>
  <si>
    <t>maritonsventuresltd@gmail.com</t>
  </si>
  <si>
    <t>Mulinge Christopher Muuo</t>
  </si>
  <si>
    <t>CT102/G/13827/21</t>
  </si>
  <si>
    <t xml:space="preserve">Bsc Business Information Technology </t>
  </si>
  <si>
    <t xml:space="preserve">County Government Of Makueni </t>
  </si>
  <si>
    <t>Margret Kinyi</t>
  </si>
  <si>
    <t xml:space="preserve">Makueni </t>
  </si>
  <si>
    <t>info@makueni.go.ke</t>
  </si>
  <si>
    <t>khatsalwa veronicah wairimu</t>
  </si>
  <si>
    <t>pa107/g/10435/20</t>
  </si>
  <si>
    <t>bsc computer systemsengineering</t>
  </si>
  <si>
    <t>newton njenga</t>
  </si>
  <si>
    <t>mary thomas</t>
  </si>
  <si>
    <t>pa107/g/9483/20</t>
  </si>
  <si>
    <t>bsc computer systems engineering</t>
  </si>
  <si>
    <t>Lucy Njoki</t>
  </si>
  <si>
    <t>PA106/G/14963/21</t>
  </si>
  <si>
    <t>Gull Net Solution</t>
  </si>
  <si>
    <t>Joseph Kimani</t>
  </si>
  <si>
    <t>Bsc.Actuarial Science</t>
  </si>
  <si>
    <t>gikanga teresiah</t>
  </si>
  <si>
    <t xml:space="preserve"> bsc software engineering</t>
  </si>
  <si>
    <t>Nakuru Seguton House</t>
  </si>
  <si>
    <t>henryambevake@gmail.com</t>
  </si>
  <si>
    <t xml:space="preserve">JOSEPH IKOMBO WAWERU </t>
  </si>
  <si>
    <t>ct101/g/12168/20</t>
  </si>
  <si>
    <t xml:space="preserve">Twinnet Computer College </t>
  </si>
  <si>
    <t>onesmus mutunga</t>
  </si>
  <si>
    <t>pa106/g/17484/22</t>
  </si>
  <si>
    <t xml:space="preserve">KTDA headquaters </t>
  </si>
  <si>
    <t>kabiru samwel watho</t>
  </si>
  <si>
    <t>Pa107/G/14449/21</t>
  </si>
  <si>
    <t>county govern ment of kirinyaga</t>
  </si>
  <si>
    <t>pa106/g/17529/22</t>
  </si>
  <si>
    <t>Joseph Kiragu</t>
  </si>
  <si>
    <t>PA102/12196/21</t>
  </si>
  <si>
    <t>PRO-RESEARCH CO LTD</t>
  </si>
  <si>
    <t>Patric Mwangi</t>
  </si>
  <si>
    <t>Mwangi Simon Macharia</t>
  </si>
  <si>
    <t>CT100/G/14074/21</t>
  </si>
  <si>
    <t>JKUAT Industrial park</t>
  </si>
  <si>
    <t>Tobias Wachira</t>
  </si>
  <si>
    <t>Juja</t>
  </si>
  <si>
    <t>067-5870001-5</t>
  </si>
  <si>
    <t>nitp@jkuat.ac.ke</t>
  </si>
  <si>
    <t>Ngugi Alex Kimani</t>
  </si>
  <si>
    <t>PA109/G/14527/21</t>
  </si>
  <si>
    <t xml:space="preserve">Bsc.Financial Engineering </t>
  </si>
  <si>
    <t xml:space="preserve">Kenya Industrial Research and Development Institute </t>
  </si>
  <si>
    <t>Pheline Odoro</t>
  </si>
  <si>
    <t>directorgeneral@kirdi.go.ke</t>
  </si>
  <si>
    <t xml:space="preserve">Mwenda Emillio mwiti </t>
  </si>
  <si>
    <t>Pa106/g/14995 /21</t>
  </si>
  <si>
    <t xml:space="preserve">County government of nakuru </t>
  </si>
  <si>
    <t>Mr maina</t>
  </si>
  <si>
    <t>Info@nakuru.go.ke</t>
  </si>
  <si>
    <t>bsc statistics</t>
  </si>
  <si>
    <t xml:space="preserve">Tegat tea factory </t>
  </si>
  <si>
    <t>wanjohi john ng'ang'i</t>
  </si>
  <si>
    <t>PA106/G/14994/21</t>
  </si>
  <si>
    <t>stephan otieno ogembo</t>
  </si>
  <si>
    <t>PA106/G/15496/21</t>
  </si>
  <si>
    <t>aherinet</t>
  </si>
  <si>
    <t>samwel maina</t>
  </si>
  <si>
    <t>CT101/G/17708/22</t>
  </si>
  <si>
    <t xml:space="preserve">BSc computer science </t>
  </si>
  <si>
    <t xml:space="preserve">Outspan medical college </t>
  </si>
  <si>
    <t>Grace Mwangi</t>
  </si>
  <si>
    <t>Pa101/g/14352/21</t>
  </si>
  <si>
    <t xml:space="preserve">Bsc Mathematics and Computer Science </t>
  </si>
  <si>
    <t>omwasco</t>
  </si>
  <si>
    <t>Mr. Mawaidha/ Loice</t>
  </si>
  <si>
    <t>ct100/G/14134/21</t>
  </si>
  <si>
    <t>K.C.R.H</t>
  </si>
  <si>
    <t>Geoffrey Gachoki</t>
  </si>
  <si>
    <t>Mwangani Irene Martha</t>
  </si>
  <si>
    <t>PA100/g/9444/20</t>
  </si>
  <si>
    <t>Alyois Nyamweya</t>
  </si>
  <si>
    <t xml:space="preserve">WANGECI IAN MWANGI </t>
  </si>
  <si>
    <t>CT101/G/12359/21</t>
  </si>
  <si>
    <t>Samuel Oriku</t>
  </si>
  <si>
    <t>PA106/G/17562/22</t>
  </si>
  <si>
    <t xml:space="preserve">Institute of Energy studies and Research </t>
  </si>
  <si>
    <t xml:space="preserve">Emmanuel Kiplangat </t>
  </si>
  <si>
    <t>CT100/G/14122/21</t>
  </si>
  <si>
    <t>Mr. Korir</t>
  </si>
  <si>
    <t>NDUNGU NELSON NDERITU</t>
  </si>
  <si>
    <t>CT101/G/12356/21</t>
  </si>
  <si>
    <t>NETRIX BUSINESS SYSTEMS LTD</t>
  </si>
  <si>
    <t>SHADRACK SUREN</t>
  </si>
  <si>
    <t>Emmark court, Parkland Rd, Nairobi</t>
  </si>
  <si>
    <t>0111 050650</t>
  </si>
  <si>
    <t>info@netrixbiz.com</t>
  </si>
  <si>
    <t>Wairimu Kiarie</t>
  </si>
  <si>
    <t>CT102/G/13813/21</t>
  </si>
  <si>
    <t>Bsc Business  Information Technology</t>
  </si>
  <si>
    <t>Pioneer</t>
  </si>
  <si>
    <t>Joseph Mwaura Njenga</t>
  </si>
  <si>
    <t>CT101/G/10078/20</t>
  </si>
  <si>
    <t>ECLOF Kenya</t>
  </si>
  <si>
    <t>Magraret Wanjiru</t>
  </si>
  <si>
    <t>0708 091 817</t>
  </si>
  <si>
    <t>admin@eclof.com</t>
  </si>
  <si>
    <t xml:space="preserve">George Gitau </t>
  </si>
  <si>
    <t>CT101/S/8697/20</t>
  </si>
  <si>
    <t>REREC</t>
  </si>
  <si>
    <t>Abel</t>
  </si>
  <si>
    <t>Nairobi - South C</t>
  </si>
  <si>
    <t>info@rerec.co.ke</t>
  </si>
  <si>
    <t>Samuel Ndegwa Kariuki</t>
  </si>
  <si>
    <t>CT101/G/12403/21</t>
  </si>
  <si>
    <t xml:space="preserve">Vanis Wanjiku </t>
  </si>
  <si>
    <t>PA100/G/13424/21</t>
  </si>
  <si>
    <t xml:space="preserve">Bsc.Statistics </t>
  </si>
  <si>
    <t xml:space="preserve">AIC Githumu Mission Hospital </t>
  </si>
  <si>
    <t>David Kamau</t>
  </si>
  <si>
    <t>Kangari-Githumu</t>
  </si>
  <si>
    <t>info.githumuhospital@gmail.com</t>
  </si>
  <si>
    <t>kahihu Eunice</t>
  </si>
  <si>
    <t>CT100/G/15860/22</t>
  </si>
  <si>
    <t>Adrian Kenya Limited</t>
  </si>
  <si>
    <t>Mr. Elvis</t>
  </si>
  <si>
    <t>Gitaru</t>
  </si>
  <si>
    <t>info@adriankenya.com</t>
  </si>
  <si>
    <t xml:space="preserve">Murungi Mbaabu Murungi </t>
  </si>
  <si>
    <t>Ct102/G/13830/21</t>
  </si>
  <si>
    <t>BBIT</t>
  </si>
  <si>
    <t>EPRA</t>
  </si>
  <si>
    <t>Mr Allan</t>
  </si>
  <si>
    <t>Nairobi,upperhill</t>
  </si>
  <si>
    <t>infor@epra.go.ke</t>
  </si>
  <si>
    <t>KEITH NZOMO</t>
  </si>
  <si>
    <t>PA100/G/13385/21</t>
  </si>
  <si>
    <t>Bachelor of Science in Statistics</t>
  </si>
  <si>
    <t>NSSF</t>
  </si>
  <si>
    <t>Madam Tabitha</t>
  </si>
  <si>
    <t xml:space="preserve">Westlands </t>
  </si>
  <si>
    <t>James Longirole Lerumbe</t>
  </si>
  <si>
    <t>PA100/G/12935/21</t>
  </si>
  <si>
    <t xml:space="preserve">TSC </t>
  </si>
  <si>
    <t>Maurice Anguche</t>
  </si>
  <si>
    <t>Ndalu Bungoma county</t>
  </si>
  <si>
    <t>sjbinyenyasecsh@gmail.com</t>
  </si>
  <si>
    <t>Edwin Igunza</t>
  </si>
  <si>
    <t>CT100/G/14137/21</t>
  </si>
  <si>
    <t>Bc. Information Technology</t>
  </si>
  <si>
    <t>plp organisation</t>
  </si>
  <si>
    <t xml:space="preserve">Mr. Evance </t>
  </si>
  <si>
    <t>Rollins Omondi Owino</t>
  </si>
  <si>
    <t>CT101/G/12486/21</t>
  </si>
  <si>
    <t>Hope Women With Disability - CBO (HOWID)</t>
  </si>
  <si>
    <t>Madam Evelyne Awuor</t>
  </si>
  <si>
    <t>MARGARET APIYO MBUOR</t>
  </si>
  <si>
    <t>CT101/G/12485/21</t>
  </si>
  <si>
    <t>KIRINYAGA INSTITUTE OF PROFESSIONAL STUDIES (kips)</t>
  </si>
  <si>
    <t>FRANCIS WANGAI</t>
  </si>
  <si>
    <t>kipscollege@gmail.com</t>
  </si>
  <si>
    <t>IRENE GATHONI NJOGU</t>
  </si>
  <si>
    <t>PA106/G/14951/21</t>
  </si>
  <si>
    <t>ROSIN INSURANCE AGENCY</t>
  </si>
  <si>
    <t>ROSE MURAGE</t>
  </si>
  <si>
    <t>NYAHURURU</t>
  </si>
  <si>
    <t>rwmurage@gmail.com</t>
  </si>
  <si>
    <t>MOSES MWIKA</t>
  </si>
  <si>
    <t>PA101/G/14381/21</t>
  </si>
  <si>
    <t xml:space="preserve"> TIMES U SACCO</t>
  </si>
  <si>
    <t>Festus mutuma</t>
  </si>
  <si>
    <t xml:space="preserve"> info@timesusacco.co.ke</t>
  </si>
  <si>
    <t>Rosemary Njeri Nduati</t>
  </si>
  <si>
    <t>CT102/G/13847/21</t>
  </si>
  <si>
    <t>Patech Computer Training Center</t>
  </si>
  <si>
    <t>Francis Wainaina</t>
  </si>
  <si>
    <t>Gilgil-kiambogo</t>
  </si>
  <si>
    <t>patechcomputers@gmail.com</t>
  </si>
  <si>
    <t>Kiarie D Ngugi</t>
  </si>
  <si>
    <t xml:space="preserve">Nakuru Water and Sanitation Company </t>
  </si>
  <si>
    <t>Nawasco Plaza Government Road</t>
  </si>
  <si>
    <t>CHRISTINE WAMUYU</t>
  </si>
  <si>
    <t>CT101/G/9149/20</t>
  </si>
  <si>
    <t>Chekip company</t>
  </si>
  <si>
    <t>kelvin muthike</t>
  </si>
  <si>
    <t>kutus town</t>
  </si>
  <si>
    <t>chekip678@gmail.com</t>
  </si>
  <si>
    <t>Amos Kibet Rono</t>
  </si>
  <si>
    <t>PA106/G/15033/21</t>
  </si>
  <si>
    <t>Stegro Sacco Ltd</t>
  </si>
  <si>
    <t>Chelang'at Mercy</t>
  </si>
  <si>
    <t>Merigi Town</t>
  </si>
  <si>
    <t>0202045515/0202672455</t>
  </si>
  <si>
    <t>sotsacco@yahoo.com</t>
  </si>
  <si>
    <t>BENARD AMULUNDU</t>
  </si>
  <si>
    <t>PA102/G/12287/21</t>
  </si>
  <si>
    <t>WATER WORKS KAKAMEGA  KACWASCO</t>
  </si>
  <si>
    <t>Irene Masesi</t>
  </si>
  <si>
    <t>Nairobi -Yaya</t>
  </si>
  <si>
    <t>Nkongwe Dennis Mutethia</t>
  </si>
  <si>
    <t>PA102/G/12243/21</t>
  </si>
  <si>
    <t>Britam</t>
  </si>
  <si>
    <t>Mugambi Denis Mureti</t>
  </si>
  <si>
    <t>CT100/G/15948/22</t>
  </si>
  <si>
    <t>county government of tharaka nithi</t>
  </si>
  <si>
    <t>HANNAH WANJIRU WARUI</t>
  </si>
  <si>
    <t>PA102/G/12204/21</t>
  </si>
  <si>
    <t>AMICA SACCO LIMITED</t>
  </si>
  <si>
    <t>JONATHAN MURIUKI</t>
  </si>
  <si>
    <t>MURANG'A - KIGUMO</t>
  </si>
  <si>
    <t xml:space="preserve">Zebedo Bisengi Japhet </t>
  </si>
  <si>
    <t>PA106/G/15081/21</t>
  </si>
  <si>
    <t xml:space="preserve">ONFON Media Limited </t>
  </si>
  <si>
    <t xml:space="preserve">Ken Macharia </t>
  </si>
  <si>
    <t>Mombasa Road, Nairobi Ke</t>
  </si>
  <si>
    <t>info@onfonmedia.com</t>
  </si>
  <si>
    <t>WANGECHI PAUL GICHUKI</t>
  </si>
  <si>
    <t>CT101/G/16014/22</t>
  </si>
  <si>
    <t>KIRINYAGA COUNTY OFFICES</t>
  </si>
  <si>
    <t>CAROLINE NYAWIRA</t>
  </si>
  <si>
    <t xml:space="preserve">Ian Kipsang </t>
  </si>
  <si>
    <t>CT100/G/14103/21</t>
  </si>
  <si>
    <t>Enock Kipkirui  langat</t>
  </si>
  <si>
    <t>PA106/106/G/15046/21</t>
  </si>
  <si>
    <t xml:space="preserve">Bsc Software  Engineering </t>
  </si>
  <si>
    <t>Colour crops Bahati</t>
  </si>
  <si>
    <t>Patrick Chepkwony</t>
  </si>
  <si>
    <t>kipkurui89@gmail.com</t>
  </si>
  <si>
    <t>Kevin kiprono korir</t>
  </si>
  <si>
    <t>PA106/106/G/15045/21</t>
  </si>
  <si>
    <t>Patrick  Chepkwony</t>
  </si>
  <si>
    <t>kipkurui89@gmail.com.</t>
  </si>
  <si>
    <t>KAVATHA DANIEL</t>
  </si>
  <si>
    <t>INFO@TEACH2GIVE.COM</t>
  </si>
  <si>
    <t>Abdullahi siyad Ahmed</t>
  </si>
  <si>
    <t>WAWERU MOSES KINYUA</t>
  </si>
  <si>
    <t>CT101/G/16024/22</t>
  </si>
  <si>
    <t>HENRY WARUGU</t>
  </si>
  <si>
    <t>Kennedy kareko</t>
  </si>
  <si>
    <t>PA101/G/14418/21</t>
  </si>
  <si>
    <t xml:space="preserve">BSC mathematics and computer science </t>
  </si>
  <si>
    <t xml:space="preserve">mukuru health center </t>
  </si>
  <si>
    <t xml:space="preserve">Waburi Michael Njuguna </t>
  </si>
  <si>
    <t>CT101/G/16056/22</t>
  </si>
  <si>
    <t xml:space="preserve">Bsc  Computer science </t>
  </si>
  <si>
    <t>Nanyuki water and sewerage Co.ltd</t>
  </si>
  <si>
    <t>NANYUKI</t>
  </si>
  <si>
    <t>BRIAN WAHOME GAITHO</t>
  </si>
  <si>
    <t>CT101/G/16015/22</t>
  </si>
  <si>
    <t>RAGATI TEA FACTORY</t>
  </si>
  <si>
    <t>MR.MUIGAI</t>
  </si>
  <si>
    <t>Karatina , Kagochi road</t>
  </si>
  <si>
    <t>info@ragati.ktda.com</t>
  </si>
  <si>
    <t>DENNIS GAKURE GITHAE</t>
  </si>
  <si>
    <t>PA101/G/14356/21</t>
  </si>
  <si>
    <t>BSC mathematics and computer science</t>
  </si>
  <si>
    <t>MULTICHOICE KENYA</t>
  </si>
  <si>
    <t xml:space="preserve">Isaac Kariuki Kinja </t>
  </si>
  <si>
    <t>CT100/G/15884/22</t>
  </si>
  <si>
    <t>E-TECH developers Kenya</t>
  </si>
  <si>
    <t>John Njuki</t>
  </si>
  <si>
    <t>etechdeveloperske@hotmail.com</t>
  </si>
  <si>
    <t xml:space="preserve">Kofa Junior Komora </t>
  </si>
  <si>
    <t>PA100/G/12340/21</t>
  </si>
  <si>
    <t xml:space="preserve">TANA RIVER COUNTY GOVERNMENT </t>
  </si>
  <si>
    <t>AMANI BAWATTA</t>
  </si>
  <si>
    <t xml:space="preserve">HOLA </t>
  </si>
  <si>
    <t>info@tanariver.go.ke</t>
  </si>
  <si>
    <t xml:space="preserve">Lucy waithera maina </t>
  </si>
  <si>
    <t>CT102/G/13816/21</t>
  </si>
  <si>
    <t xml:space="preserve">Kenversity Sacco Society Limited </t>
  </si>
  <si>
    <t xml:space="preserve">Chalton Masai </t>
  </si>
  <si>
    <t>Kahawa Sukari</t>
  </si>
  <si>
    <t>info@kenversitysacco.co.ke</t>
  </si>
  <si>
    <t>njaramba joseph mbau</t>
  </si>
  <si>
    <t>ct101/g/16021/22</t>
  </si>
  <si>
    <t>MURANGA COUNTY GOVERNMENT</t>
  </si>
  <si>
    <t>MOSES KAMAU</t>
  </si>
  <si>
    <t>Kelvin Njuguna</t>
  </si>
  <si>
    <t>CT100/G/14114/21</t>
  </si>
  <si>
    <t>KENGEN</t>
  </si>
  <si>
    <t>Nguru Hannington Kiptoo</t>
  </si>
  <si>
    <t>CT102/G/12051/20</t>
  </si>
  <si>
    <t>KIE</t>
  </si>
  <si>
    <t>Cyrus Odhiambo</t>
  </si>
  <si>
    <t>info@kie.go.ke</t>
  </si>
  <si>
    <t>KABERIA TITUS MUNENE</t>
  </si>
  <si>
    <t>PA106/G/9706/20</t>
  </si>
  <si>
    <t>APPKINGS SOLUTION LIMITED</t>
  </si>
  <si>
    <t>STEVEN MARTIN FINANCE MANAGER</t>
  </si>
  <si>
    <t>info@appkings.co.ke</t>
  </si>
  <si>
    <t>BONIFACE KIPKORIR</t>
  </si>
  <si>
    <t>PA101/G/12724/21</t>
  </si>
  <si>
    <t>KALNICS SOLUTIONS LIMITED</t>
  </si>
  <si>
    <t>BROWN ODENG</t>
  </si>
  <si>
    <t>Info@kalnicsslnltd.co.ke</t>
  </si>
  <si>
    <t xml:space="preserve">WAIRIMU EUNICE NYAGUTHII </t>
  </si>
  <si>
    <t>PA101/G/14350/21</t>
  </si>
  <si>
    <t xml:space="preserve">CONTEXT EXPERTS AGENCIES </t>
  </si>
  <si>
    <t>STEPHEN WANJOHI</t>
  </si>
  <si>
    <t>academicperfect@gmail.com</t>
  </si>
  <si>
    <t>Lewis Karanja Mbugua</t>
  </si>
  <si>
    <t>PA101/G/11877/20</t>
  </si>
  <si>
    <t>K-UNITY SACCO</t>
  </si>
  <si>
    <t>Mike Mukiri</t>
  </si>
  <si>
    <t>info@k-unity.co.ke</t>
  </si>
  <si>
    <t xml:space="preserve">Lanaus wachira kinyua </t>
  </si>
  <si>
    <t>PA101/G/11973/20</t>
  </si>
  <si>
    <t xml:space="preserve">Kirinyaga county Offices </t>
  </si>
  <si>
    <t>Meshack Mwibai Onduso</t>
  </si>
  <si>
    <t>CT100/G/7244/19</t>
  </si>
  <si>
    <t xml:space="preserve">county assembly of Nakuru </t>
  </si>
  <si>
    <t>GRACE MWIKALI MUSILA</t>
  </si>
  <si>
    <t>CT100/G/14067/21</t>
  </si>
  <si>
    <t>Mwingi nursing home hospital</t>
  </si>
  <si>
    <t>ROSE NJOKI</t>
  </si>
  <si>
    <t>nzoonzei@yahoo.com</t>
  </si>
  <si>
    <t>SIMON M MUTEMI</t>
  </si>
  <si>
    <t>PA102/G/12239/21</t>
  </si>
  <si>
    <t xml:space="preserve">BSC. Actuarial science </t>
  </si>
  <si>
    <t>LEWELA E. CHARI</t>
  </si>
  <si>
    <t>CT101/G/12338/21</t>
  </si>
  <si>
    <t>CONTEXT EXPERT AGENCIES LIMITED</t>
  </si>
  <si>
    <t xml:space="preserve">PATRICIA MUNYIVA MUTINDA </t>
  </si>
  <si>
    <t>CT101/G/12413/21</t>
  </si>
  <si>
    <t xml:space="preserve">SALIM ENTERPRISE </t>
  </si>
  <si>
    <t>Mutua Muli</t>
  </si>
  <si>
    <t>PA107/G/12324/21</t>
  </si>
  <si>
    <t>Bsc Computer System Engineering</t>
  </si>
  <si>
    <t>JOSEPHINE KAVINYA MULI</t>
  </si>
  <si>
    <t>CT100/G/14070/21</t>
  </si>
  <si>
    <t>SUBUKIA VOCATIONAL TRAINING CENTRE</t>
  </si>
  <si>
    <t>AARON MUTINDA</t>
  </si>
  <si>
    <t>subukiavtcentre17@gmail.com</t>
  </si>
  <si>
    <t xml:space="preserve">FELIX MUTUGI KINYUA </t>
  </si>
  <si>
    <t>CT100/G/15945/22</t>
  </si>
  <si>
    <t xml:space="preserve">Kirinyaga  institute of professional studies </t>
  </si>
  <si>
    <t>Francis</t>
  </si>
  <si>
    <t xml:space="preserve">Anthony Musyoka Augustine </t>
  </si>
  <si>
    <t>PA109/G/14493/21</t>
  </si>
  <si>
    <t xml:space="preserve">Kenya Maritime Authority </t>
  </si>
  <si>
    <t>254-724-319-344</t>
  </si>
  <si>
    <t xml:space="preserve">HICKS MURITHI GITONGA </t>
  </si>
  <si>
    <t>CT101/G/12461/21</t>
  </si>
  <si>
    <t>POWERLEARN PROJECT AFRICA</t>
  </si>
  <si>
    <t>SUSAN KAMAU</t>
  </si>
  <si>
    <t>Brian Karanja</t>
  </si>
  <si>
    <t>CT101/G/12434/21</t>
  </si>
  <si>
    <t>Judiciary kerugoya law courts</t>
  </si>
  <si>
    <t>kimathi Edwin Munene</t>
  </si>
  <si>
    <t>CT100/G/15949/22</t>
  </si>
  <si>
    <t>Bsc in information technology</t>
  </si>
  <si>
    <t xml:space="preserve">Kenya Medical Supplies Authority    </t>
  </si>
  <si>
    <t>David Laisa</t>
  </si>
  <si>
    <t>info@kemsa.co.ke</t>
  </si>
  <si>
    <t>CT100/G/17692/22</t>
  </si>
  <si>
    <t xml:space="preserve">Kimunye Tea Factory </t>
  </si>
  <si>
    <t xml:space="preserve">George </t>
  </si>
  <si>
    <t>Daniel Mutuku Musau</t>
  </si>
  <si>
    <t>CT100/G/17676/22</t>
  </si>
  <si>
    <t>Bsc.information Technology</t>
  </si>
  <si>
    <t xml:space="preserve">Nasear Agency limited </t>
  </si>
  <si>
    <t xml:space="preserve">Mrs Immaculate Mboya </t>
  </si>
  <si>
    <t>nasearagency@yahoo.com</t>
  </si>
  <si>
    <t xml:space="preserve">Nakuru water and sanitation company </t>
  </si>
  <si>
    <t>info@nakuruwater.co.ke</t>
  </si>
  <si>
    <t>Tegat Tea factory</t>
  </si>
  <si>
    <t>Salim Enterprises  Limited</t>
  </si>
  <si>
    <t>WATER REGULATORY AUTHORITY</t>
  </si>
  <si>
    <t>WRAMKRG@YAHOO.COM</t>
  </si>
  <si>
    <t>BLESSED MEDICAL HOSPITAL</t>
  </si>
  <si>
    <t>KITENGELA</t>
  </si>
  <si>
    <t>blessedcommunity978@gmail.com</t>
  </si>
  <si>
    <t>MINISTRY OF AGRICULTURE NAIROBI(KILIMO HOUSE)</t>
  </si>
  <si>
    <t>info@kilimo.go.ke</t>
  </si>
  <si>
    <t>Net contractors nairobi</t>
  </si>
  <si>
    <t>netcontractors@hotmail.com</t>
  </si>
  <si>
    <t xml:space="preserve">Muhoroni sugar company </t>
  </si>
  <si>
    <t xml:space="preserve">Muhoroni </t>
  </si>
  <si>
    <t>info@musco.co.ke</t>
  </si>
  <si>
    <t>Sirflex computer services</t>
  </si>
  <si>
    <t>Samkung@gmail.com</t>
  </si>
  <si>
    <t xml:space="preserve">TEACHERS SERVICE COMMISSION </t>
  </si>
  <si>
    <t>kajiado</t>
  </si>
  <si>
    <t>scdelangatawias@tsc.gmail .com</t>
  </si>
  <si>
    <t xml:space="preserve">County assembly of Nakuru </t>
  </si>
  <si>
    <t>Ayako Jessicah ongachi</t>
  </si>
  <si>
    <r>
      <rPr>
        <u/>
        <sz val="10"/>
        <color rgb="FF1155CC"/>
        <rFont val="Arial"/>
      </rPr>
      <t>Mr.So</t>
    </r>
    <r>
      <rPr>
        <sz val="10"/>
        <color rgb="FF000000"/>
        <rFont val="Arial"/>
        <scheme val="minor"/>
      </rPr>
      <t>lomon</t>
    </r>
  </si>
  <si>
    <r>
      <rPr>
        <u/>
        <sz val="10"/>
        <color rgb="FF1155CC"/>
        <rFont val="Arial"/>
      </rPr>
      <t>Mr.So</t>
    </r>
    <r>
      <rPr>
        <sz val="10"/>
        <color rgb="FF000000"/>
        <rFont val="Arial"/>
        <scheme val="minor"/>
      </rPr>
      <t>lomon</t>
    </r>
  </si>
  <si>
    <r>
      <t>treasury.sotik@</t>
    </r>
    <r>
      <rPr>
        <u/>
        <sz val="10"/>
        <color rgb="FF1155CC"/>
        <rFont val="Arial"/>
      </rPr>
      <t>gmail.com</t>
    </r>
  </si>
  <si>
    <t xml:space="preserve">Ellyne Chepngetich </t>
  </si>
  <si>
    <t>kelvin</t>
  </si>
  <si>
    <t xml:space="preserve">Dennis </t>
  </si>
  <si>
    <r>
      <rPr>
        <u/>
        <sz val="10"/>
        <color rgb="FF1155CC"/>
        <rFont val="Arial"/>
      </rPr>
      <t>Mr.So</t>
    </r>
    <r>
      <rPr>
        <sz val="10"/>
        <color rgb="FF000000"/>
        <rFont val="Arial"/>
        <scheme val="minor"/>
      </rPr>
      <t>lomon</t>
    </r>
  </si>
  <si>
    <r>
      <rPr>
        <u/>
        <sz val="10"/>
        <color rgb="FF1155CC"/>
        <rFont val="Arial"/>
      </rPr>
      <t>Mr.So</t>
    </r>
    <r>
      <rPr>
        <sz val="10"/>
        <color rgb="FF000000"/>
        <rFont val="Arial"/>
        <scheme val="minor"/>
      </rPr>
      <t>lomon</t>
    </r>
  </si>
  <si>
    <r>
      <t>treasury.sotik@</t>
    </r>
    <r>
      <rPr>
        <u/>
        <sz val="10"/>
        <color rgb="FF1155CC"/>
        <rFont val="Arial"/>
      </rPr>
      <t>gmail.com</t>
    </r>
  </si>
  <si>
    <t>MADAM ESTHER</t>
  </si>
  <si>
    <t>mathirasubcounty@gmail.com</t>
  </si>
  <si>
    <t>info@pelicanato.co.ke</t>
  </si>
  <si>
    <r>
      <rPr>
        <u/>
        <sz val="10"/>
        <color rgb="FF1155CC"/>
        <rFont val="Arial"/>
      </rPr>
      <t>Mr.So</t>
    </r>
    <r>
      <rPr>
        <sz val="10"/>
        <color rgb="FF000000"/>
        <rFont val="Arial"/>
        <scheme val="minor"/>
      </rPr>
      <t>lomon</t>
    </r>
  </si>
  <si>
    <r>
      <rPr>
        <u/>
        <sz val="10"/>
        <color rgb="FF1155CC"/>
        <rFont val="Arial"/>
      </rPr>
      <t>Mr.So</t>
    </r>
    <r>
      <rPr>
        <sz val="10"/>
        <color rgb="FF000000"/>
        <rFont val="Arial"/>
        <scheme val="minor"/>
      </rPr>
      <t>lomon</t>
    </r>
  </si>
  <si>
    <r>
      <t>treasury.sotik@</t>
    </r>
    <r>
      <rPr>
        <u/>
        <sz val="10"/>
        <color rgb="FF1155CC"/>
        <rFont val="Arial"/>
      </rPr>
      <t>gmail.com</t>
    </r>
  </si>
  <si>
    <t>KEITH WANYANDE</t>
  </si>
  <si>
    <t>CT100/G/4427/18</t>
  </si>
  <si>
    <t xml:space="preserve">MICRO AND SMALL ENTERPRISE AUTHORITY (MSEA) </t>
  </si>
  <si>
    <t>SHARON CHELANG'AT</t>
  </si>
  <si>
    <t>mseakenya@gmail.com</t>
  </si>
  <si>
    <t>patrick mwangi</t>
  </si>
  <si>
    <t>mr alvin</t>
  </si>
  <si>
    <t xml:space="preserve">CYRUS KIPROTICH </t>
  </si>
  <si>
    <t>PA106/G/15040/21</t>
  </si>
  <si>
    <t>TECHANCE LTD</t>
  </si>
  <si>
    <t>SAM MWANGI</t>
  </si>
  <si>
    <t>Ali Josphat Njoroge</t>
  </si>
  <si>
    <t>PA106/G/14966/21</t>
  </si>
  <si>
    <t>KENYA REINSURANCE CORPORATION</t>
  </si>
  <si>
    <t>Davis Onsakia</t>
  </si>
  <si>
    <t>kenyare@kenyare.co.ke</t>
  </si>
  <si>
    <t>Justine Kinya</t>
  </si>
  <si>
    <t>CT102/G/13834/21</t>
  </si>
  <si>
    <t>Platinum Credits Limited</t>
  </si>
  <si>
    <t>Victoria Nkatha</t>
  </si>
  <si>
    <t>thika@platinumcredits.co.ke</t>
  </si>
  <si>
    <t>#ERROR!</t>
  </si>
  <si>
    <t>COMPANY contact</t>
  </si>
  <si>
    <t>mwea</t>
  </si>
  <si>
    <t xml:space="preserve"> info@datascienceafrica.org</t>
  </si>
  <si>
    <t>MUHORONI-KISUMU</t>
  </si>
  <si>
    <t xml:space="preserve"> info@craydel.com</t>
  </si>
  <si>
    <t>info@assembly.nakuru.go.ke</t>
  </si>
  <si>
    <t>Kenya Forestry Research Institute</t>
  </si>
  <si>
    <t>Kambaa Tea Factory</t>
  </si>
  <si>
    <t>Kenya Industrial Estates</t>
  </si>
  <si>
    <t>Bimas Kenya Limited</t>
  </si>
  <si>
    <t>Blue Nile Rolling Mills Ltd</t>
  </si>
  <si>
    <t>Busia County Government</t>
  </si>
  <si>
    <t>Brookside Dairy Limited</t>
  </si>
  <si>
    <t>Kenya Medical Supplies Authority</t>
  </si>
  <si>
    <t>DelMonte Kenya Limited</t>
  </si>
  <si>
    <t>Kisumu County Revenue Board</t>
  </si>
  <si>
    <t>County Assembly of Kisumu</t>
  </si>
  <si>
    <t>Maweega Company Ltd</t>
  </si>
  <si>
    <t>Ministry of Education</t>
  </si>
  <si>
    <t>Weru Tea Factory Co. Ltd</t>
  </si>
  <si>
    <t>Nyandarua County Government</t>
  </si>
  <si>
    <t>Litenore Limited</t>
  </si>
  <si>
    <t>Embu County Government</t>
  </si>
  <si>
    <t>Kenya Literature Bureau</t>
  </si>
  <si>
    <t>Credit Bank Limited</t>
  </si>
  <si>
    <t>Airtel Networks Kenya</t>
  </si>
  <si>
    <t>Makueni County Treasury</t>
  </si>
  <si>
    <t>Talfa DT Sacco</t>
  </si>
  <si>
    <t>National Cereals &amp; Produce Board</t>
  </si>
  <si>
    <t>Damju Company Ltd</t>
  </si>
  <si>
    <t>IFMIS - National Treasury</t>
  </si>
  <si>
    <t>Brikimu Enterprises</t>
  </si>
  <si>
    <t>Rafiki Microfinance Bank</t>
  </si>
  <si>
    <t>Mogo Auto Limited</t>
  </si>
  <si>
    <t>Meru Central Dairy Co-operative</t>
  </si>
  <si>
    <t>Unisave Savings and Credit Co-op</t>
  </si>
  <si>
    <t>Emurua Dikirr CDF Office</t>
  </si>
  <si>
    <t>Hemusaie Enterprise Ltd</t>
  </si>
  <si>
    <t>Ojas Industries Ltd</t>
  </si>
  <si>
    <t>Consolidated Bank Nyeri Branch</t>
  </si>
  <si>
    <t>Murang'a County government</t>
  </si>
  <si>
    <t>Kenya Ports Authority (KPA)</t>
  </si>
  <si>
    <t>Kenya National Library Service</t>
  </si>
  <si>
    <t>Derac Consulting</t>
  </si>
  <si>
    <t>County government of Nakuru</t>
  </si>
  <si>
    <t>Bondeni Sub-county Hospital</t>
  </si>
  <si>
    <t>Kenya Highlands Sacco</t>
  </si>
  <si>
    <t>Kenya National Bureau of Statistics</t>
  </si>
  <si>
    <t>Joyka College of Professional Studies</t>
  </si>
  <si>
    <t>Soroya Investment Limited</t>
  </si>
  <si>
    <t>Youth Enterprise Development Fund</t>
  </si>
  <si>
    <t>Kwetu DT Sacco</t>
  </si>
  <si>
    <t>Somo Africa</t>
  </si>
  <si>
    <t>National Treasury Pensions Department</t>
  </si>
  <si>
    <t>Kenya Development Corporation</t>
  </si>
  <si>
    <t>Cooperative Bank Kutus Branch</t>
  </si>
  <si>
    <t>SL NAFARKA Commodities Ltd</t>
  </si>
  <si>
    <t>MMM Counter Human Trafficking</t>
  </si>
  <si>
    <t>Kirinyaga County government</t>
  </si>
  <si>
    <t>Bainanga Construction Ltd</t>
  </si>
  <si>
    <t>Oldonyo Farm Timau Ltd</t>
  </si>
  <si>
    <t>Westside Hotels Ltd</t>
  </si>
  <si>
    <t>Acr Imani talent Sacco</t>
  </si>
  <si>
    <t>Jassan's Communication</t>
  </si>
  <si>
    <t>Ministry of Public Service</t>
  </si>
  <si>
    <t>Nairobi City County government</t>
  </si>
  <si>
    <t>Platinum Credit Limited</t>
  </si>
  <si>
    <t>kicowasco PLC</t>
  </si>
  <si>
    <t>Kimbilio Daima Sacco</t>
  </si>
  <si>
    <t>Nick Insurance Brokers Ltd</t>
  </si>
  <si>
    <t>Biashara Sacco Society Ltd</t>
  </si>
  <si>
    <t>State Dept for Social Protection</t>
  </si>
  <si>
    <t>Muki Sacco Society Ltd</t>
  </si>
  <si>
    <t>Imarisha Sacco Ltd</t>
  </si>
  <si>
    <t>Brasely Group</t>
  </si>
  <si>
    <t>Winas DT Sacco Ltd</t>
  </si>
  <si>
    <t>Kathangariri Tea Factory Ltd</t>
  </si>
  <si>
    <t>Masaba North Ministry of Edu</t>
  </si>
  <si>
    <t>Cold Springs Hotel Ltd</t>
  </si>
  <si>
    <t>Kiwilkas DT Sacco</t>
  </si>
  <si>
    <t>Mwea Irrigation Agricultural Dev</t>
  </si>
  <si>
    <t>Nairobi Water &amp; Sewerage Co.</t>
  </si>
  <si>
    <t>Nairobi Timber Ltd</t>
  </si>
  <si>
    <t>Ministry of Lands &amp; Physical Planning</t>
  </si>
  <si>
    <t>Makueni Transporters Sacco</t>
  </si>
  <si>
    <t>Privatisation Commission</t>
  </si>
  <si>
    <t>Margje Ltd</t>
  </si>
  <si>
    <t>Makueni County Fruit Authority</t>
  </si>
  <si>
    <t>NRS DT Sacco</t>
  </si>
  <si>
    <t>Solution Sacco Ltd</t>
  </si>
  <si>
    <t>Hope House Travel Agency Ltd</t>
  </si>
  <si>
    <t>Social Health Authority</t>
  </si>
  <si>
    <t>west pokot county government</t>
  </si>
  <si>
    <t>City square -Nairobi</t>
  </si>
  <si>
    <t>Githunguri</t>
  </si>
  <si>
    <t>Viwandani-Nairobi</t>
  </si>
  <si>
    <t>Busia</t>
  </si>
  <si>
    <t>Ruiru-Nairobi</t>
  </si>
  <si>
    <t>Ruaraka-Nairobi</t>
  </si>
  <si>
    <t>NAirobi</t>
  </si>
  <si>
    <t>Embakasi central-Nairobi</t>
  </si>
  <si>
    <t>Ol'Kalou-Nyandarua</t>
  </si>
  <si>
    <t>Murang'a</t>
  </si>
  <si>
    <t>Machakos</t>
  </si>
  <si>
    <t>Yaya towers-Nairobi</t>
  </si>
  <si>
    <t>Kutus ,Kirinyaga</t>
  </si>
  <si>
    <t>Thititi</t>
  </si>
  <si>
    <t>Nanyuki -Laikipia</t>
  </si>
  <si>
    <t>Kitale-Transnzoia</t>
  </si>
  <si>
    <t>Kahuro-Murang'a</t>
  </si>
  <si>
    <t>Kerugoya-Kirinyaga</t>
  </si>
  <si>
    <t xml:space="preserve"> Bomet</t>
  </si>
  <si>
    <t>North Kinangop</t>
  </si>
  <si>
    <t>Embu town</t>
  </si>
  <si>
    <t>Keroka-Kisii</t>
  </si>
  <si>
    <t>Wanguru-kirinyaga</t>
  </si>
  <si>
    <t xml:space="preserve"> Nairobi</t>
  </si>
  <si>
    <t>wote-makueni</t>
  </si>
  <si>
    <t>Karugoya</t>
  </si>
  <si>
    <t>kikuyu-kiambu</t>
  </si>
  <si>
    <t>Mariakani</t>
  </si>
  <si>
    <t>west pokot</t>
  </si>
  <si>
    <t>kambaaktdateas.com</t>
  </si>
  <si>
    <t>info@bimaskenya.com</t>
  </si>
  <si>
    <t>info@bluenile-group.com</t>
  </si>
  <si>
    <t>info@busiacounty.go.ke</t>
  </si>
  <si>
    <t>humanresource@brookside.co.ke</t>
  </si>
  <si>
    <t>md@nzoiasugar.com</t>
  </si>
  <si>
    <t>info@kemsa.go.ke</t>
  </si>
  <si>
    <t>nanasi@freshdelmonte.com</t>
  </si>
  <si>
    <t>revenueboard@kisumu.go.ke</t>
  </si>
  <si>
    <t>kisumuassembly@go.ke</t>
  </si>
  <si>
    <t>Not provided</t>
  </si>
  <si>
    <t>info@education.go.ke</t>
  </si>
  <si>
    <t>info@weru.ktdateas.com</t>
  </si>
  <si>
    <t>info@zeraki.app</t>
  </si>
  <si>
    <t>info@klb.co.ke</t>
  </si>
  <si>
    <t>info@ngcdf.go.ke</t>
  </si>
  <si>
    <t>mainoffice@creditbank.co.ke</t>
  </si>
  <si>
    <t>+254 (0) 734110000</t>
  </si>
  <si>
    <t>finance@makueni.go.ke</t>
  </si>
  <si>
    <t>po box 1649-00100</t>
  </si>
  <si>
    <t>julianakamau@gmail</t>
  </si>
  <si>
    <t>info@ifmis.go.ke</t>
  </si>
  <si>
    <t>brikimumerchants@gmail.com</t>
  </si>
  <si>
    <t>info@rafiki.co.ke</t>
  </si>
  <si>
    <t>help@mogo.co.ke</t>
  </si>
  <si>
    <t>unisavesacco@gmail.com</t>
  </si>
  <si>
    <t>cdfemuruadikirr@ngcdf.go.ke.</t>
  </si>
  <si>
    <t>Hemusaie@gmail.com</t>
  </si>
  <si>
    <t>ojasindustries@gmail</t>
  </si>
  <si>
    <t>nyeri@consolidated-bank.com</t>
  </si>
  <si>
    <t>gullynetsolutions@gmail.com</t>
  </si>
  <si>
    <t>micd@kpa.co.ke</t>
  </si>
  <si>
    <t>knls@knls.ac.ke</t>
  </si>
  <si>
    <t>info@deracconsulting.co.ke</t>
  </si>
  <si>
    <t>bondenimaternity@gmail</t>
  </si>
  <si>
    <t>kenyahighlandssaccoltd@gmail</t>
  </si>
  <si>
    <t>+254 (0) 202141600</t>
  </si>
  <si>
    <t>joycekathuli@gmail.com</t>
  </si>
  <si>
    <t>Soroya@outlook.com</t>
  </si>
  <si>
    <t>info@youthfund.go.ke</t>
  </si>
  <si>
    <t>customercare@kwetusacco.com</t>
  </si>
  <si>
    <t>Contact@somoafrica.org</t>
  </si>
  <si>
    <t>info@mmaraa.ac.ke</t>
  </si>
  <si>
    <t>Pensions@treasury.go.ke</t>
  </si>
  <si>
    <t>info@kdc.go.ke</t>
  </si>
  <si>
    <t>sknafaka@gmail.com</t>
  </si>
  <si>
    <t>eccarralreader@gmail.com</t>
  </si>
  <si>
    <t>Kirinyagacounty2013@gmail</t>
  </si>
  <si>
    <t>PM@gmail.com</t>
  </si>
  <si>
    <t>info@oldonyo.com</t>
  </si>
  <si>
    <t>info@westsidehotels.co.ke</t>
  </si>
  <si>
    <t>Phone +254720167573</t>
  </si>
  <si>
    <t>jassan1020@yahoo.com</t>
  </si>
  <si>
    <t>Psepsyg.go.ke</t>
  </si>
  <si>
    <t>mamanginacs@platinumcredit.co.ke</t>
  </si>
  <si>
    <t>info@kicowasco.co.ke</t>
  </si>
  <si>
    <t>kimbiliosacco@gmail</t>
  </si>
  <si>
    <t>info@nck.co.ke</t>
  </si>
  <si>
    <t>biasharasacco@yahoo.com</t>
  </si>
  <si>
    <t>ps@socialprotection.go.ke</t>
  </si>
  <si>
    <t>mukigroup@yahoo.com</t>
  </si>
  <si>
    <t>imarisha@imarishasacco.co.ke</t>
  </si>
  <si>
    <t>braselygroup@gmail.com</t>
  </si>
  <si>
    <t>info@winassacco.com</t>
  </si>
  <si>
    <t>Phone +254774354963</t>
  </si>
  <si>
    <t>info@kathangariri.ktdateas.com</t>
  </si>
  <si>
    <t>masabanorthedu@gmail.com</t>
  </si>
  <si>
    <t>Cold@gmail.com</t>
  </si>
  <si>
    <t>info@kiwilkassacco.co.ke</t>
  </si>
  <si>
    <t>020-2033987</t>
  </si>
  <si>
    <t>Phone +254716683572</t>
  </si>
  <si>
    <t>info@nbitimber.com</t>
  </si>
  <si>
    <t>info@ardhi.go.ke</t>
  </si>
  <si>
    <t>matocosacco@gmail.com</t>
  </si>
  <si>
    <t>info@privatisation.go.ke</t>
  </si>
  <si>
    <t>sec.margje002@gmail.com</t>
  </si>
  <si>
    <t>info@mcfdmar.co.ke</t>
  </si>
  <si>
    <t>info@nrssacco.co.ke</t>
  </si>
  <si>
    <t>info@solutionsacco.com</t>
  </si>
  <si>
    <t>travel@hopehousetravelagency.co.ke</t>
  </si>
  <si>
    <t>Phone +254722677535</t>
  </si>
  <si>
    <t>Business</t>
  </si>
  <si>
    <t>LITEIN TEA FACTORY</t>
  </si>
  <si>
    <t>Litein, Kericho</t>
  </si>
  <si>
    <t>info@kipchimchimgroup.com</t>
  </si>
  <si>
    <t>FAYZ CONSTRUCTION LIMITED (JOY MILLERS LIMITED )</t>
  </si>
  <si>
    <t>Nairobi, Kenya</t>
  </si>
  <si>
    <t>Phone +254733851201</t>
  </si>
  <si>
    <t>TECHFINITY SOFTWARE RUIRU</t>
  </si>
  <si>
    <t>748 318032</t>
  </si>
  <si>
    <t>KUTUS-AUTO-GARAGE,NEAR EQUITY BANK</t>
  </si>
  <si>
    <t>near equity bank</t>
  </si>
  <si>
    <t>Public works state department of mechanical engineering</t>
  </si>
  <si>
    <t>Machakos Road, Industrial Area</t>
  </si>
  <si>
    <t>info@publicworks.go.ke.</t>
  </si>
  <si>
    <t>KIWASCO (KISUMU)</t>
  </si>
  <si>
    <t>Tom Mboya Rd, Kisumu</t>
  </si>
  <si>
    <t>info@kiwasco.co.ke</t>
  </si>
  <si>
    <t>Geba Fabricators &amp; Eng.</t>
  </si>
  <si>
    <t>Kangundo Rd, Nairobi</t>
  </si>
  <si>
    <t>gebafablimited@gmail.com</t>
  </si>
  <si>
    <t>KENYA POLICE CENTRAL WORKSHOP</t>
  </si>
  <si>
    <t>Jogoo House, Taifa Road, Nairobi</t>
  </si>
  <si>
    <t>0800 722 203</t>
  </si>
  <si>
    <t xml:space="preserve">FIRST FITS AUTO CARE LIMITED </t>
  </si>
  <si>
    <t>Warehouse/Godown 76, along Nanyuki Road, Industrial Area, Nairob</t>
  </si>
  <si>
    <t>Firstfitauto@gmail.com</t>
  </si>
  <si>
    <t>IPRO CONSTRUCTION  COMPANY  LIMITED</t>
  </si>
  <si>
    <t>Luthuli Avenue, Nairobi</t>
  </si>
  <si>
    <t>info@iproconstruction.co.ke</t>
  </si>
  <si>
    <t>Regal Pharmaceuticals Ltd</t>
  </si>
  <si>
    <t>Off Baba Dogo Road Nairobi</t>
  </si>
  <si>
    <t>info@regalpharmaceuticals.com</t>
  </si>
  <si>
    <t>SIDEWAYS METAL WORKS</t>
  </si>
  <si>
    <t>8 Laiser Hill Road, Ongata Rongai, Kajiado</t>
  </si>
  <si>
    <t>sales@sidewaysmetalworks.co.ke</t>
  </si>
  <si>
    <t>VisionOne Industries Limited</t>
  </si>
  <si>
    <t>Bahati - Murunyu Road, opposite St. Bahati</t>
  </si>
  <si>
    <t>info@visiononeindustries.com</t>
  </si>
  <si>
    <t>KENYA POWER (NYERI)</t>
  </si>
  <si>
    <t>Stima House / Diana Center, Nyeri</t>
  </si>
  <si>
    <t>customercare@kplc.co.ke</t>
  </si>
  <si>
    <t xml:space="preserve">Fresha Dairy Brands. Githunguri </t>
  </si>
  <si>
    <t>Githunguri, Kiambu</t>
  </si>
  <si>
    <t>info@fresha.co.ke</t>
  </si>
  <si>
    <t xml:space="preserve">West road Automotive Center, Ruaka-Kiambu </t>
  </si>
  <si>
    <t>Gacharage Junction, next to Total Ruaka, Limuru Rd</t>
  </si>
  <si>
    <t>0725 734870</t>
  </si>
  <si>
    <t>Kenya Vehicle Manufacturer Ltd (KVM)</t>
  </si>
  <si>
    <t>Garissa Road, Thika</t>
  </si>
  <si>
    <t>info@kam.co.ke (via KAM association)</t>
  </si>
  <si>
    <t>Thumaita tea factory</t>
  </si>
  <si>
    <t>Thumaita Sub-location, Gichugu, Kirinyaga</t>
  </si>
  <si>
    <t>ASHUT PLASTICS LIMITED, NAIROBI.</t>
  </si>
  <si>
    <t>Lokitaung Rd, Off Likoni Rd, Viwandani, Nairobi</t>
  </si>
  <si>
    <t>enquiries@ashutplastics.com</t>
  </si>
  <si>
    <t>AXAR MOTORS LIMITED, Busia</t>
  </si>
  <si>
    <t>Ruiru Town, Greec Towers</t>
  </si>
  <si>
    <t>solutions@associated-motors.com</t>
  </si>
  <si>
    <t>MUTINDWA TOYOTA DEALERSHIP</t>
  </si>
  <si>
    <t>Meru - Maua Road, Next to Kenya Power</t>
  </si>
  <si>
    <t>sales@mutindwa.com</t>
  </si>
  <si>
    <t>JUNKYARD AUTO GARAGE, Ruiru</t>
  </si>
  <si>
    <t>Mathigu Road, Ruiru</t>
  </si>
  <si>
    <t>ruiruautogarage@gmail.com</t>
  </si>
  <si>
    <t>Nakuru Town</t>
  </si>
  <si>
    <t>custcare@nakuruwater.co.ke</t>
  </si>
  <si>
    <t xml:space="preserve">DREAM LINE AUTO GARAGE </t>
  </si>
  <si>
    <t>Ruiru / Nairobi</t>
  </si>
  <si>
    <t>info@dreamline.co.ke</t>
  </si>
  <si>
    <t>SIOMO TEA FACTORY EPZ</t>
  </si>
  <si>
    <t>Kapleleito - Sotit Road, Koiwa</t>
  </si>
  <si>
    <t>info@siomotea.com</t>
  </si>
  <si>
    <t>Gichugu Division, Kirinyaga</t>
  </si>
  <si>
    <t>Kenya Ordinance Factories Coporation (KOFC)</t>
  </si>
  <si>
    <t>Kitale Eldoret Road, Eldoret</t>
  </si>
  <si>
    <t>info@kofc.co.ke</t>
  </si>
  <si>
    <t>JOY MILLERS LIMITED, KUTUS</t>
  </si>
  <si>
    <t>Kutus - Embu Rd, Kerugoya</t>
  </si>
  <si>
    <t>admin@joymillerslimited.co.ke</t>
  </si>
  <si>
    <t>KONZA TECHNOPOLIS (ICM SPA)</t>
  </si>
  <si>
    <t>7th floor, Konza Complex, Nairobi-Mombasa Road</t>
  </si>
  <si>
    <t>Royal Steel Mill Nakuru</t>
  </si>
  <si>
    <t>Salgaa, along Nakuru-Salgaa Highway</t>
  </si>
  <si>
    <t>info@royalsteelmill.com</t>
  </si>
  <si>
    <t>Kabsabet Tea Factory</t>
  </si>
  <si>
    <t>Kapsabet, Nandi County</t>
  </si>
  <si>
    <t>info@kapsabet.ktdateas.com</t>
  </si>
  <si>
    <t>Central Plumbing Limited</t>
  </si>
  <si>
    <t>Phone: +254 20 558611)</t>
  </si>
  <si>
    <t>Mombasa Cement</t>
  </si>
  <si>
    <t>Mikindani, Mombasa</t>
  </si>
  <si>
    <t>jitujoshi@mombasacement.com</t>
  </si>
  <si>
    <t>Ministry of Roads &amp; Transport Mechanical Division</t>
  </si>
  <si>
    <t>Transcom House, Ngong Road, Nairobi</t>
  </si>
  <si>
    <t>West Kenya Sugar Naitiri Unit</t>
  </si>
  <si>
    <t>P.O. Box 50-50211, Naitiri, Bungoma</t>
  </si>
  <si>
    <t>westkenyanaitirisugarcompany@gmail.com</t>
  </si>
  <si>
    <t>Sondu Miriu Power Plant (KenGen)</t>
  </si>
  <si>
    <t>P.O. Box 875, 40100 Kisumu</t>
  </si>
  <si>
    <t>pr@kengen.co.ke</t>
  </si>
  <si>
    <t>Harmony Auto Mechanical Garage</t>
  </si>
  <si>
    <t>48 Toh Guan Road East #02-113, Singapore</t>
  </si>
  <si>
    <t>jurong@harmony.com.sg</t>
  </si>
  <si>
    <t>Kenya Railways</t>
  </si>
  <si>
    <t>Workshops Road Off Haile Selassie Ave, Nairobi</t>
  </si>
  <si>
    <t>info@krc.co.ke</t>
  </si>
  <si>
    <t>Mudher Mechanical Works Limited</t>
  </si>
  <si>
    <t>Viwandani Butere Rd, Mudher Bldg, Nairobi</t>
  </si>
  <si>
    <t>Phone: +254 772 093145)</t>
  </si>
  <si>
    <t>Vertex Builders Ltd</t>
  </si>
  <si>
    <t>438 West Green Road, London, England</t>
  </si>
  <si>
    <t>contactvertexbuilding@gmail.com</t>
  </si>
  <si>
    <t>Kenya Plant Health Inspectorate Service (KEPHIS)</t>
  </si>
  <si>
    <t>Ololua Ridge, Karen, Nairobi</t>
  </si>
  <si>
    <t>kephisinfo@kephis.org</t>
  </si>
  <si>
    <t>Mombasa Cement Limited Company</t>
  </si>
  <si>
    <t>New Msa-Nrb Road, Mikindani, Mombasa</t>
  </si>
  <si>
    <t>Nationwide Electrical Industries Limited</t>
  </si>
  <si>
    <t>Road One, Off Baba Dogo Road, Ruaraka, Nairobi</t>
  </si>
  <si>
    <t>info@nationwidegroup.co.ke</t>
  </si>
  <si>
    <t>South Nyanza Sugar Company (Sony Sugar)</t>
  </si>
  <si>
    <t>Sare-Awendo, Kisii-Migori Road</t>
  </si>
  <si>
    <t>info@sonysugar.co.ke</t>
  </si>
  <si>
    <t>County Government of Kirinyaga (Transport Dept.)</t>
  </si>
  <si>
    <t>Kutus, Kirinyaga</t>
  </si>
  <si>
    <t>Nairobi City Water &amp; Sewerage (Sasumua Dam)</t>
  </si>
  <si>
    <t>Sasumua, Njabini / Nairobi</t>
  </si>
  <si>
    <t>customercare@nairobiwater.co.ke</t>
  </si>
  <si>
    <t>Mogeni Tea Factory Ltd</t>
  </si>
  <si>
    <t>Ikonge, Nyamira</t>
  </si>
  <si>
    <t>info@mogeniteafactory.com</t>
  </si>
  <si>
    <t>Hakika Transport Services</t>
  </si>
  <si>
    <t>Kitengela, Kajiado / Mombasa</t>
  </si>
  <si>
    <t>info@hakikafms.com</t>
  </si>
  <si>
    <t>Mungetho Plastics Limited</t>
  </si>
  <si>
    <t>Njiru, Kangundo Road, Nairobi</t>
  </si>
  <si>
    <t>Phone: +254 719 585 601</t>
  </si>
  <si>
    <t>Stamark Autos Limited</t>
  </si>
  <si>
    <t>Popo Road, South C, Nairobi</t>
  </si>
  <si>
    <t>sales@cfao.com</t>
  </si>
  <si>
    <t>Subaru Kenya</t>
  </si>
  <si>
    <t>Addis Ababa Road, Industrial Area, Nairobi</t>
  </si>
  <si>
    <t>bodyshop@subarukenya.com</t>
  </si>
  <si>
    <t>Ashut Engineers Ltd</t>
  </si>
  <si>
    <t>Nyahera Road, Off Lunga Lunga Road, Nairobi</t>
  </si>
  <si>
    <t>enquiries@ashut.com</t>
  </si>
  <si>
    <t>Kapkatei Tea Factory Ltd</t>
  </si>
  <si>
    <t>kapkatetfactory@gmail.com</t>
  </si>
  <si>
    <t>Mudete Tea Factory</t>
  </si>
  <si>
    <t>Mbale - Maragoli, Vihiga</t>
  </si>
  <si>
    <t>info@mudete.ktdateas.com</t>
  </si>
  <si>
    <t>KenGen Kamburu Hydropower Station</t>
  </si>
  <si>
    <t>Embu / Machakos border</t>
  </si>
  <si>
    <t>Vegpro Kenya Limited</t>
  </si>
  <si>
    <t>Embakasi, Nairobi</t>
  </si>
  <si>
    <t>info@vegpro-kenya.com</t>
  </si>
  <si>
    <t>Thika Water and Sewerage Company (THIWASCO)</t>
  </si>
  <si>
    <t>info@thiwaco.co.ke</t>
  </si>
  <si>
    <t>Directorate of Occ. Safety &amp; Health (DOSH-KE)</t>
  </si>
  <si>
    <t>Safety House, Commercial St, Industrial Area, Nairobi</t>
  </si>
  <si>
    <t>doshdept@labour.go.ke</t>
  </si>
  <si>
    <t>Ngorongo Tea Factory</t>
  </si>
  <si>
    <t>Kiambu Road near Gathanji Village</t>
  </si>
  <si>
    <t>info@ngorongotea.co.ke</t>
  </si>
  <si>
    <t>Innate Technologies Ltd</t>
  </si>
  <si>
    <t>info@innate.co.ke</t>
  </si>
  <si>
    <t>Iko Winners Company Limited</t>
  </si>
  <si>
    <t>Nairobi / Regional branches</t>
  </si>
  <si>
    <t>Phone: +254 719 042000</t>
  </si>
  <si>
    <t>Mabati Rolling Mills Mariakani</t>
  </si>
  <si>
    <t>Mariakani, Mombasa</t>
  </si>
  <si>
    <t>info@mabati.com</t>
  </si>
  <si>
    <t>Antom Automotive Ltd</t>
  </si>
  <si>
    <t>Baricho Road, Industrial Area, Nairobi</t>
  </si>
  <si>
    <t>info@antomauto.com</t>
  </si>
  <si>
    <t>Maramba Tea Factory</t>
  </si>
  <si>
    <t>Limuru, Kiambu County</t>
  </si>
  <si>
    <t>info@marambatea.ktdateas.com</t>
  </si>
  <si>
    <t>Manguchi Autowerks</t>
  </si>
  <si>
    <t>Along Kiambu Road, Nairobi</t>
  </si>
  <si>
    <t>info@manguchi.co.ke</t>
  </si>
  <si>
    <t>Kapa Oil Refineries Ltd</t>
  </si>
  <si>
    <t>Mombasa Road, Nairobi</t>
  </si>
  <si>
    <t>info@kapa-oil.com</t>
  </si>
  <si>
    <t>Heavy Engineering Ltd</t>
  </si>
  <si>
    <t>Funzi Road, Industrial Area, Nairobi</t>
  </si>
  <si>
    <t>info@hekenya.com</t>
  </si>
  <si>
    <t>Quality Motors Garage</t>
  </si>
  <si>
    <t>qualitymotorsltd@gmail.com</t>
  </si>
  <si>
    <t>Alpha Logistics Services (EPZ) Ltd</t>
  </si>
  <si>
    <t>info@alphakenya.com</t>
  </si>
  <si>
    <t>Rimrock Construction Services Ltd</t>
  </si>
  <si>
    <t>info@rimrock.co.ke</t>
  </si>
  <si>
    <t>Kagio Smart Feeds Limited</t>
  </si>
  <si>
    <t>Kagio, Kirinyaga County</t>
  </si>
  <si>
    <t>Phone: +254 722 815077</t>
  </si>
  <si>
    <t>Nairobi City County Govt Garage</t>
  </si>
  <si>
    <t>City Hall Way / Industrial Area, Nairobi</t>
  </si>
  <si>
    <t>Ngere Tea Factory</t>
  </si>
  <si>
    <t>Karangi, Gatanga, Muranga County</t>
  </si>
  <si>
    <t>info@ngere.ktdateas.com</t>
  </si>
  <si>
    <t>Almasi Bottlers Ltd</t>
  </si>
  <si>
    <t>Corporate Office, Nairobi / Eldoret</t>
  </si>
  <si>
    <t>Stroock Garage</t>
  </si>
  <si>
    <t>Phone: +254 722 710185</t>
  </si>
  <si>
    <t>Delta Precision and Fabricators</t>
  </si>
  <si>
    <t>Jomo Kenyatta Road, Mombasa</t>
  </si>
  <si>
    <t>Phone: +254 713 110000</t>
  </si>
  <si>
    <t>Kenya Power and Lighting Company (KPLC)</t>
  </si>
  <si>
    <t>NULL</t>
  </si>
  <si>
    <t>Auto Code Limited</t>
  </si>
  <si>
    <t>Magharibi Place, Mai Mahiu Rd, Nairobi</t>
  </si>
  <si>
    <t>info@autokey.co.ke</t>
  </si>
  <si>
    <t>Kylin Motors Company</t>
  </si>
  <si>
    <t>Kindaruma Rd, Ngong Rd, Nairobi</t>
  </si>
  <si>
    <t>website: kylinmotors.com)</t>
  </si>
  <si>
    <t>Maisha Mabati Ltd</t>
  </si>
  <si>
    <t>Ruiru Kamiti Road, Nairobi</t>
  </si>
  <si>
    <t>sales@maishamabati.com</t>
  </si>
  <si>
    <t>Ostrich Engineering Services</t>
  </si>
  <si>
    <t>Likoni Rd, Industrial Area, Nairobi</t>
  </si>
  <si>
    <t>scales@ostrichscales.com</t>
  </si>
  <si>
    <t>MK Auto Garage</t>
  </si>
  <si>
    <t>Phone: +254 722 858585</t>
  </si>
  <si>
    <t>Kenya Airways</t>
  </si>
  <si>
    <t>Airport North Road, Embakasi, Nairobi</t>
  </si>
  <si>
    <t>customer.relations@kenya-airways.com</t>
  </si>
  <si>
    <t>Mechanical engineering</t>
  </si>
  <si>
    <t>Fiberlink Limited Solutions</t>
  </si>
  <si>
    <t>Gathii House, Nairobi</t>
  </si>
  <si>
    <t>info@fiberlinksolutionsltd.co.ke</t>
  </si>
  <si>
    <t>Stablelink Systems Limited</t>
  </si>
  <si>
    <t>Mama Ngina Street, Embu</t>
  </si>
  <si>
    <t>info@sabalink.co.ke</t>
  </si>
  <si>
    <t>Sprinkville Networks Ltd</t>
  </si>
  <si>
    <t xml:space="preserve"> Limuru Rd, Nairobi</t>
  </si>
  <si>
    <t>info@sprinkvillenetworks.co.ke</t>
  </si>
  <si>
    <t>Jamii Telecommunications</t>
  </si>
  <si>
    <t>customercare@jtl.co.ke</t>
  </si>
  <si>
    <t>Mogogosiek Tea Factory</t>
  </si>
  <si>
    <t xml:space="preserve">Mogogosiek, Bomet </t>
  </si>
  <si>
    <t>Yellow Fiber Networks</t>
  </si>
  <si>
    <t>Ngong Rd - Maziwa, Nairobi</t>
  </si>
  <si>
    <t>Phone: +254 701 774305</t>
  </si>
  <si>
    <t>River Text Limited (Rivatex)</t>
  </si>
  <si>
    <t>Eldoret - Kipkaren Road</t>
  </si>
  <si>
    <t>info@rivatex.co.ke</t>
  </si>
  <si>
    <t>Airnet Broadband Limited</t>
  </si>
  <si>
    <t>Gathii House,Nairobi</t>
  </si>
  <si>
    <t>info@airnet.co.ke</t>
  </si>
  <si>
    <t>County Govt of Kirinyaga</t>
  </si>
  <si>
    <t>Kutus Town, Kirinyaga</t>
  </si>
  <si>
    <t>Bulshofiber Link Limited</t>
  </si>
  <si>
    <t>1st Ave, Eastleigh / Pangani, Nairobi</t>
  </si>
  <si>
    <t>Phone: +254 740 501501</t>
  </si>
  <si>
    <t>Kenya Pipeline Company JKIA</t>
  </si>
  <si>
    <t>Baran Telecom Networks (BTN)</t>
  </si>
  <si>
    <t>info@btn-solutions.co.ke</t>
  </si>
  <si>
    <t>KenGen Olkaria</t>
  </si>
  <si>
    <t>Naivasha, Nakuru County</t>
  </si>
  <si>
    <t>Kiptagich Tea Factory</t>
  </si>
  <si>
    <t>Kiptagich, Nakuru County</t>
  </si>
  <si>
    <t>info@kiptagich.co.ke</t>
  </si>
  <si>
    <t>Siaya County Referral Hospital</t>
  </si>
  <si>
    <t>Siaya Town</t>
  </si>
  <si>
    <t>siayacountyrh@gmail.com</t>
  </si>
  <si>
    <t>County Govt of Nakuru</t>
  </si>
  <si>
    <t>Nakuru City</t>
  </si>
  <si>
    <t>Masinde Muliro University of Science and Technology</t>
  </si>
  <si>
    <t>Kakamega Town</t>
  </si>
  <si>
    <t>info@mmust.ac.ke</t>
  </si>
  <si>
    <t>Kenya Civil Aviation Authority</t>
  </si>
  <si>
    <t>Aviation House, JKIA, Nairobi</t>
  </si>
  <si>
    <t>info@kcaa.or.ke</t>
  </si>
  <si>
    <t>Cloud logic limited</t>
  </si>
  <si>
    <t>info@cloudlogic.co.ke</t>
  </si>
  <si>
    <t>Alan Dick &amp; Co. (EA) Ltd</t>
  </si>
  <si>
    <t>Phone: +254 20 650536</t>
  </si>
  <si>
    <t>Aircare Aero Services Ltd</t>
  </si>
  <si>
    <t>Wilson Airport, Nairobi</t>
  </si>
  <si>
    <t>info@aircare.co.ke</t>
  </si>
  <si>
    <t>Konnect Data Networks</t>
  </si>
  <si>
    <t>Ruaraka Close, opposite Dog Section, Nakuru</t>
  </si>
  <si>
    <t>csr@konnected.co.ke</t>
  </si>
  <si>
    <t>YELLOW FIBER NETWORKS</t>
  </si>
  <si>
    <t>Fibre 8</t>
  </si>
  <si>
    <t>support@zukufiber.co.ke</t>
  </si>
  <si>
    <t>Wavelink Networks</t>
  </si>
  <si>
    <t>City View, Jogoo Road, Nairobi</t>
  </si>
  <si>
    <t>info@wavelinknetworks.co.ke</t>
  </si>
  <si>
    <t>QUICK FIBER LIMITED</t>
  </si>
  <si>
    <t>sales@quickfiber.co.ke</t>
  </si>
  <si>
    <t>County Govt of Kakamega</t>
  </si>
  <si>
    <t>Mumias Road, Kakamega Town</t>
  </si>
  <si>
    <t>info@kakamega.go.ke</t>
  </si>
  <si>
    <t>Naivatel Networks Limited</t>
  </si>
  <si>
    <t>Lakeview Silver Houses, Naivasha</t>
  </si>
  <si>
    <t>info@naivatel.co.ke</t>
  </si>
  <si>
    <t>NARIANA ENTERPRISES</t>
  </si>
  <si>
    <t>info@nariana.co.ke</t>
  </si>
  <si>
    <t>T-tech Telecommunication</t>
  </si>
  <si>
    <t>Nyeri Town</t>
  </si>
  <si>
    <t>ttechtelecommunications@gmail.com</t>
  </si>
  <si>
    <t>TELKOM KENYA LIMITED</t>
  </si>
  <si>
    <t>Ralph Bunche Road, Nairobi</t>
  </si>
  <si>
    <t>customercare@telkom.co.ke</t>
  </si>
  <si>
    <t>Simplex Technologies</t>
  </si>
  <si>
    <t>Delta Corner Tower 2, Westlands, Nairobi</t>
  </si>
  <si>
    <t>info@simplexsystems.co.ke</t>
  </si>
  <si>
    <t>KEROKA TECHNICAL INSTITUTE</t>
  </si>
  <si>
    <t>Keroka, Kisii County</t>
  </si>
  <si>
    <t>info@kerokatechnical.ac.ke</t>
  </si>
  <si>
    <t>FIRSTBASICS TECHNOLOGIES</t>
  </si>
  <si>
    <t>Savannah Business Center, Embakasi</t>
  </si>
  <si>
    <t>info@firstbasics.tech</t>
  </si>
  <si>
    <t>KBC</t>
  </si>
  <si>
    <t>Harry Thuku Road, Nairobi</t>
  </si>
  <si>
    <t>feedback@kbc.co.ke</t>
  </si>
  <si>
    <t>Nandi County Government</t>
  </si>
  <si>
    <t>Kapsabet Town</t>
  </si>
  <si>
    <t>Golden valley ltd</t>
  </si>
  <si>
    <t>info@goldenvalley.co.ke</t>
  </si>
  <si>
    <t>GUZZER TECHNOLOGIES</t>
  </si>
  <si>
    <t>Jameson Court, Ngong Road, Nairobi</t>
  </si>
  <si>
    <t>info@g-tech.co.ke</t>
  </si>
  <si>
    <t>PAYSTORE KENYA</t>
  </si>
  <si>
    <t>Meru Mbayakarichu Building, Meru</t>
  </si>
  <si>
    <t>Phone: +254 798 669440</t>
  </si>
  <si>
    <t>Telecommunication</t>
  </si>
  <si>
    <t>Karwak Construction Limited</t>
  </si>
  <si>
    <t>info@karwak.co.ke</t>
  </si>
  <si>
    <t>Nairobi Timber L.T.D</t>
  </si>
  <si>
    <t>Lunga Lunga Road, near House of Manji, Nairobi</t>
  </si>
  <si>
    <t>Essyk Building Solutions Ltd</t>
  </si>
  <si>
    <t>info@essyk.com</t>
  </si>
  <si>
    <t>Interactive Technologies Limited</t>
  </si>
  <si>
    <t>6th Floor, Parklands Road, Nairobi</t>
  </si>
  <si>
    <t>info@itlweb.com</t>
  </si>
  <si>
    <t>Tea Research Institute - KALRO</t>
  </si>
  <si>
    <t>Off Kericho-Nakuru Road, Kericho</t>
  </si>
  <si>
    <t>tea.research@kalro.org</t>
  </si>
  <si>
    <t>Lux Builders Limited</t>
  </si>
  <si>
    <t>Westlands, Nairobi</t>
  </si>
  <si>
    <t>luxwaybridge@gmail.com</t>
  </si>
  <si>
    <t>Arcodau Limited</t>
  </si>
  <si>
    <t>sales@arcooda.com</t>
  </si>
  <si>
    <t>Agupe Home Fiber Solutions</t>
  </si>
  <si>
    <t>Pamki House, Kimathi Way, Nyeri</t>
  </si>
  <si>
    <t>agapetechenterprise@gmail.com</t>
  </si>
  <si>
    <t>Migori County ICT Dept</t>
  </si>
  <si>
    <t>Migori Town</t>
  </si>
  <si>
    <t>info@migori.go.ke</t>
  </si>
  <si>
    <t>Kenya Power (Narok)</t>
  </si>
  <si>
    <t>Narok Town</t>
  </si>
  <si>
    <t>Kenya Power (Kerugoya)</t>
  </si>
  <si>
    <t>Kerugoya Town</t>
  </si>
  <si>
    <t>Kanyenyaini Tea Factory Ltd</t>
  </si>
  <si>
    <t>Off Kangema-Kanyenyaini Rd, Kangema</t>
  </si>
  <si>
    <t>info@kanyenyaini.ktdateas.com</t>
  </si>
  <si>
    <t>Starcraft Electrical Company</t>
  </si>
  <si>
    <t>info@starcraft.co.ke</t>
  </si>
  <si>
    <t>Africa Polysack Limited</t>
  </si>
  <si>
    <t>East Gate Road, off Mombasa Road, Nairobi</t>
  </si>
  <si>
    <t>info@africapolysack.co.ke</t>
  </si>
  <si>
    <t>Ministry of Water &amp; Irrigation</t>
  </si>
  <si>
    <t>Maji House, Ngong Road, Nairobi</t>
  </si>
  <si>
    <t>Power Hub Consultant Ltd</t>
  </si>
  <si>
    <t>Eastern Bypass, Ruiru</t>
  </si>
  <si>
    <t>Kandara Technical Institute</t>
  </si>
  <si>
    <t>Kandara, Murang'a</t>
  </si>
  <si>
    <t>kandaratvc@gmail.com</t>
  </si>
  <si>
    <t>Nariana Enterprise Limited</t>
  </si>
  <si>
    <t>FINLAYS (KENYA) LIMITED</t>
  </si>
  <si>
    <t>PO Box 223, Chepkembe, Kericho</t>
  </si>
  <si>
    <t>info.kenya@finlays.net</t>
  </si>
  <si>
    <t>BERWAKI AFRICA LIMITED</t>
  </si>
  <si>
    <t>Box 17465-00100, Nairobi</t>
  </si>
  <si>
    <t>info@berwakiafrica.co.ke</t>
  </si>
  <si>
    <t>Tana Water and Sewerage Company</t>
  </si>
  <si>
    <t>Maji House, Baden Powell Road, Nyeri</t>
  </si>
  <si>
    <t>tanawaterco@gmail.com</t>
  </si>
  <si>
    <t>Kenya Power (Eldoret)</t>
  </si>
  <si>
    <t>Eldoret Town</t>
  </si>
  <si>
    <t>Egerton University (Main Campus)</t>
  </si>
  <si>
    <t>Nakuru-Mau Narok Road, Njoro</t>
  </si>
  <si>
    <t>info@egerton.ac.ke</t>
  </si>
  <si>
    <t>NAIROBI CITY COUNTY</t>
  </si>
  <si>
    <t>City Hall Way, Nairobi</t>
  </si>
  <si>
    <t>ncpsbnairobi047@gmail.com</t>
  </si>
  <si>
    <t>Tebesonik Tea Factory Limited</t>
  </si>
  <si>
    <t>Majani Plaza, Koinange Street, Nairobi</t>
  </si>
  <si>
    <t>gnjoroge@ktdateas.com</t>
  </si>
  <si>
    <t>Next Technologies, Nairobi</t>
  </si>
  <si>
    <t>Applewood Park, Off Wood Ave, Kilimani</t>
  </si>
  <si>
    <t>info@next.co.ke</t>
  </si>
  <si>
    <t>Ampath Uzima Eldoret</t>
  </si>
  <si>
    <t>P.O. Box 4606-30100, Eldoret</t>
  </si>
  <si>
    <t>info@usaidampathuzima.or.ke</t>
  </si>
  <si>
    <t>Henwaig Construction</t>
  </si>
  <si>
    <t>Eldoret / Regional</t>
  </si>
  <si>
    <t>Phone: +254 722 751147)</t>
  </si>
  <si>
    <t>Kawi Complex, South C, Nairobi</t>
  </si>
  <si>
    <t>info@ketraco.co.ke</t>
  </si>
  <si>
    <t>George Jordan Farm Limited</t>
  </si>
  <si>
    <t>Nairobi / Naivasha</t>
  </si>
  <si>
    <t>Phone: +254 722 841525)</t>
  </si>
  <si>
    <t>Power Hub Consultant</t>
  </si>
  <si>
    <t>PowerHub Center, Eastern Bypass, Ruiru</t>
  </si>
  <si>
    <t>Homa Bay County Hospital ICT</t>
  </si>
  <si>
    <t>Homa Bay School Road, Homa Bay</t>
  </si>
  <si>
    <t>info@hbctrh.or.ke</t>
  </si>
  <si>
    <t>KenGen Kindaruma Station</t>
  </si>
  <si>
    <t>Embu / Machakos</t>
  </si>
  <si>
    <t>Icom Technologies Limited</t>
  </si>
  <si>
    <t>City Tower, Nairobi</t>
  </si>
  <si>
    <t>info@icomtechsolution.com</t>
  </si>
  <si>
    <t>KenGen Kipevu Power Station</t>
  </si>
  <si>
    <t>P.O. Box 80801, Mombasa</t>
  </si>
  <si>
    <t>Arkedge Limited</t>
  </si>
  <si>
    <t>info@arkedge.com</t>
  </si>
  <si>
    <t>Mabati Rolling Mills, MOMBASA</t>
  </si>
  <si>
    <t>Maisha Mabati Limited, Ruiru</t>
  </si>
  <si>
    <t>Kenya Broadcasting Corporation</t>
  </si>
  <si>
    <t>Falcon Refrigeration Services</t>
  </si>
  <si>
    <t>falconrigerationservices@gmail.com</t>
  </si>
  <si>
    <t>ACFE, Kenya Chapter</t>
  </si>
  <si>
    <t>P.O. Box 10780, Nairobi</t>
  </si>
  <si>
    <t>info@thimpress.com</t>
  </si>
  <si>
    <t>NEXT TECHNOLOGIES LTD</t>
  </si>
  <si>
    <t>Applewood Park, Kilimani, Nairobi</t>
  </si>
  <si>
    <t>KPLC NAIROBI</t>
  </si>
  <si>
    <t>Stima Plaza, Kolobot Road, Nairobi</t>
  </si>
  <si>
    <t>ELIAS ICT</t>
  </si>
  <si>
    <t>Kabarnet - Iten Road, Kabarnet</t>
  </si>
  <si>
    <t>Phone: +254 710 630 629</t>
  </si>
  <si>
    <t>contact@lishfood.com</t>
  </si>
  <si>
    <t>JAMES FINLAYS LIMITED</t>
  </si>
  <si>
    <t>Kericho / Mombasa</t>
  </si>
  <si>
    <t>Postal Co-operation (POSTA)</t>
  </si>
  <si>
    <t>Posta House, Nairobi</t>
  </si>
  <si>
    <t>info@posta.co.ke</t>
  </si>
  <si>
    <t>FIRESIDE ENGINEERING GROUP</t>
  </si>
  <si>
    <t>info@fireside.co.ke</t>
  </si>
  <si>
    <t>Tea Research Institute</t>
  </si>
  <si>
    <t>info@tearesearch.or.ke</t>
  </si>
  <si>
    <t>KENYATTA NATIONAL HOSPITAL</t>
  </si>
  <si>
    <t>Hospital Road, Nairobi</t>
  </si>
  <si>
    <t>Electromag Engineering Co Ltd</t>
  </si>
  <si>
    <t>info@electromag.co.ke</t>
  </si>
  <si>
    <t>NAIROBI COUNTY GOVT</t>
  </si>
  <si>
    <t>City Hall, Nairobi</t>
  </si>
  <si>
    <t>EGYPRO EAST AFRICA LIMITED</t>
  </si>
  <si>
    <t>Piemond Plaza, Ngong Road, Nairobi</t>
  </si>
  <si>
    <t>contact@egypro.com</t>
  </si>
  <si>
    <t>FADLAD WINAM</t>
  </si>
  <si>
    <t>Kibos Road, Kisumu</t>
  </si>
  <si>
    <t>info@fablabwinam.org</t>
  </si>
  <si>
    <t>KIGARI TEACHERS COLLEGE</t>
  </si>
  <si>
    <t>info@ktc.ac.ke</t>
  </si>
  <si>
    <t>GLITEX SOLUTION</t>
  </si>
  <si>
    <t>info@glitexsolutions.co.ke</t>
  </si>
  <si>
    <t>G-TECH Ltd</t>
  </si>
  <si>
    <t>BULSHOFIBER LINK LIMITED</t>
  </si>
  <si>
    <t>Eastleigh, Nairobi</t>
  </si>
  <si>
    <t>Phone: +254 740 501 501</t>
  </si>
  <si>
    <t>Kericho County ICT Centre</t>
  </si>
  <si>
    <t>Kericho Town</t>
  </si>
  <si>
    <t>ESSYK BUILDING SOLUTIONS</t>
  </si>
  <si>
    <t>PRICOMPS Ltd</t>
  </si>
  <si>
    <t>info@pricomps.com</t>
  </si>
  <si>
    <t>Meward Technologies</t>
  </si>
  <si>
    <t>info@meward.co.ke</t>
  </si>
  <si>
    <t>AWASAM ONLINE EXPERTS</t>
  </si>
  <si>
    <t>info@awasam.co.ke</t>
  </si>
  <si>
    <t>Jackim Electrical</t>
  </si>
  <si>
    <t>info@jackimelectrical.co.ke</t>
  </si>
  <si>
    <t>LAIKIPIA PRIME POWER</t>
  </si>
  <si>
    <t>Soliton Telmec Limited</t>
  </si>
  <si>
    <t>Soliton House, Nairobi</t>
  </si>
  <si>
    <t>info@soliton.co.ke</t>
  </si>
  <si>
    <t>Dedan Kimathi University</t>
  </si>
  <si>
    <t>Nyeri - Mweiga Road, Nyeri</t>
  </si>
  <si>
    <t>E-tacle Developers Kenya</t>
  </si>
  <si>
    <t>info@etacle.com</t>
  </si>
  <si>
    <t>Mariton Ventures Limited</t>
  </si>
  <si>
    <t>info@mariton.co.ke</t>
  </si>
  <si>
    <t>Proteq Automation</t>
  </si>
  <si>
    <t>info@proteq.co.ke</t>
  </si>
  <si>
    <t>Tech Home East Africa</t>
  </si>
  <si>
    <t>info@techhomeea.com</t>
  </si>
  <si>
    <t>Electronics and computer engineering</t>
  </si>
  <si>
    <t>BOMACO CONSTRUCTION LTD</t>
  </si>
  <si>
    <t>Box 2200, Eldoret / Nakuru</t>
  </si>
  <si>
    <t>info@bomaco.com.tr</t>
  </si>
  <si>
    <t>Top Choice Surveillance Ltd</t>
  </si>
  <si>
    <t>Valley View Office Park, City Park Dr, Nairobi</t>
  </si>
  <si>
    <t>info@topchoice.co.ke</t>
  </si>
  <si>
    <t>Likoni Rd, Industrial Area, Nairobi / Embu</t>
  </si>
  <si>
    <t xml:space="preserve">scales@ostrichscales.com </t>
  </si>
  <si>
    <t>Lushic Enterprises Limited</t>
  </si>
  <si>
    <t>Nairobi / Regional</t>
  </si>
  <si>
    <t>Lushcustomercarekenya@tolaram.com</t>
  </si>
  <si>
    <t>Afrik Engineering Ltd</t>
  </si>
  <si>
    <t>Phone: +254 713 000000)</t>
  </si>
  <si>
    <t>Cheki Company Ltd</t>
  </si>
  <si>
    <t>Grosvenor Suite, 14 Riverside Drive, Nairobi</t>
  </si>
  <si>
    <t>info@cheki.co.ke</t>
  </si>
  <si>
    <t>Development House, Moi Avenue, Nairobi</t>
  </si>
  <si>
    <t>Twin Concrete Works Ltd</t>
  </si>
  <si>
    <t>Phone: 0714 652877)</t>
  </si>
  <si>
    <t>Nyeri County Transport Dept</t>
  </si>
  <si>
    <t>nyerigovernormedia@gmail.com</t>
  </si>
  <si>
    <t>RS Construction &amp; Management</t>
  </si>
  <si>
    <t>London / Nairobi</t>
  </si>
  <si>
    <t>info@rs-construction.com</t>
  </si>
  <si>
    <t>Centrip Company Limited</t>
  </si>
  <si>
    <t>help@centtrip.com</t>
  </si>
  <si>
    <t>Drilmatic Infrastructure Ltd</t>
  </si>
  <si>
    <t>Daykio Plaza, Ngong Rd, Nairobi</t>
  </si>
  <si>
    <t>info@drilmatic.co.ke</t>
  </si>
  <si>
    <t>National Construction Authority</t>
  </si>
  <si>
    <t>KCB Towers, Nairobi / Nakuru</t>
  </si>
  <si>
    <t>info@nca.go.ke</t>
  </si>
  <si>
    <t>Kenya National Highway Auth (MTRD)</t>
  </si>
  <si>
    <t>Barabara Plaza, Jomo Kenyatta Intl Airport, Nairobi</t>
  </si>
  <si>
    <t>dg@kenha.co.ke</t>
  </si>
  <si>
    <t>Frejed Engineering Services Limited</t>
  </si>
  <si>
    <t>Ramco Court, Mombasa Road, Nairobi</t>
  </si>
  <si>
    <t>info@frejed.co.ke</t>
  </si>
  <si>
    <t>Mountain Home Construction Ltd</t>
  </si>
  <si>
    <t>mountainhomeconst01@gmail.com</t>
  </si>
  <si>
    <t>Alliance Realtor Ltd</t>
  </si>
  <si>
    <t>Salama House, Mama Ngina St, Nairobi</t>
  </si>
  <si>
    <t>alliancerealtors@gmail.com</t>
  </si>
  <si>
    <t>Nairobi Hospice</t>
  </si>
  <si>
    <t>P.O Box 74818-00200 City Sq, Nairobi</t>
  </si>
  <si>
    <t>info@nairobihospice.or.ke</t>
  </si>
  <si>
    <t>Pacific Projects Ltd</t>
  </si>
  <si>
    <t>Dune Plaza 1st Floor, Ruai, Kangundo Rd</t>
  </si>
  <si>
    <t>info@pacificprojects.co.ke</t>
  </si>
  <si>
    <t>Dune Pizza, Ruai Town</t>
  </si>
  <si>
    <t>Dune Plaza, Ruai Town</t>
  </si>
  <si>
    <t>Phone: 0722111816)</t>
  </si>
  <si>
    <t>Makueni County Government</t>
  </si>
  <si>
    <t>Department of Infrastructure, Wote</t>
  </si>
  <si>
    <t>transport@makueni.go.ke</t>
  </si>
  <si>
    <t>Denca Contractors Limited</t>
  </si>
  <si>
    <t>info@dencacontractorsltd.co.ke</t>
  </si>
  <si>
    <t>Starehe Point - Shyam General</t>
  </si>
  <si>
    <t>General Waruinge Road, Starehe, Nairobi</t>
  </si>
  <si>
    <t>Phone: +254745474747)</t>
  </si>
  <si>
    <t>Rai Cement</t>
  </si>
  <si>
    <t>Awasi, Kisumu County, Kenya</t>
  </si>
  <si>
    <t>sales@raicement.com</t>
  </si>
  <si>
    <t>Laxminarayan Builders Ltd</t>
  </si>
  <si>
    <t>Third Floor, Radha Encalave, South Goa</t>
  </si>
  <si>
    <t>sales@lakshminarayanbuilders.com</t>
  </si>
  <si>
    <t>Nutriscope Ltd</t>
  </si>
  <si>
    <t>400 Applewood Crescent, Vaughan, Ontario</t>
  </si>
  <si>
    <t>website: nutriscope.ca</t>
  </si>
  <si>
    <t>Creation Projects Ltd</t>
  </si>
  <si>
    <t>P.O. Box 940-90200, Kerugoya</t>
  </si>
  <si>
    <t>creationprojects@gmail.com</t>
  </si>
  <si>
    <t>Nightingale(EA)LTD</t>
  </si>
  <si>
    <t>P.O. Box 11873-00400 Nairobi</t>
  </si>
  <si>
    <t>info@nca.go.ke for complaints)</t>
  </si>
  <si>
    <t>Belfast Engineering Works</t>
  </si>
  <si>
    <t>Embu / Nairobi</t>
  </si>
  <si>
    <t>Vanscon Construction Ltd</t>
  </si>
  <si>
    <t>Laxcon Court Plaza, Nairobi</t>
  </si>
  <si>
    <t xml:space="preserve">info@vesconcltd.com </t>
  </si>
  <si>
    <t>State Dept. of Public Works Siaya</t>
  </si>
  <si>
    <t>Siaya Town, Siaya County</t>
  </si>
  <si>
    <t xml:space="preserve">info@siaya.go.ke </t>
  </si>
  <si>
    <t>Koya Building &amp; Construction</t>
  </si>
  <si>
    <t>Kose Heights, Argwings Kodhek Rd, Nairobi</t>
  </si>
  <si>
    <t xml:space="preserve">info@koyaadvocates.co.ke </t>
  </si>
  <si>
    <t>JOHWAT HOLDING LIMITED</t>
  </si>
  <si>
    <t>Vibrant Construction Limited</t>
  </si>
  <si>
    <t>Tom Mboya Street, Nairobi</t>
  </si>
  <si>
    <t xml:space="preserve">info@vibrant.co.ke </t>
  </si>
  <si>
    <t>cresent construction ltd</t>
  </si>
  <si>
    <t>Real Contractors Limited</t>
  </si>
  <si>
    <t>Links Road, Nyali Centre, Mombasa</t>
  </si>
  <si>
    <t>info@realconst.co.ke</t>
  </si>
  <si>
    <t>Epco Builders Ltd</t>
  </si>
  <si>
    <t>Falcon Road, Industrial Area, Nairobi</t>
  </si>
  <si>
    <t>info@epco.co.ke</t>
  </si>
  <si>
    <t>Perng Ventures Limited</t>
  </si>
  <si>
    <t>Karen Road, Nairobi</t>
  </si>
  <si>
    <t xml:space="preserve">sorioki@progenyventures.co.ke </t>
  </si>
  <si>
    <t>Haft Studio Ltd</t>
  </si>
  <si>
    <t>Link Road, Karen, Nairobi</t>
  </si>
  <si>
    <t xml:space="preserve">info@haftstudio.ke </t>
  </si>
  <si>
    <t>Trapoz Asphalt Limited</t>
  </si>
  <si>
    <t>Mandera Rd, Kileleshwa, Nairobi</t>
  </si>
  <si>
    <t xml:space="preserve">info@trapozasphalt.co.ke </t>
  </si>
  <si>
    <t>Sichuan Huashi Enterprise</t>
  </si>
  <si>
    <t>Korongo Road, Nairobi</t>
  </si>
  <si>
    <t xml:space="preserve">info@kingsprideproperties.co.ke </t>
  </si>
  <si>
    <t>Construction and property management</t>
  </si>
  <si>
    <t>Knitstar Enterprises Ltd</t>
  </si>
  <si>
    <t>Hela Intimates</t>
  </si>
  <si>
    <t>EPZ</t>
  </si>
  <si>
    <t>Athi River-EPZ</t>
  </si>
  <si>
    <t>Thika Cloth Mills Ltd</t>
  </si>
  <si>
    <t>Murang’a- Mukuyu market</t>
  </si>
  <si>
    <t>Onyango Tailoring and Design</t>
  </si>
  <si>
    <t xml:space="preserve">Thika –Factory Road, opposite U.T.I  </t>
  </si>
  <si>
    <t>Kamji Computer Graphics</t>
  </si>
  <si>
    <t>Omosh Jadina Fashion and Design</t>
  </si>
  <si>
    <t>Karatina-Kimathi Street</t>
  </si>
  <si>
    <t>Check Point Tailors</t>
  </si>
  <si>
    <t>Kutus near main stage</t>
  </si>
  <si>
    <t>Esterita Fashion</t>
  </si>
  <si>
    <t>Thika-Alisa Plaza</t>
  </si>
  <si>
    <t>Ukweli Uniform Self Selection</t>
  </si>
  <si>
    <t>Ayiso Bey Enterprises</t>
  </si>
  <si>
    <t>Maua-Kaathene area</t>
  </si>
  <si>
    <t>Bedi Investments Ltd. Company</t>
  </si>
  <si>
    <t>Eldama Ravine – Sobak Hotel</t>
  </si>
  <si>
    <t xml:space="preserve">United Aryan EPZ Ltd </t>
  </si>
  <si>
    <t xml:space="preserve">Chuka- Opposite Chuka High </t>
  </si>
  <si>
    <t>Manchurian Garments</t>
  </si>
  <si>
    <t>Elegant Textile &amp; Fashion</t>
  </si>
  <si>
    <t>Bonnie M. Fashion Centre</t>
  </si>
  <si>
    <t>Ann Wangui Designs</t>
  </si>
  <si>
    <t>Nakuru- Industrial Area</t>
  </si>
  <si>
    <t>Fashion Universe Tailors</t>
  </si>
  <si>
    <t xml:space="preserve">Nairobi-Village Market </t>
  </si>
  <si>
    <t>Satillite Quick Tailors</t>
  </si>
  <si>
    <t>Kutus- Near Kwanjogu Supermarket</t>
  </si>
  <si>
    <t xml:space="preserve">Ebenezer Fashion Designer </t>
  </si>
  <si>
    <r>
      <t>Embu-  Maathai Supermarket 5</t>
    </r>
    <r>
      <rPr>
        <vertAlign val="superscript"/>
        <sz val="12"/>
        <color theme="1"/>
        <rFont val="Book Antiqua"/>
        <family val="1"/>
      </rPr>
      <t>th</t>
    </r>
    <r>
      <rPr>
        <sz val="12"/>
        <color theme="1"/>
        <rFont val="Book Antiqua"/>
        <family val="1"/>
      </rPr>
      <t xml:space="preserve"> floor</t>
    </r>
  </si>
  <si>
    <t>Koco Design Shop</t>
  </si>
  <si>
    <t>Kabati--Rd near Kabati Flyover School</t>
  </si>
  <si>
    <t>Fashion Universe  House</t>
  </si>
  <si>
    <t>Nairobi- Kayole Mihan’go stage</t>
  </si>
  <si>
    <t>Modecai Fashions</t>
  </si>
  <si>
    <t>Kerugoya- Near Kerugoya Law Courts</t>
  </si>
  <si>
    <t>Natalisha Fashion</t>
  </si>
  <si>
    <t>0722565098/0751156886</t>
  </si>
  <si>
    <t>Mama Njambi Enterprise</t>
  </si>
  <si>
    <t>Kitui- Ikanga Shopping Centre</t>
  </si>
  <si>
    <t>Akiwa Designs</t>
  </si>
  <si>
    <t>Kagio- Around the market</t>
  </si>
  <si>
    <t>Mary Mother of God Dressmaking and Tailoring School</t>
  </si>
  <si>
    <t>Kutus- Alongiamiri Chemist</t>
  </si>
  <si>
    <t>United Aryan (EPZ) Textile Ltd</t>
  </si>
  <si>
    <t>Nairobi- Dandora Phase 4</t>
  </si>
  <si>
    <t>Darad Shopping Centre</t>
  </si>
  <si>
    <t xml:space="preserve">Kitui-    Kisasi Fashion Universe  House </t>
  </si>
  <si>
    <t>Sunhome Enterprise</t>
  </si>
  <si>
    <t>0729556695/0737618113</t>
  </si>
  <si>
    <t xml:space="preserve">Nairobi-Ongata Rongai, next to Tuskys </t>
  </si>
  <si>
    <t>Esterita Universal Clothing</t>
  </si>
  <si>
    <t>Kutus- Along Iruwak Supermarket Way</t>
  </si>
  <si>
    <t>Lee Clothing</t>
  </si>
  <si>
    <t>Kutus- Next to Kentcom Cyber</t>
  </si>
  <si>
    <t>Ann’s Fashion House</t>
  </si>
  <si>
    <t xml:space="preserve">Nakuru- CBD </t>
  </si>
  <si>
    <t>Ndunge Classic</t>
  </si>
  <si>
    <t>Hope Uniforms</t>
  </si>
  <si>
    <t>Nairobi- Thika Road Allsops</t>
  </si>
  <si>
    <t>Mwambayanyundo Vocational Training Centre</t>
  </si>
  <si>
    <t>Ukunda-Along Beach Road</t>
  </si>
  <si>
    <t>Hola Vocational Training Centre</t>
  </si>
  <si>
    <t xml:space="preserve">Nyeri -Sir George Building   </t>
  </si>
  <si>
    <t>Voi Vocational Training Centre</t>
  </si>
  <si>
    <t>Chuka- On the way to Chuka Boys</t>
  </si>
  <si>
    <t>Ukala Vocational Training College</t>
  </si>
  <si>
    <t xml:space="preserve">Thika- Makongeni </t>
  </si>
  <si>
    <t>Kakuyunu Vocational Training Centre</t>
  </si>
  <si>
    <t xml:space="preserve">Nanyuki- Rentile House </t>
  </si>
  <si>
    <t>Gede Vocational Training Centre</t>
  </si>
  <si>
    <t xml:space="preserve">Matuu-Opposite Gachanja Muhoro Ltd      </t>
  </si>
  <si>
    <t>Chaan Weddings Bride Corner</t>
  </si>
  <si>
    <t>O726750102</t>
  </si>
  <si>
    <t>Nairobi- Kayole</t>
  </si>
  <si>
    <t>Rivatex East Africa</t>
  </si>
  <si>
    <t>Kilifi- Kaloleni</t>
  </si>
  <si>
    <t>Garsen Vocational training Centre</t>
  </si>
  <si>
    <t xml:space="preserve">Hola- Bura- Hola Road </t>
  </si>
  <si>
    <t>Sokoni Vocational Training Centre</t>
  </si>
  <si>
    <t xml:space="preserve">Voi-along Tsavo East Road  </t>
  </si>
  <si>
    <t>Ukunda Youth Polytechnic</t>
  </si>
  <si>
    <t xml:space="preserve">Makueni-Kikima market </t>
  </si>
  <si>
    <t>Kware Vocational Training Centre</t>
  </si>
  <si>
    <t>Malindi- Along jirore Road</t>
  </si>
  <si>
    <t>Lare Vocational Training centre</t>
  </si>
  <si>
    <t>Gede Market-off Mombasa-Malindi highway</t>
  </si>
  <si>
    <t>Musengo Vocational Centre</t>
  </si>
  <si>
    <t xml:space="preserve">Nyahururu- Koinange Street </t>
  </si>
  <si>
    <t>Nyeri National Polytechnic</t>
  </si>
  <si>
    <t xml:space="preserve">Eldoret-Kipkaren Road, Pioneer Estate </t>
  </si>
  <si>
    <t>Mama Mutuma Tailoring</t>
  </si>
  <si>
    <t xml:space="preserve">Garsen Mijila- off Hola main highway </t>
  </si>
  <si>
    <t>Murugi Fashions</t>
  </si>
  <si>
    <t xml:space="preserve">Kilifi   Kiwandani- Sokoni </t>
  </si>
  <si>
    <t>Susan Fashion Centre</t>
  </si>
  <si>
    <t xml:space="preserve">Ukunda-along Likoni -Lunga Lunga Road </t>
  </si>
  <si>
    <t>Rehoboth  Designs</t>
  </si>
  <si>
    <t>Nakuru-Rongai, opposite ngoga Farm</t>
  </si>
  <si>
    <t xml:space="preserve"> Stall 27</t>
  </si>
  <si>
    <t>Njooro-Nakuru off Mau Narok Road</t>
  </si>
  <si>
    <t>Thika Cloth Mills</t>
  </si>
  <si>
    <t>Kabati- Musengo Road,Off Kitui  highway</t>
  </si>
  <si>
    <t>Light Tailoring</t>
  </si>
  <si>
    <t>Nyeri- Mumbi estate along Mumbi Road</t>
  </si>
  <si>
    <t>Majongo Tailoring</t>
  </si>
  <si>
    <t xml:space="preserve">Meru Makutano </t>
  </si>
  <si>
    <t>Ndinda Fashion Design</t>
  </si>
  <si>
    <t xml:space="preserve">Embu Neema Plaza near Neema pharmacy   </t>
  </si>
  <si>
    <t xml:space="preserve">Upendo Fashion &amp;Tailoring </t>
  </si>
  <si>
    <t>Kutus-Mjini</t>
  </si>
  <si>
    <t>Michael’s Designs</t>
  </si>
  <si>
    <t>Joyce Clothing</t>
  </si>
  <si>
    <t>Kariobangi South Market</t>
  </si>
  <si>
    <t>Alphatex Wears</t>
  </si>
  <si>
    <t>020-3744930</t>
  </si>
  <si>
    <t>Thika –off Garissa Road</t>
  </si>
  <si>
    <t>Satellite Quick Tailors</t>
  </si>
  <si>
    <t>Watiti Designs</t>
  </si>
  <si>
    <t xml:space="preserve">Nairobi- Utawala </t>
  </si>
  <si>
    <t>Sunflag Textile &amp; Knitwear Mills Ltd</t>
  </si>
  <si>
    <t>Cherryfield Company</t>
  </si>
  <si>
    <t>Thread Africa</t>
  </si>
  <si>
    <t>Opposite Muchfurn Ent</t>
  </si>
  <si>
    <t>Lucy Fashion and Designer</t>
  </si>
  <si>
    <t>Thika- U.T.I., Factory Rd.</t>
  </si>
  <si>
    <t>Lawdam Textitiles</t>
  </si>
  <si>
    <t xml:space="preserve">Nairobi- Langata Otiende Area   </t>
  </si>
  <si>
    <t>Galant Corporate International Ltd</t>
  </si>
  <si>
    <t>Muranga Town behind Cooperative Bank</t>
  </si>
  <si>
    <t>Panaito Textile and Clothing</t>
  </si>
  <si>
    <t>Kagio</t>
  </si>
  <si>
    <t>Triza Designs Shop</t>
  </si>
  <si>
    <t>SET Fashions and Embroidery</t>
  </si>
  <si>
    <t>0724214355/0735101555</t>
  </si>
  <si>
    <t>Nairobi- Kitui Road Industrial Area</t>
  </si>
  <si>
    <t>Mama Salome Tailoring shop</t>
  </si>
  <si>
    <t>Janet Fashions</t>
  </si>
  <si>
    <t>Nairobi Kahawa Wendani</t>
  </si>
  <si>
    <t xml:space="preserve">Nairobi-Runyenjes Rd </t>
  </si>
  <si>
    <t>Along Meru-Maua road</t>
  </si>
  <si>
    <t xml:space="preserve">Nairobi- Langata </t>
  </si>
  <si>
    <t xml:space="preserve">Kerugoya- Fidelity Building </t>
  </si>
  <si>
    <t>Nairobi- Mfangano House</t>
  </si>
  <si>
    <t>Nyeri –Kuku Lane</t>
  </si>
  <si>
    <t>Textile technology</t>
  </si>
  <si>
    <t>Along Daisha Mombasa- Mtwapa road</t>
  </si>
  <si>
    <t>Thika-Kimathi Estate</t>
  </si>
  <si>
    <t>Computer Science</t>
  </si>
  <si>
    <t>Financial Engineering</t>
  </si>
  <si>
    <t>Statistics</t>
  </si>
  <si>
    <t xml:space="preserve">Statistics </t>
  </si>
  <si>
    <t>Course Computer Science</t>
  </si>
  <si>
    <t xml:space="preserve">Computer Science </t>
  </si>
  <si>
    <t xml:space="preserve">Actuarial Science </t>
  </si>
  <si>
    <t>Actuarial Science</t>
  </si>
  <si>
    <t xml:space="preserve">information technology </t>
  </si>
  <si>
    <t>information technology</t>
  </si>
  <si>
    <t>information technologyY</t>
  </si>
  <si>
    <t xml:space="preserve">Finantial Engineering </t>
  </si>
  <si>
    <t>Mathematics and Computer Science</t>
  </si>
  <si>
    <t xml:space="preserve">Mathematics and Computer Science </t>
  </si>
  <si>
    <t>Computer System Engineering</t>
  </si>
  <si>
    <t xml:space="preserve">Software Engineering </t>
  </si>
  <si>
    <t>Mathmatics and computer science</t>
  </si>
  <si>
    <t>Software Engineering</t>
  </si>
  <si>
    <t xml:space="preserve">Statistics STATISTICS </t>
  </si>
  <si>
    <t>Statistics STATISTICS</t>
  </si>
  <si>
    <t>Statistics statistics</t>
  </si>
  <si>
    <t>KETRACO Suswa SuStatisticsation</t>
  </si>
  <si>
    <t xml:space="preserve"> Actuarial Science</t>
  </si>
  <si>
    <t xml:space="preserve">Financial Engineering </t>
  </si>
  <si>
    <t xml:space="preserve"> Computer System Engineering</t>
  </si>
  <si>
    <t xml:space="preserve"> Computer System Engineering </t>
  </si>
  <si>
    <t>Software Enginnering</t>
  </si>
  <si>
    <t xml:space="preserve">Business information technology </t>
  </si>
  <si>
    <t>Electronics and Computer Engineering</t>
  </si>
  <si>
    <t xml:space="preserve">Statistics  </t>
  </si>
  <si>
    <t>Acturial Science</t>
  </si>
  <si>
    <t xml:space="preserve"> Financial Engineering </t>
  </si>
  <si>
    <t>ACTURIAL SCIENCE</t>
  </si>
  <si>
    <t xml:space="preserve">Software Engineer </t>
  </si>
  <si>
    <t>Satistics</t>
  </si>
  <si>
    <t>COMPUTER SYSTEM ENGINEERING</t>
  </si>
  <si>
    <t xml:space="preserve">COMPUTER SYSTEMS ENGINEERING </t>
  </si>
  <si>
    <t>SOFTWARE ENGINEERING</t>
  </si>
  <si>
    <t xml:space="preserve"> Software Enginnering</t>
  </si>
  <si>
    <t xml:space="preserve">Computer  Science </t>
  </si>
  <si>
    <t xml:space="preserve"> mathematics and computer science </t>
  </si>
  <si>
    <t xml:space="preserve"> Businessinformation technology </t>
  </si>
  <si>
    <t xml:space="preserve">Software  Engineering </t>
  </si>
  <si>
    <t xml:space="preserve"> Business information technology </t>
  </si>
  <si>
    <t>ACTUARIAL SCIENCE</t>
  </si>
  <si>
    <t xml:space="preserve">Computer System Engineering </t>
  </si>
  <si>
    <t>Computer Systems Engineering</t>
  </si>
  <si>
    <t>business information technology</t>
  </si>
  <si>
    <t>FINANCIAL ENGINEERING</t>
  </si>
  <si>
    <t>COMPUTER SYSTEMS ENGINEERING</t>
  </si>
  <si>
    <t xml:space="preserve">mathematics and computer science </t>
  </si>
  <si>
    <t xml:space="preserve"> Computer Systems Engineering </t>
  </si>
  <si>
    <t xml:space="preserve">Information  technology </t>
  </si>
  <si>
    <t>mathematics and computer science</t>
  </si>
  <si>
    <t>Mathematics &amp; computer Science</t>
  </si>
  <si>
    <t xml:space="preserve">Actuarial science </t>
  </si>
  <si>
    <t xml:space="preserve"> BUSINESS information technology</t>
  </si>
  <si>
    <t xml:space="preserve">Computer Systems Engineering </t>
  </si>
  <si>
    <t xml:space="preserve"> Mathematics and computer science</t>
  </si>
  <si>
    <t>ACTURIAL  SCIENCE</t>
  </si>
  <si>
    <t>Compter Science</t>
  </si>
  <si>
    <t>Mathematics and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</si>
</sst>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rgb="FFFF0000"/>
      <name val="Arial"/>
      <scheme val="minor"/>
    </font>
    <font>
      <b/>
      <sz val="10"/>
      <color rgb="FF212529"/>
      <name val="Arial"/>
      <scheme val="minor"/>
    </font>
    <font>
      <b/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1"/>
      <color rgb="FF5F6368"/>
      <name val="Arial"/>
      <scheme val="minor"/>
    </font>
    <font>
      <b/>
      <sz val="9"/>
      <color rgb="FF000000"/>
      <name val="Arial"/>
      <scheme val="minor"/>
    </font>
    <font>
      <b/>
      <sz val="11"/>
      <color rgb="FF42474C"/>
      <name val="Lato"/>
    </font>
    <font>
      <b/>
      <sz val="12"/>
      <color rgb="FF42474C"/>
      <name val="Lato"/>
    </font>
    <font>
      <b/>
      <u/>
      <sz val="12"/>
      <color rgb="FF000000"/>
      <name val="Arial"/>
      <scheme val="minor"/>
    </font>
    <font>
      <b/>
      <sz val="10"/>
      <color rgb="FF000000"/>
      <name val="Arial"/>
      <scheme val="minor"/>
    </font>
    <font>
      <b/>
      <sz val="11"/>
      <color theme="1"/>
      <name val="Arial"/>
      <scheme val="minor"/>
    </font>
    <font>
      <b/>
      <u/>
      <sz val="10"/>
      <color rgb="FF000000"/>
      <name val="Arial"/>
    </font>
    <font>
      <b/>
      <sz val="12"/>
      <color rgb="FF212529"/>
      <name val="Arial"/>
      <scheme val="minor"/>
    </font>
    <font>
      <b/>
      <sz val="12"/>
      <color theme="1"/>
      <name val="Manrope"/>
    </font>
    <font>
      <b/>
      <sz val="11"/>
      <color rgb="FF212529"/>
      <name val="Arial"/>
      <scheme val="minor"/>
    </font>
    <font>
      <b/>
      <sz val="11"/>
      <color rgb="FF5F6368"/>
      <name val="Arial"/>
    </font>
    <font>
      <b/>
      <u/>
      <sz val="10"/>
      <color rgb="FF0000FF"/>
      <name val="Arial"/>
    </font>
    <font>
      <b/>
      <sz val="11"/>
      <color rgb="FFBDC1C6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</font>
    <font>
      <b/>
      <sz val="10"/>
      <color theme="1"/>
      <name val="Amatic SC"/>
    </font>
    <font>
      <b/>
      <sz val="12"/>
      <color theme="1"/>
      <name val="Arial"/>
      <scheme val="minor"/>
    </font>
    <font>
      <b/>
      <u/>
      <sz val="10"/>
      <color rgb="FF0000FF"/>
      <name val="Arial"/>
    </font>
    <font>
      <b/>
      <sz val="11"/>
      <color rgb="FF4D5156"/>
      <name val="Arial"/>
      <scheme val="minor"/>
    </font>
    <font>
      <b/>
      <u/>
      <sz val="10"/>
      <color rgb="FF0000FF"/>
      <name val="Arial"/>
    </font>
    <font>
      <b/>
      <sz val="10"/>
      <color rgb="FFC5C5C5"/>
      <name val="Arial"/>
      <scheme val="minor"/>
    </font>
    <font>
      <b/>
      <sz val="11"/>
      <color rgb="FF777777"/>
      <name val="Arial"/>
      <scheme val="minor"/>
    </font>
    <font>
      <sz val="10"/>
      <name val="Arial"/>
    </font>
    <font>
      <b/>
      <sz val="7"/>
      <color theme="1"/>
      <name val="Arial"/>
      <scheme val="minor"/>
    </font>
    <font>
      <b/>
      <sz val="5"/>
      <color theme="1"/>
      <name val="Arial"/>
      <scheme val="minor"/>
    </font>
    <font>
      <b/>
      <sz val="12"/>
      <color rgb="FF3C4043"/>
      <name val="Arial"/>
      <scheme val="minor"/>
    </font>
    <font>
      <b/>
      <u/>
      <sz val="10"/>
      <color rgb="FF0000FF"/>
      <name val="Arial"/>
    </font>
    <font>
      <b/>
      <sz val="11"/>
      <color rgb="FF444444"/>
      <name val="Arial"/>
      <scheme val="minor"/>
    </font>
    <font>
      <b/>
      <sz val="13"/>
      <color rgb="FF62718D"/>
      <name val="Arial"/>
      <scheme val="minor"/>
    </font>
    <font>
      <b/>
      <sz val="12"/>
      <color rgb="FF323232"/>
      <name val="Arial"/>
      <scheme val="minor"/>
    </font>
    <font>
      <b/>
      <sz val="12"/>
      <color rgb="FF323232"/>
      <name val="&quot;Open Sans&quot;"/>
    </font>
    <font>
      <b/>
      <sz val="10"/>
      <color rgb="FFFF0000"/>
      <name val="Arial"/>
      <scheme val="minor"/>
    </font>
    <font>
      <b/>
      <i/>
      <sz val="12"/>
      <color rgb="FF333333"/>
      <name val="Arial"/>
      <scheme val="minor"/>
    </font>
    <font>
      <b/>
      <sz val="10"/>
      <color rgb="FF1F1F1F"/>
      <name val="Arial"/>
      <scheme val="minor"/>
    </font>
    <font>
      <b/>
      <i/>
      <sz val="12"/>
      <color rgb="FF333333"/>
      <name val="&quot;Nunito Sans&quot;"/>
    </font>
    <font>
      <b/>
      <sz val="11"/>
      <color rgb="FF3D454E"/>
      <name val="Lato"/>
    </font>
    <font>
      <b/>
      <sz val="11"/>
      <color theme="1"/>
      <name val="&quot;Calibri&quot;"/>
    </font>
    <font>
      <b/>
      <u/>
      <sz val="10"/>
      <color rgb="FF862330"/>
      <name val="&quot;Open Sans&quot;"/>
    </font>
    <font>
      <b/>
      <sz val="10"/>
      <color rgb="FF000000"/>
      <name val="__Poppins_7c9185"/>
    </font>
    <font>
      <b/>
      <sz val="10"/>
      <color rgb="FF212529"/>
      <name val="Arial"/>
    </font>
    <font>
      <sz val="10"/>
      <color theme="1"/>
      <name val="Arial"/>
      <scheme val="minor"/>
    </font>
    <font>
      <i/>
      <sz val="11"/>
      <color rgb="FFFF0000"/>
      <name val="Arial"/>
      <scheme val="minor"/>
    </font>
    <font>
      <sz val="11"/>
      <color rgb="FFFF0000"/>
      <name val="Arial"/>
      <scheme val="minor"/>
    </font>
    <font>
      <sz val="14"/>
      <color rgb="FFFF0000"/>
      <name val="Arial"/>
      <scheme val="minor"/>
    </font>
    <font>
      <sz val="10"/>
      <color rgb="FFFFFFFF"/>
      <name val="Verdana"/>
    </font>
    <font>
      <sz val="10"/>
      <color rgb="FF212529"/>
      <name val="Arial"/>
      <scheme val="minor"/>
    </font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2"/>
      <color rgb="FF7A7A7A"/>
      <name val="Montserrat"/>
    </font>
    <font>
      <sz val="10"/>
      <color rgb="FF666666"/>
      <name val="&quot;Open Sans&quot;"/>
    </font>
    <font>
      <sz val="9"/>
      <color rgb="FF000000"/>
      <name val="Arial"/>
      <scheme val="minor"/>
    </font>
    <font>
      <sz val="12"/>
      <color rgb="FF42474C"/>
      <name val="Lato"/>
    </font>
    <font>
      <u/>
      <sz val="12"/>
      <color rgb="FF000000"/>
      <name val="Arial"/>
      <scheme val="minor"/>
    </font>
    <font>
      <sz val="11"/>
      <color theme="1"/>
      <name val="Arial"/>
      <scheme val="minor"/>
    </font>
    <font>
      <u/>
      <sz val="10"/>
      <color rgb="FF000000"/>
      <name val="Arial"/>
    </font>
    <font>
      <sz val="12"/>
      <color rgb="FF212529"/>
      <name val="Arial"/>
      <scheme val="minor"/>
    </font>
    <font>
      <sz val="11"/>
      <color rgb="FF7E8890"/>
      <name val="&quot;Open Sans&quot;"/>
    </font>
    <font>
      <sz val="11"/>
      <color theme="1"/>
      <name val="&quot;Open Sans&quot;"/>
    </font>
    <font>
      <sz val="10"/>
      <color theme="1"/>
      <name val="Arial"/>
    </font>
    <font>
      <sz val="12"/>
      <color rgb="FF7A7A7A"/>
      <name val="Arial"/>
      <scheme val="minor"/>
    </font>
    <font>
      <sz val="11"/>
      <color rgb="FF212529"/>
      <name val="Arial"/>
      <scheme val="minor"/>
    </font>
    <font>
      <sz val="11"/>
      <color rgb="FF51585F"/>
      <name val="Arial"/>
      <scheme val="minor"/>
    </font>
    <font>
      <u/>
      <sz val="10"/>
      <color rgb="FF0000FF"/>
      <name val="Arial"/>
    </font>
    <font>
      <sz val="10"/>
      <color rgb="FF000000"/>
      <name val="&quot;Arial&quot;"/>
    </font>
    <font>
      <sz val="11"/>
      <color rgb="FFBDC1C6"/>
      <name val="Arial"/>
      <scheme val="minor"/>
    </font>
    <font>
      <sz val="14"/>
      <color rgb="FF627C89"/>
      <name val="Nunito"/>
    </font>
    <font>
      <sz val="10"/>
      <color theme="1"/>
      <name val="Arial"/>
      <scheme val="minor"/>
    </font>
    <font>
      <u/>
      <sz val="10"/>
      <color theme="1"/>
      <name val="Arial"/>
      <scheme val="minor"/>
    </font>
    <font>
      <sz val="12"/>
      <color rgb="FF212529"/>
      <name val="Arial"/>
    </font>
    <font>
      <sz val="12"/>
      <color rgb="FF212529"/>
      <name val="System-ui"/>
    </font>
    <font>
      <sz val="10"/>
      <color rgb="FF000000"/>
      <name val="Arial"/>
    </font>
    <font>
      <sz val="14"/>
      <color rgb="FF627C89"/>
      <name val="Arial"/>
      <scheme val="minor"/>
    </font>
    <font>
      <sz val="10"/>
      <color theme="1"/>
      <name val="Amatic SC"/>
    </font>
    <font>
      <sz val="11"/>
      <color rgb="FF000000"/>
      <name val="Arial"/>
      <scheme val="minor"/>
    </font>
    <font>
      <sz val="12"/>
      <color rgb="FF000000"/>
      <name val="Arial"/>
      <scheme val="minor"/>
    </font>
    <font>
      <u/>
      <sz val="10"/>
      <color rgb="FF000000"/>
      <name val="Arial"/>
      <scheme val="minor"/>
    </font>
    <font>
      <sz val="11"/>
      <color rgb="FF4D5156"/>
      <name val="Arial"/>
      <scheme val="minor"/>
    </font>
    <font>
      <u/>
      <sz val="10"/>
      <color rgb="FF0000FF"/>
      <name val="Arial"/>
    </font>
    <font>
      <sz val="10"/>
      <color rgb="FFC5C5C5"/>
      <name val="Arial"/>
      <scheme val="minor"/>
    </font>
    <font>
      <sz val="11"/>
      <color rgb="FF777777"/>
      <name val="Arial"/>
      <scheme val="minor"/>
    </font>
    <font>
      <u/>
      <sz val="12"/>
      <color rgb="FF000000"/>
      <name val="Arial"/>
      <scheme val="minor"/>
    </font>
    <font>
      <sz val="11"/>
      <color rgb="FFBDC1C6"/>
      <name val="Arial"/>
    </font>
    <font>
      <sz val="7"/>
      <color theme="1"/>
      <name val="Arial"/>
      <scheme val="minor"/>
    </font>
    <font>
      <sz val="12"/>
      <color rgb="FF3C4043"/>
      <name val="Arial"/>
      <scheme val="minor"/>
    </font>
    <font>
      <sz val="11"/>
      <color rgb="FF202124"/>
      <name val="Arial"/>
      <scheme val="minor"/>
    </font>
    <font>
      <sz val="11"/>
      <color rgb="FF444444"/>
      <name val="Arial"/>
      <scheme val="minor"/>
    </font>
    <font>
      <sz val="11"/>
      <color rgb="FF444444"/>
      <name val="&quot;Open Sans&quot;"/>
    </font>
    <font>
      <sz val="13"/>
      <color rgb="FF62718D"/>
      <name val="Arial"/>
      <scheme val="minor"/>
    </font>
    <font>
      <sz val="13"/>
      <color rgb="FF62718D"/>
      <name val="&quot;Nunito Sans&quot;"/>
    </font>
    <font>
      <sz val="15"/>
      <color rgb="FF111111"/>
      <name val="Arial"/>
      <scheme val="minor"/>
    </font>
    <font>
      <sz val="12"/>
      <color rgb="FF323232"/>
      <name val="Arial"/>
      <scheme val="minor"/>
    </font>
    <font>
      <sz val="12"/>
      <color rgb="FF323232"/>
      <name val="&quot;Open Sans&quot;"/>
    </font>
    <font>
      <sz val="10"/>
      <color rgb="FF666666"/>
      <name val="Arial"/>
      <scheme val="minor"/>
    </font>
    <font>
      <sz val="9"/>
      <color theme="1"/>
      <name val="Arial"/>
      <scheme val="minor"/>
    </font>
    <font>
      <sz val="9"/>
      <color rgb="FF1155CC"/>
      <name val="Arial"/>
      <scheme val="minor"/>
    </font>
    <font>
      <sz val="10"/>
      <color rgb="FFFF0000"/>
      <name val="Arial"/>
      <scheme val="minor"/>
    </font>
    <font>
      <i/>
      <sz val="12"/>
      <color rgb="FF333333"/>
      <name val="Arial"/>
      <scheme val="minor"/>
    </font>
    <font>
      <u/>
      <sz val="10"/>
      <color theme="1"/>
      <name val="Arial"/>
      <scheme val="minor"/>
    </font>
    <font>
      <b/>
      <u/>
      <sz val="10"/>
      <color rgb="FF0000FF"/>
      <name val="Arial"/>
    </font>
    <font>
      <sz val="10"/>
      <color rgb="FFC5C5C5"/>
      <name val="Quicksand"/>
    </font>
    <font>
      <sz val="11"/>
      <color rgb="FF777777"/>
      <name val="&quot;Times New Roman&quot;"/>
    </font>
    <font>
      <sz val="11"/>
      <color rgb="FF4D5156"/>
      <name val="Arial"/>
    </font>
    <font>
      <u/>
      <sz val="10"/>
      <color rgb="FF073763"/>
      <name val="Arial"/>
    </font>
    <font>
      <sz val="10"/>
      <color rgb="FF073763"/>
      <name val="Arial"/>
      <scheme val="minor"/>
    </font>
    <font>
      <i/>
      <sz val="12"/>
      <color rgb="FF333333"/>
      <name val="&quot;Nunito Sans&quot;"/>
    </font>
    <font>
      <b/>
      <sz val="14"/>
      <color rgb="FF333333"/>
      <name val="Poppins"/>
    </font>
    <font>
      <sz val="11"/>
      <color rgb="FF3D454E"/>
      <name val="Lato"/>
    </font>
    <font>
      <sz val="11"/>
      <color rgb="FF000000"/>
      <name val="Arial"/>
    </font>
    <font>
      <sz val="11"/>
      <color theme="1"/>
      <name val="&quot;Calibri&quot;"/>
    </font>
    <font>
      <u/>
      <sz val="10"/>
      <color rgb="FF862330"/>
      <name val="&quot;Open Sans&quot;"/>
    </font>
    <font>
      <sz val="10"/>
      <color rgb="FF000000"/>
      <name val="__Poppins_7c9185"/>
    </font>
    <font>
      <sz val="10"/>
      <color rgb="FF212529"/>
      <name val="Arial"/>
    </font>
    <font>
      <b/>
      <u/>
      <sz val="10"/>
      <color rgb="FF1155CC"/>
      <name val="Arial"/>
    </font>
    <font>
      <b/>
      <sz val="10"/>
      <name val="Arial"/>
    </font>
    <font>
      <u/>
      <sz val="10"/>
      <color rgb="FF1155CC"/>
      <name val="Arial"/>
    </font>
    <font>
      <u/>
      <sz val="10"/>
      <color theme="10"/>
      <name val="Arial"/>
      <scheme val="minor"/>
    </font>
    <font>
      <b/>
      <sz val="1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212529"/>
      <name val="Arial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u/>
      <sz val="12"/>
      <color rgb="FF0000FF"/>
      <name val="Times New Roman"/>
      <family val="1"/>
    </font>
    <font>
      <sz val="10"/>
      <color rgb="FF000000"/>
      <name val="Arial"/>
      <family val="2"/>
      <scheme val="minor"/>
    </font>
    <font>
      <sz val="12"/>
      <color rgb="FF333333"/>
      <name val="Times New Roman"/>
      <family val="1"/>
    </font>
    <font>
      <sz val="12"/>
      <color rgb="FF444746"/>
      <name val="Times New Roman"/>
      <family val="1"/>
    </font>
    <font>
      <sz val="12"/>
      <color theme="1"/>
      <name val="Book Antiqua"/>
      <family val="1"/>
    </font>
    <font>
      <vertAlign val="superscript"/>
      <sz val="12"/>
      <color theme="1"/>
      <name val="Book Antiqua"/>
      <family val="1"/>
    </font>
  </fonts>
  <fills count="16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E6F7F6"/>
        <bgColor rgb="FFE6F7F6"/>
      </patternFill>
    </fill>
    <fill>
      <patternFill patternType="solid">
        <fgColor rgb="FF1F1F1F"/>
        <bgColor rgb="FF1F1F1F"/>
      </patternFill>
    </fill>
    <fill>
      <patternFill patternType="solid">
        <fgColor theme="0"/>
        <bgColor theme="0"/>
      </patternFill>
    </fill>
    <fill>
      <patternFill patternType="solid">
        <fgColor rgb="FFEEEEEE"/>
        <bgColor rgb="FFEEEEEE"/>
      </patternFill>
    </fill>
    <fill>
      <patternFill patternType="solid">
        <fgColor rgb="FFFAFBFF"/>
        <bgColor rgb="FFFAFBFF"/>
      </patternFill>
    </fill>
    <fill>
      <patternFill patternType="solid">
        <fgColor rgb="FFC4952E"/>
        <bgColor rgb="FFC4952E"/>
      </patternFill>
    </fill>
    <fill>
      <patternFill patternType="solid">
        <fgColor rgb="FFF1F1F1"/>
        <bgColor rgb="FFF1F1F1"/>
      </patternFill>
    </fill>
    <fill>
      <patternFill patternType="solid">
        <fgColor rgb="FF00999E"/>
        <bgColor rgb="FF00999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2" fillId="0" borderId="0" applyNumberFormat="0" applyFill="0" applyBorder="0" applyAlignment="0" applyProtection="0"/>
  </cellStyleXfs>
  <cellXfs count="43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3" borderId="1" xfId="0" applyFont="1" applyFill="1" applyBorder="1" applyAlignment="1"/>
    <xf numFmtId="0" fontId="1" fillId="5" borderId="0" xfId="0" applyFont="1" applyFill="1" applyAlignment="1"/>
    <xf numFmtId="0" fontId="1" fillId="5" borderId="1" xfId="0" applyFont="1" applyFill="1" applyBorder="1" applyAlignment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/>
    <xf numFmtId="0" fontId="3" fillId="0" borderId="1" xfId="0" applyFont="1" applyBorder="1" applyAlignment="1"/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1" fillId="5" borderId="1" xfId="0" applyFont="1" applyFill="1" applyBorder="1"/>
    <xf numFmtId="0" fontId="1" fillId="3" borderId="0" xfId="0" applyFont="1" applyFill="1" applyAlignment="1"/>
    <xf numFmtId="0" fontId="3" fillId="0" borderId="0" xfId="0" applyFont="1" applyAlignment="1"/>
    <xf numFmtId="0" fontId="4" fillId="3" borderId="1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4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2" fillId="0" borderId="1" xfId="0" applyFont="1" applyBorder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5" borderId="2" xfId="0" applyFont="1" applyFill="1" applyBorder="1" applyAlignment="1"/>
    <xf numFmtId="0" fontId="1" fillId="3" borderId="2" xfId="0" applyFont="1" applyFill="1" applyBorder="1" applyAlignment="1"/>
    <xf numFmtId="0" fontId="15" fillId="3" borderId="0" xfId="0" applyFont="1" applyFill="1" applyAlignment="1"/>
    <xf numFmtId="0" fontId="12" fillId="5" borderId="1" xfId="0" applyFont="1" applyFill="1" applyBorder="1" applyAlignment="1"/>
    <xf numFmtId="0" fontId="17" fillId="3" borderId="0" xfId="0" applyFont="1" applyFill="1" applyAlignment="1">
      <alignment horizontal="left"/>
    </xf>
    <xf numFmtId="0" fontId="1" fillId="3" borderId="1" xfId="0" applyFont="1" applyFill="1" applyBorder="1"/>
    <xf numFmtId="0" fontId="1" fillId="0" borderId="1" xfId="0" applyFont="1" applyBorder="1" applyAlignment="1">
      <alignment horizontal="center"/>
    </xf>
    <xf numFmtId="0" fontId="18" fillId="0" borderId="1" xfId="0" applyFont="1" applyBorder="1" applyAlignment="1"/>
    <xf numFmtId="0" fontId="1" fillId="5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4" fillId="3" borderId="0" xfId="0" applyFont="1" applyFill="1" applyAlignment="1">
      <alignment horizontal="left"/>
    </xf>
    <xf numFmtId="0" fontId="11" fillId="5" borderId="1" xfId="0" applyFont="1" applyFill="1" applyBorder="1" applyAlignment="1">
      <alignment horizontal="center"/>
    </xf>
    <xf numFmtId="0" fontId="21" fillId="3" borderId="0" xfId="0" applyFont="1" applyFill="1" applyAlignment="1">
      <alignment horizontal="left"/>
    </xf>
    <xf numFmtId="0" fontId="1" fillId="0" borderId="1" xfId="0" applyFont="1" applyBorder="1" applyAlignment="1"/>
    <xf numFmtId="0" fontId="23" fillId="3" borderId="1" xfId="0" applyFont="1" applyFill="1" applyBorder="1" applyAlignment="1"/>
    <xf numFmtId="0" fontId="1" fillId="0" borderId="5" xfId="0" applyFont="1" applyBorder="1" applyAlignment="1"/>
    <xf numFmtId="0" fontId="1" fillId="5" borderId="1" xfId="0" applyFont="1" applyFill="1" applyBorder="1" applyAlignment="1"/>
    <xf numFmtId="0" fontId="1" fillId="0" borderId="1" xfId="0" applyFont="1" applyBorder="1" applyAlignment="1"/>
    <xf numFmtId="0" fontId="1" fillId="0" borderId="4" xfId="0" applyFont="1" applyBorder="1"/>
    <xf numFmtId="0" fontId="1" fillId="3" borderId="1" xfId="0" applyFont="1" applyFill="1" applyBorder="1" applyAlignment="1"/>
    <xf numFmtId="0" fontId="1" fillId="0" borderId="7" xfId="0" applyFont="1" applyBorder="1" applyAlignment="1"/>
    <xf numFmtId="0" fontId="24" fillId="5" borderId="1" xfId="0" applyFont="1" applyFill="1" applyBorder="1" applyAlignment="1"/>
    <xf numFmtId="0" fontId="12" fillId="3" borderId="1" xfId="0" applyFont="1" applyFill="1" applyBorder="1" applyAlignment="1"/>
    <xf numFmtId="0" fontId="33" fillId="3" borderId="1" xfId="0" applyFont="1" applyFill="1" applyBorder="1" applyAlignment="1"/>
    <xf numFmtId="0" fontId="1" fillId="0" borderId="4" xfId="0" applyFont="1" applyBorder="1" applyAlignment="1"/>
    <xf numFmtId="0" fontId="1" fillId="5" borderId="8" xfId="0" applyFont="1" applyFill="1" applyBorder="1" applyAlignment="1"/>
    <xf numFmtId="0" fontId="1" fillId="0" borderId="8" xfId="0" applyFont="1" applyBorder="1" applyAlignment="1"/>
    <xf numFmtId="0" fontId="1" fillId="3" borderId="8" xfId="0" applyFont="1" applyFill="1" applyBorder="1" applyAlignment="1"/>
    <xf numFmtId="0" fontId="3" fillId="0" borderId="0" xfId="0" applyFont="1"/>
    <xf numFmtId="0" fontId="38" fillId="3" borderId="0" xfId="0" applyFont="1" applyFill="1" applyAlignment="1">
      <alignment horizontal="left"/>
    </xf>
    <xf numFmtId="0" fontId="38" fillId="0" borderId="1" xfId="0" applyFont="1" applyBorder="1"/>
    <xf numFmtId="0" fontId="38" fillId="0" borderId="0" xfId="0" applyFont="1"/>
    <xf numFmtId="0" fontId="40" fillId="3" borderId="0" xfId="0" applyFont="1" applyFill="1" applyAlignment="1"/>
    <xf numFmtId="0" fontId="1" fillId="5" borderId="5" xfId="0" applyFont="1" applyFill="1" applyBorder="1" applyAlignment="1"/>
    <xf numFmtId="0" fontId="4" fillId="0" borderId="1" xfId="0" applyFont="1" applyBorder="1" applyAlignment="1"/>
    <xf numFmtId="0" fontId="1" fillId="5" borderId="4" xfId="0" applyFont="1" applyFill="1" applyBorder="1" applyAlignment="1"/>
    <xf numFmtId="0" fontId="47" fillId="0" borderId="0" xfId="0" applyFont="1" applyAlignment="1"/>
    <xf numFmtId="0" fontId="48" fillId="2" borderId="0" xfId="0" applyFont="1" applyFill="1" applyAlignment="1"/>
    <xf numFmtId="0" fontId="49" fillId="2" borderId="0" xfId="0" applyFont="1" applyFill="1" applyAlignment="1"/>
    <xf numFmtId="0" fontId="50" fillId="2" borderId="0" xfId="0" applyFont="1" applyFill="1" applyAlignment="1">
      <alignment horizontal="center"/>
    </xf>
    <xf numFmtId="0" fontId="49" fillId="3" borderId="0" xfId="0" applyFont="1" applyFill="1" applyAlignment="1"/>
    <xf numFmtId="0" fontId="51" fillId="4" borderId="0" xfId="0" applyFont="1" applyFill="1" applyAlignment="1">
      <alignment horizontal="left"/>
    </xf>
    <xf numFmtId="0" fontId="47" fillId="3" borderId="1" xfId="0" applyFont="1" applyFill="1" applyBorder="1" applyAlignment="1"/>
    <xf numFmtId="0" fontId="47" fillId="3" borderId="0" xfId="0" applyFont="1" applyFill="1" applyAlignment="1"/>
    <xf numFmtId="0" fontId="47" fillId="3" borderId="0" xfId="0" applyFont="1" applyFill="1" applyAlignment="1">
      <alignment horizontal="center"/>
    </xf>
    <xf numFmtId="0" fontId="47" fillId="0" borderId="0" xfId="0" applyFont="1" applyAlignment="1"/>
    <xf numFmtId="0" fontId="52" fillId="0" borderId="0" xfId="0" applyFont="1" applyAlignment="1"/>
    <xf numFmtId="0" fontId="47" fillId="0" borderId="1" xfId="0" applyFont="1" applyBorder="1" applyAlignment="1">
      <alignment horizontal="right"/>
    </xf>
    <xf numFmtId="0" fontId="47" fillId="5" borderId="1" xfId="0" applyFont="1" applyFill="1" applyBorder="1" applyAlignment="1"/>
    <xf numFmtId="0" fontId="47" fillId="5" borderId="1" xfId="0" applyFont="1" applyFill="1" applyBorder="1" applyAlignment="1">
      <alignment horizontal="center"/>
    </xf>
    <xf numFmtId="0" fontId="47" fillId="0" borderId="1" xfId="0" applyFont="1" applyBorder="1" applyAlignment="1"/>
    <xf numFmtId="0" fontId="52" fillId="0" borderId="1" xfId="0" applyFont="1" applyBorder="1" applyAlignment="1"/>
    <xf numFmtId="0" fontId="47" fillId="0" borderId="1" xfId="0" applyFont="1" applyBorder="1"/>
    <xf numFmtId="0" fontId="47" fillId="3" borderId="1" xfId="0" applyFont="1" applyFill="1" applyBorder="1" applyAlignment="1"/>
    <xf numFmtId="0" fontId="47" fillId="3" borderId="1" xfId="0" applyFont="1" applyFill="1" applyBorder="1" applyAlignment="1">
      <alignment horizontal="center"/>
    </xf>
    <xf numFmtId="0" fontId="53" fillId="5" borderId="1" xfId="0" applyFont="1" applyFill="1" applyBorder="1" applyAlignment="1">
      <alignment horizontal="left"/>
    </xf>
    <xf numFmtId="0" fontId="53" fillId="5" borderId="0" xfId="0" applyFont="1" applyFill="1" applyAlignment="1"/>
    <xf numFmtId="0" fontId="53" fillId="5" borderId="1" xfId="0" applyFont="1" applyFill="1" applyBorder="1" applyAlignment="1">
      <alignment horizontal="center"/>
    </xf>
    <xf numFmtId="0" fontId="54" fillId="4" borderId="1" xfId="0" applyFont="1" applyFill="1" applyBorder="1" applyAlignment="1">
      <alignment horizontal="left"/>
    </xf>
    <xf numFmtId="0" fontId="47" fillId="5" borderId="0" xfId="0" applyFont="1" applyFill="1" applyAlignment="1"/>
    <xf numFmtId="0" fontId="52" fillId="0" borderId="1" xfId="0" applyFont="1" applyBorder="1"/>
    <xf numFmtId="0" fontId="55" fillId="3" borderId="0" xfId="0" applyFont="1" applyFill="1" applyAlignment="1">
      <alignment horizontal="center"/>
    </xf>
    <xf numFmtId="0" fontId="55" fillId="3" borderId="0" xfId="0" applyFont="1" applyFill="1" applyAlignment="1">
      <alignment horizontal="center"/>
    </xf>
    <xf numFmtId="0" fontId="47" fillId="5" borderId="1" xfId="0" applyFont="1" applyFill="1" applyBorder="1" applyAlignment="1">
      <alignment horizontal="center"/>
    </xf>
    <xf numFmtId="0" fontId="52" fillId="0" borderId="0" xfId="0" applyFont="1" applyAlignment="1"/>
    <xf numFmtId="0" fontId="54" fillId="5" borderId="1" xfId="0" applyFont="1" applyFill="1" applyBorder="1" applyAlignment="1"/>
    <xf numFmtId="0" fontId="47" fillId="0" borderId="1" xfId="0" applyFont="1" applyBorder="1" applyAlignment="1">
      <alignment wrapText="1"/>
    </xf>
    <xf numFmtId="0" fontId="56" fillId="3" borderId="0" xfId="0" applyFont="1" applyFill="1" applyAlignment="1"/>
    <xf numFmtId="0" fontId="47" fillId="3" borderId="0" xfId="0" applyFont="1" applyFill="1" applyAlignment="1"/>
    <xf numFmtId="0" fontId="47" fillId="5" borderId="0" xfId="0" applyFont="1" applyFill="1" applyAlignment="1">
      <alignment horizontal="center"/>
    </xf>
    <xf numFmtId="0" fontId="53" fillId="3" borderId="0" xfId="0" applyFont="1" applyFill="1" applyAlignment="1"/>
    <xf numFmtId="0" fontId="53" fillId="3" borderId="1" xfId="0" applyFont="1" applyFill="1" applyBorder="1" applyAlignment="1"/>
    <xf numFmtId="0" fontId="53" fillId="3" borderId="0" xfId="0" applyFont="1" applyFill="1" applyAlignment="1">
      <alignment horizontal="left"/>
    </xf>
    <xf numFmtId="0" fontId="53" fillId="5" borderId="1" xfId="0" applyFont="1" applyFill="1" applyBorder="1" applyAlignment="1"/>
    <xf numFmtId="0" fontId="53" fillId="3" borderId="1" xfId="0" applyFont="1" applyFill="1" applyBorder="1" applyAlignment="1">
      <alignment horizontal="left"/>
    </xf>
    <xf numFmtId="0" fontId="57" fillId="3" borderId="0" xfId="0" applyFont="1" applyFill="1" applyAlignment="1">
      <alignment horizontal="left"/>
    </xf>
    <xf numFmtId="0" fontId="52" fillId="3" borderId="1" xfId="0" applyFont="1" applyFill="1" applyBorder="1" applyAlignment="1">
      <alignment horizontal="left"/>
    </xf>
    <xf numFmtId="0" fontId="58" fillId="3" borderId="0" xfId="0" applyFont="1" applyFill="1" applyAlignment="1">
      <alignment horizontal="left"/>
    </xf>
    <xf numFmtId="0" fontId="47" fillId="5" borderId="1" xfId="0" applyFont="1" applyFill="1" applyBorder="1" applyAlignment="1"/>
    <xf numFmtId="0" fontId="47" fillId="0" borderId="1" xfId="0" applyFont="1" applyBorder="1" applyAlignment="1"/>
    <xf numFmtId="0" fontId="52" fillId="0" borderId="1" xfId="0" applyFont="1" applyBorder="1" applyAlignment="1"/>
    <xf numFmtId="0" fontId="47" fillId="0" borderId="1" xfId="0" applyFont="1" applyBorder="1" applyAlignment="1">
      <alignment horizontal="right"/>
    </xf>
    <xf numFmtId="0" fontId="47" fillId="5" borderId="0" xfId="0" applyFont="1" applyFill="1" applyAlignment="1"/>
    <xf numFmtId="0" fontId="47" fillId="5" borderId="0" xfId="0" applyFont="1" applyFill="1" applyAlignment="1">
      <alignment horizontal="center"/>
    </xf>
    <xf numFmtId="0" fontId="47" fillId="0" borderId="0" xfId="0" applyFont="1" applyAlignment="1"/>
    <xf numFmtId="0" fontId="52" fillId="0" borderId="0" xfId="0" applyFont="1" applyAlignment="1"/>
    <xf numFmtId="0" fontId="47" fillId="0" borderId="0" xfId="0" applyFont="1" applyAlignment="1">
      <alignment horizontal="right"/>
    </xf>
    <xf numFmtId="0" fontId="53" fillId="3" borderId="1" xfId="0" applyFont="1" applyFill="1" applyBorder="1" applyAlignment="1">
      <alignment horizontal="center"/>
    </xf>
    <xf numFmtId="0" fontId="47" fillId="3" borderId="1" xfId="0" applyFont="1" applyFill="1" applyBorder="1" applyAlignment="1">
      <alignment horizontal="center"/>
    </xf>
    <xf numFmtId="10" fontId="47" fillId="5" borderId="1" xfId="0" applyNumberFormat="1" applyFont="1" applyFill="1" applyBorder="1" applyAlignment="1"/>
    <xf numFmtId="0" fontId="47" fillId="0" borderId="1" xfId="0" applyFont="1" applyBorder="1" applyAlignment="1">
      <alignment horizontal="right"/>
    </xf>
    <xf numFmtId="0" fontId="59" fillId="3" borderId="1" xfId="0" applyFont="1" applyFill="1" applyBorder="1" applyAlignment="1">
      <alignment horizontal="center"/>
    </xf>
    <xf numFmtId="0" fontId="60" fillId="0" borderId="1" xfId="0" applyFont="1" applyBorder="1" applyAlignment="1"/>
    <xf numFmtId="0" fontId="61" fillId="0" borderId="1" xfId="0" applyFont="1" applyBorder="1" applyAlignment="1"/>
    <xf numFmtId="0" fontId="47" fillId="0" borderId="1" xfId="0" applyFont="1" applyBorder="1" applyAlignment="1"/>
    <xf numFmtId="0" fontId="52" fillId="0" borderId="1" xfId="0" applyFont="1" applyBorder="1" applyAlignment="1"/>
    <xf numFmtId="0" fontId="47" fillId="0" borderId="1" xfId="0" applyFont="1" applyBorder="1" applyAlignment="1">
      <alignment horizontal="left"/>
    </xf>
    <xf numFmtId="0" fontId="47" fillId="0" borderId="1" xfId="0" applyFont="1" applyBorder="1" applyAlignment="1">
      <alignment horizontal="right"/>
    </xf>
    <xf numFmtId="0" fontId="47" fillId="0" borderId="0" xfId="0" applyFont="1" applyAlignment="1">
      <alignment horizontal="right"/>
    </xf>
    <xf numFmtId="0" fontId="62" fillId="6" borderId="1" xfId="0" applyFont="1" applyFill="1" applyBorder="1" applyAlignment="1"/>
    <xf numFmtId="0" fontId="63" fillId="3" borderId="0" xfId="0" applyFont="1" applyFill="1" applyAlignment="1">
      <alignment horizontal="left"/>
    </xf>
    <xf numFmtId="0" fontId="64" fillId="3" borderId="0" xfId="0" applyFont="1" applyFill="1" applyAlignment="1">
      <alignment horizontal="left"/>
    </xf>
    <xf numFmtId="0" fontId="1" fillId="0" borderId="3" xfId="0" applyFont="1" applyBorder="1" applyAlignment="1"/>
    <xf numFmtId="0" fontId="47" fillId="0" borderId="4" xfId="0" applyFont="1" applyBorder="1" applyAlignment="1"/>
    <xf numFmtId="0" fontId="52" fillId="0" borderId="4" xfId="0" applyFont="1" applyBorder="1" applyAlignment="1"/>
    <xf numFmtId="0" fontId="47" fillId="0" borderId="4" xfId="0" applyFont="1" applyBorder="1" applyAlignment="1">
      <alignment horizontal="right"/>
    </xf>
    <xf numFmtId="0" fontId="65" fillId="0" borderId="4" xfId="0" applyFont="1" applyBorder="1" applyAlignment="1"/>
    <xf numFmtId="0" fontId="47" fillId="5" borderId="1" xfId="0" applyFont="1" applyFill="1" applyBorder="1" applyAlignment="1">
      <alignment horizontal="left"/>
    </xf>
    <xf numFmtId="0" fontId="65" fillId="0" borderId="4" xfId="0" applyFont="1" applyBorder="1" applyAlignment="1"/>
    <xf numFmtId="0" fontId="47" fillId="3" borderId="2" xfId="0" applyFont="1" applyFill="1" applyBorder="1" applyAlignment="1">
      <alignment horizontal="center"/>
    </xf>
    <xf numFmtId="0" fontId="47" fillId="0" borderId="3" xfId="0" applyFont="1" applyBorder="1" applyAlignment="1">
      <alignment horizontal="center"/>
    </xf>
    <xf numFmtId="0" fontId="66" fillId="3" borderId="4" xfId="0" applyFont="1" applyFill="1" applyBorder="1" applyAlignment="1">
      <alignment horizontal="center"/>
    </xf>
    <xf numFmtId="0" fontId="52" fillId="0" borderId="1" xfId="0" applyFont="1" applyBorder="1" applyAlignment="1">
      <alignment horizontal="left"/>
    </xf>
    <xf numFmtId="0" fontId="53" fillId="5" borderId="1" xfId="0" applyFont="1" applyFill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47" fillId="5" borderId="1" xfId="0" applyFont="1" applyFill="1" applyBorder="1" applyAlignment="1"/>
    <xf numFmtId="0" fontId="47" fillId="3" borderId="1" xfId="0" applyFont="1" applyFill="1" applyBorder="1" applyAlignment="1"/>
    <xf numFmtId="0" fontId="60" fillId="3" borderId="1" xfId="0" applyFont="1" applyFill="1" applyBorder="1" applyAlignment="1"/>
    <xf numFmtId="0" fontId="60" fillId="3" borderId="1" xfId="0" applyFont="1" applyFill="1" applyBorder="1" applyAlignment="1">
      <alignment horizontal="center"/>
    </xf>
    <xf numFmtId="0" fontId="67" fillId="0" borderId="1" xfId="0" applyFont="1" applyBorder="1" applyAlignment="1"/>
    <xf numFmtId="0" fontId="47" fillId="3" borderId="1" xfId="0" applyFont="1" applyFill="1" applyBorder="1" applyAlignment="1"/>
    <xf numFmtId="0" fontId="68" fillId="3" borderId="1" xfId="0" applyFont="1" applyFill="1" applyBorder="1" applyAlignment="1"/>
    <xf numFmtId="0" fontId="47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69" fillId="0" borderId="1" xfId="0" applyFont="1" applyBorder="1" applyAlignment="1"/>
    <xf numFmtId="0" fontId="70" fillId="0" borderId="0" xfId="0" applyFont="1" applyAlignment="1"/>
    <xf numFmtId="0" fontId="71" fillId="7" borderId="1" xfId="0" applyFont="1" applyFill="1" applyBorder="1" applyAlignment="1">
      <alignment horizontal="left"/>
    </xf>
    <xf numFmtId="0" fontId="72" fillId="0" borderId="0" xfId="0" applyFont="1" applyAlignment="1"/>
    <xf numFmtId="0" fontId="47" fillId="3" borderId="1" xfId="0" applyFont="1" applyFill="1" applyBorder="1" applyAlignment="1">
      <alignment horizontal="left"/>
    </xf>
    <xf numFmtId="0" fontId="73" fillId="3" borderId="1" xfId="0" applyFont="1" applyFill="1" applyBorder="1" applyAlignment="1"/>
    <xf numFmtId="0" fontId="47" fillId="5" borderId="1" xfId="0" applyFont="1" applyFill="1" applyBorder="1" applyAlignment="1"/>
    <xf numFmtId="0" fontId="0" fillId="5" borderId="1" xfId="0" applyFont="1" applyFill="1" applyBorder="1" applyAlignment="1">
      <alignment horizontal="left"/>
    </xf>
    <xf numFmtId="0" fontId="52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65" fillId="0" borderId="0" xfId="0" applyFont="1" applyAlignment="1"/>
    <xf numFmtId="0" fontId="53" fillId="0" borderId="0" xfId="0" applyFont="1" applyAlignment="1"/>
    <xf numFmtId="0" fontId="47" fillId="3" borderId="0" xfId="0" applyFont="1" applyFill="1" applyAlignment="1">
      <alignment horizontal="right"/>
    </xf>
    <xf numFmtId="0" fontId="7" fillId="5" borderId="0" xfId="0" applyFont="1" applyFill="1" applyAlignment="1"/>
    <xf numFmtId="0" fontId="65" fillId="0" borderId="0" xfId="0" applyFont="1" applyAlignment="1"/>
    <xf numFmtId="0" fontId="47" fillId="0" borderId="0" xfId="0" applyFont="1" applyAlignment="1">
      <alignment wrapText="1"/>
    </xf>
    <xf numFmtId="0" fontId="53" fillId="5" borderId="0" xfId="0" applyFont="1" applyFill="1" applyAlignment="1">
      <alignment horizontal="left"/>
    </xf>
    <xf numFmtId="0" fontId="74" fillId="3" borderId="1" xfId="0" applyFont="1" applyFill="1" applyBorder="1" applyAlignment="1"/>
    <xf numFmtId="0" fontId="75" fillId="6" borderId="0" xfId="0" applyFont="1" applyFill="1" applyAlignment="1"/>
    <xf numFmtId="0" fontId="76" fillId="6" borderId="0" xfId="0" applyFont="1" applyFill="1" applyAlignment="1"/>
    <xf numFmtId="0" fontId="54" fillId="3" borderId="1" xfId="0" applyFont="1" applyFill="1" applyBorder="1" applyAlignment="1"/>
    <xf numFmtId="0" fontId="47" fillId="0" borderId="1" xfId="0" applyFont="1" applyBorder="1" applyAlignment="1"/>
    <xf numFmtId="0" fontId="77" fillId="3" borderId="0" xfId="0" applyFont="1" applyFill="1" applyAlignment="1">
      <alignment horizontal="left"/>
    </xf>
    <xf numFmtId="0" fontId="73" fillId="5" borderId="1" xfId="0" applyFont="1" applyFill="1" applyBorder="1" applyAlignment="1"/>
    <xf numFmtId="0" fontId="47" fillId="3" borderId="1" xfId="0" applyFont="1" applyFill="1" applyBorder="1"/>
    <xf numFmtId="0" fontId="47" fillId="0" borderId="1" xfId="0" applyFont="1" applyBorder="1" applyAlignment="1"/>
    <xf numFmtId="0" fontId="78" fillId="0" borderId="1" xfId="0" applyFont="1" applyBorder="1" applyAlignment="1"/>
    <xf numFmtId="0" fontId="79" fillId="3" borderId="1" xfId="0" applyFont="1" applyFill="1" applyBorder="1" applyAlignment="1"/>
    <xf numFmtId="0" fontId="47" fillId="5" borderId="1" xfId="0" applyFont="1" applyFill="1" applyBorder="1" applyAlignment="1"/>
    <xf numFmtId="0" fontId="80" fillId="3" borderId="1" xfId="0" applyFont="1" applyFill="1" applyBorder="1" applyAlignment="1"/>
    <xf numFmtId="0" fontId="47" fillId="0" borderId="5" xfId="0" applyFont="1" applyBorder="1" applyAlignment="1"/>
    <xf numFmtId="0" fontId="52" fillId="0" borderId="5" xfId="0" applyFont="1" applyBorder="1" applyAlignment="1"/>
    <xf numFmtId="0" fontId="47" fillId="3" borderId="6" xfId="0" applyFont="1" applyFill="1" applyBorder="1" applyAlignment="1">
      <alignment horizontal="center"/>
    </xf>
    <xf numFmtId="0" fontId="47" fillId="0" borderId="1" xfId="0" applyFont="1" applyBorder="1" applyAlignment="1"/>
    <xf numFmtId="0" fontId="52" fillId="0" borderId="1" xfId="0" applyFont="1" applyBorder="1" applyAlignment="1"/>
    <xf numFmtId="0" fontId="81" fillId="8" borderId="1" xfId="0" applyFont="1" applyFill="1" applyBorder="1" applyAlignment="1">
      <alignment horizontal="center"/>
    </xf>
    <xf numFmtId="0" fontId="47" fillId="0" borderId="4" xfId="0" applyFont="1" applyBorder="1"/>
    <xf numFmtId="0" fontId="47" fillId="0" borderId="1" xfId="0" applyFont="1" applyBorder="1"/>
    <xf numFmtId="0" fontId="47" fillId="3" borderId="7" xfId="0" applyFont="1" applyFill="1" applyBorder="1" applyAlignment="1"/>
    <xf numFmtId="0" fontId="47" fillId="0" borderId="7" xfId="0" applyFont="1" applyBorder="1" applyAlignment="1"/>
    <xf numFmtId="0" fontId="52" fillId="0" borderId="7" xfId="0" applyFont="1" applyBorder="1" applyAlignment="1"/>
    <xf numFmtId="0" fontId="47" fillId="5" borderId="1" xfId="0" applyFont="1" applyFill="1" applyBorder="1"/>
    <xf numFmtId="0" fontId="82" fillId="0" borderId="0" xfId="0" applyFont="1" applyAlignment="1"/>
    <xf numFmtId="0" fontId="83" fillId="3" borderId="1" xfId="0" applyFont="1" applyFill="1" applyBorder="1" applyAlignment="1">
      <alignment horizontal="left"/>
    </xf>
    <xf numFmtId="0" fontId="84" fillId="0" borderId="1" xfId="0" applyFont="1" applyBorder="1" applyAlignment="1"/>
    <xf numFmtId="0" fontId="4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0" fontId="85" fillId="0" borderId="1" xfId="0" applyFont="1" applyBorder="1" applyAlignment="1">
      <alignment horizontal="left"/>
    </xf>
    <xf numFmtId="0" fontId="86" fillId="9" borderId="1" xfId="0" applyFont="1" applyFill="1" applyBorder="1" applyAlignment="1">
      <alignment horizontal="left"/>
    </xf>
    <xf numFmtId="0" fontId="47" fillId="3" borderId="1" xfId="0" applyFont="1" applyFill="1" applyBorder="1" applyAlignment="1"/>
    <xf numFmtId="0" fontId="47" fillId="0" borderId="1" xfId="0" applyFont="1" applyBorder="1" applyAlignment="1"/>
    <xf numFmtId="0" fontId="52" fillId="0" borderId="1" xfId="0" applyFont="1" applyBorder="1" applyAlignment="1"/>
    <xf numFmtId="0" fontId="47" fillId="0" borderId="1" xfId="0" applyFont="1" applyBorder="1" applyAlignment="1">
      <alignment horizontal="right"/>
    </xf>
    <xf numFmtId="0" fontId="0" fillId="5" borderId="1" xfId="0" applyFont="1" applyFill="1" applyBorder="1" applyAlignment="1"/>
    <xf numFmtId="0" fontId="73" fillId="3" borderId="1" xfId="0" applyFont="1" applyFill="1" applyBorder="1" applyAlignment="1">
      <alignment horizontal="left"/>
    </xf>
    <xf numFmtId="0" fontId="87" fillId="0" borderId="1" xfId="0" applyFont="1" applyBorder="1" applyAlignment="1"/>
    <xf numFmtId="0" fontId="0" fillId="3" borderId="1" xfId="0" applyFont="1" applyFill="1" applyBorder="1" applyAlignment="1">
      <alignment horizontal="center"/>
    </xf>
    <xf numFmtId="0" fontId="78" fillId="0" borderId="0" xfId="0" applyFont="1" applyAlignment="1"/>
    <xf numFmtId="0" fontId="47" fillId="3" borderId="0" xfId="0" applyFont="1" applyFill="1" applyAlignment="1"/>
    <xf numFmtId="0" fontId="47" fillId="3" borderId="0" xfId="0" applyFont="1" applyFill="1" applyAlignment="1"/>
    <xf numFmtId="0" fontId="47" fillId="0" borderId="0" xfId="0" applyFont="1" applyAlignment="1">
      <alignment horizontal="right"/>
    </xf>
    <xf numFmtId="0" fontId="71" fillId="7" borderId="0" xfId="0" applyFont="1" applyFill="1" applyAlignment="1">
      <alignment horizontal="left"/>
    </xf>
    <xf numFmtId="0" fontId="88" fillId="7" borderId="0" xfId="0" applyFont="1" applyFill="1" applyAlignment="1">
      <alignment horizontal="left"/>
    </xf>
    <xf numFmtId="0" fontId="52" fillId="3" borderId="1" xfId="0" applyFont="1" applyFill="1" applyBorder="1" applyAlignment="1"/>
    <xf numFmtId="0" fontId="47" fillId="0" borderId="0" xfId="0" applyFont="1"/>
    <xf numFmtId="0" fontId="89" fillId="5" borderId="1" xfId="0" applyFont="1" applyFill="1" applyBorder="1" applyAlignment="1"/>
    <xf numFmtId="0" fontId="73" fillId="5" borderId="1" xfId="0" applyFont="1" applyFill="1" applyBorder="1" applyAlignment="1"/>
    <xf numFmtId="0" fontId="31" fillId="3" borderId="1" xfId="0" applyFont="1" applyFill="1" applyBorder="1" applyAlignment="1"/>
    <xf numFmtId="0" fontId="90" fillId="3" borderId="0" xfId="0" applyFont="1" applyFill="1" applyAlignment="1">
      <alignment wrapText="1"/>
    </xf>
    <xf numFmtId="0" fontId="47" fillId="5" borderId="1" xfId="0" quotePrefix="1" applyFont="1" applyFill="1" applyBorder="1" applyAlignment="1">
      <alignment horizontal="center"/>
    </xf>
    <xf numFmtId="0" fontId="47" fillId="0" borderId="1" xfId="0" quotePrefix="1" applyFont="1" applyBorder="1" applyAlignment="1"/>
    <xf numFmtId="0" fontId="91" fillId="3" borderId="0" xfId="0" applyFont="1" applyFill="1" applyAlignment="1">
      <alignment horizontal="left"/>
    </xf>
    <xf numFmtId="0" fontId="92" fillId="10" borderId="0" xfId="0" applyFont="1" applyFill="1" applyAlignment="1"/>
    <xf numFmtId="0" fontId="93" fillId="10" borderId="0" xfId="0" applyFont="1" applyFill="1" applyAlignment="1"/>
    <xf numFmtId="0" fontId="94" fillId="3" borderId="0" xfId="0" applyFont="1" applyFill="1" applyAlignment="1">
      <alignment horizontal="left"/>
    </xf>
    <xf numFmtId="0" fontId="95" fillId="3" borderId="0" xfId="0" applyFont="1" applyFill="1" applyAlignment="1">
      <alignment horizontal="left"/>
    </xf>
    <xf numFmtId="0" fontId="62" fillId="3" borderId="0" xfId="0" applyFont="1" applyFill="1" applyAlignment="1">
      <alignment horizontal="left"/>
    </xf>
    <xf numFmtId="0" fontId="96" fillId="3" borderId="0" xfId="0" applyFont="1" applyFill="1" applyAlignment="1">
      <alignment horizontal="left"/>
    </xf>
    <xf numFmtId="0" fontId="47" fillId="5" borderId="4" xfId="0" applyFont="1" applyFill="1" applyBorder="1" applyAlignment="1"/>
    <xf numFmtId="0" fontId="47" fillId="5" borderId="4" xfId="0" applyFont="1" applyFill="1" applyBorder="1" applyAlignment="1">
      <alignment horizontal="center"/>
    </xf>
    <xf numFmtId="0" fontId="47" fillId="0" borderId="4" xfId="0" applyFont="1" applyBorder="1" applyAlignment="1"/>
    <xf numFmtId="0" fontId="52" fillId="0" borderId="4" xfId="0" applyFont="1" applyBorder="1" applyAlignment="1"/>
    <xf numFmtId="0" fontId="47" fillId="0" borderId="4" xfId="0" applyFont="1" applyBorder="1" applyAlignment="1">
      <alignment horizontal="right"/>
    </xf>
    <xf numFmtId="0" fontId="65" fillId="0" borderId="4" xfId="0" applyFont="1" applyBorder="1" applyAlignment="1"/>
    <xf numFmtId="0" fontId="47" fillId="3" borderId="7" xfId="0" applyFont="1" applyFill="1" applyBorder="1" applyAlignment="1"/>
    <xf numFmtId="0" fontId="47" fillId="3" borderId="8" xfId="0" applyFont="1" applyFill="1" applyBorder="1" applyAlignment="1"/>
    <xf numFmtId="0" fontId="47" fillId="3" borderId="8" xfId="0" applyFont="1" applyFill="1" applyBorder="1" applyAlignment="1">
      <alignment horizontal="center"/>
    </xf>
    <xf numFmtId="0" fontId="47" fillId="0" borderId="8" xfId="0" applyFont="1" applyBorder="1" applyAlignment="1"/>
    <xf numFmtId="0" fontId="52" fillId="0" borderId="8" xfId="0" applyFont="1" applyBorder="1" applyAlignment="1"/>
    <xf numFmtId="0" fontId="47" fillId="0" borderId="8" xfId="0" applyFont="1" applyBorder="1" applyAlignment="1">
      <alignment horizontal="right"/>
    </xf>
    <xf numFmtId="0" fontId="65" fillId="0" borderId="8" xfId="0" applyFont="1" applyBorder="1" applyAlignment="1"/>
    <xf numFmtId="0" fontId="47" fillId="5" borderId="7" xfId="0" applyFont="1" applyFill="1" applyBorder="1" applyAlignment="1"/>
    <xf numFmtId="0" fontId="47" fillId="5" borderId="8" xfId="0" applyFont="1" applyFill="1" applyBorder="1" applyAlignment="1"/>
    <xf numFmtId="0" fontId="47" fillId="5" borderId="8" xfId="0" applyFont="1" applyFill="1" applyBorder="1" applyAlignment="1">
      <alignment horizontal="center"/>
    </xf>
    <xf numFmtId="0" fontId="53" fillId="3" borderId="0" xfId="0" applyFont="1" applyFill="1" applyAlignment="1">
      <alignment horizontal="right"/>
    </xf>
    <xf numFmtId="0" fontId="97" fillId="3" borderId="0" xfId="0" applyFont="1" applyFill="1" applyAlignment="1"/>
    <xf numFmtId="0" fontId="98" fillId="3" borderId="0" xfId="0" applyFont="1" applyFill="1" applyAlignment="1"/>
    <xf numFmtId="0" fontId="47" fillId="3" borderId="1" xfId="0" quotePrefix="1" applyFont="1" applyFill="1" applyBorder="1" applyAlignment="1">
      <alignment horizontal="center"/>
    </xf>
    <xf numFmtId="0" fontId="99" fillId="5" borderId="1" xfId="0" applyFont="1" applyFill="1" applyBorder="1" applyAlignment="1"/>
    <xf numFmtId="0" fontId="99" fillId="0" borderId="1" xfId="0" applyFont="1" applyBorder="1" applyAlignment="1"/>
    <xf numFmtId="0" fontId="52" fillId="0" borderId="0" xfId="0" applyFont="1"/>
    <xf numFmtId="0" fontId="100" fillId="5" borderId="1" xfId="0" applyFont="1" applyFill="1" applyBorder="1" applyAlignment="1"/>
    <xf numFmtId="0" fontId="47" fillId="3" borderId="1" xfId="0" applyFont="1" applyFill="1" applyBorder="1" applyAlignment="1"/>
    <xf numFmtId="0" fontId="101" fillId="3" borderId="0" xfId="0" applyFont="1" applyFill="1" applyAlignment="1">
      <alignment horizontal="right"/>
    </xf>
    <xf numFmtId="0" fontId="102" fillId="5" borderId="1" xfId="0" applyFont="1" applyFill="1" applyBorder="1" applyAlignment="1"/>
    <xf numFmtId="0" fontId="103" fillId="11" borderId="0" xfId="0" applyFont="1" applyFill="1" applyAlignment="1">
      <alignment horizontal="right"/>
    </xf>
    <xf numFmtId="0" fontId="103" fillId="11" borderId="0" xfId="0" applyFont="1" applyFill="1" applyAlignment="1">
      <alignment horizontal="right"/>
    </xf>
    <xf numFmtId="0" fontId="1" fillId="0" borderId="8" xfId="0" applyFont="1" applyBorder="1" applyAlignment="1"/>
    <xf numFmtId="0" fontId="77" fillId="5" borderId="1" xfId="0" applyFont="1" applyFill="1" applyBorder="1" applyAlignment="1">
      <alignment horizontal="left"/>
    </xf>
    <xf numFmtId="0" fontId="21" fillId="5" borderId="1" xfId="0" applyFont="1" applyFill="1" applyBorder="1" applyAlignment="1">
      <alignment horizontal="left"/>
    </xf>
    <xf numFmtId="0" fontId="77" fillId="3" borderId="1" xfId="0" applyFont="1" applyFill="1" applyBorder="1" applyAlignment="1">
      <alignment horizontal="left"/>
    </xf>
    <xf numFmtId="0" fontId="48" fillId="3" borderId="0" xfId="0" applyFont="1" applyFill="1" applyAlignment="1"/>
    <xf numFmtId="0" fontId="50" fillId="3" borderId="0" xfId="0" applyFont="1" applyFill="1" applyAlignment="1">
      <alignment horizontal="center"/>
    </xf>
    <xf numFmtId="0" fontId="53" fillId="0" borderId="1" xfId="0" applyFont="1" applyBorder="1" applyAlignment="1">
      <alignment horizontal="left"/>
    </xf>
    <xf numFmtId="0" fontId="53" fillId="0" borderId="1" xfId="0" applyFont="1" applyBorder="1" applyAlignment="1">
      <alignment horizontal="center"/>
    </xf>
    <xf numFmtId="0" fontId="54" fillId="0" borderId="1" xfId="0" applyFont="1" applyBorder="1" applyAlignment="1"/>
    <xf numFmtId="0" fontId="53" fillId="0" borderId="1" xfId="0" applyFont="1" applyBorder="1" applyAlignment="1"/>
    <xf numFmtId="0" fontId="53" fillId="0" borderId="0" xfId="0" applyFont="1" applyAlignment="1">
      <alignment horizontal="left"/>
    </xf>
    <xf numFmtId="0" fontId="57" fillId="0" borderId="0" xfId="0" applyFont="1" applyAlignment="1">
      <alignment horizontal="left"/>
    </xf>
    <xf numFmtId="0" fontId="47" fillId="0" borderId="0" xfId="0" applyFont="1" applyAlignment="1">
      <alignment horizontal="center"/>
    </xf>
    <xf numFmtId="10" fontId="47" fillId="0" borderId="1" xfId="0" applyNumberFormat="1" applyFont="1" applyBorder="1" applyAlignment="1"/>
    <xf numFmtId="0" fontId="11" fillId="0" borderId="1" xfId="0" applyFont="1" applyBorder="1" applyAlignment="1">
      <alignment horizontal="center"/>
    </xf>
    <xf numFmtId="0" fontId="1" fillId="0" borderId="2" xfId="0" applyFont="1" applyBorder="1" applyAlignment="1"/>
    <xf numFmtId="0" fontId="47" fillId="0" borderId="2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73" fillId="0" borderId="1" xfId="0" applyFont="1" applyBorder="1" applyAlignment="1"/>
    <xf numFmtId="0" fontId="47" fillId="0" borderId="1" xfId="0" applyFont="1" applyBorder="1" applyAlignment="1"/>
    <xf numFmtId="0" fontId="0" fillId="0" borderId="1" xfId="0" applyFont="1" applyBorder="1" applyAlignment="1">
      <alignment horizontal="left"/>
    </xf>
    <xf numFmtId="0" fontId="47" fillId="0" borderId="0" xfId="0" applyFont="1" applyAlignment="1">
      <alignment horizontal="right"/>
    </xf>
    <xf numFmtId="0" fontId="7" fillId="0" borderId="0" xfId="0" applyFont="1" applyAlignment="1"/>
    <xf numFmtId="0" fontId="104" fillId="0" borderId="1" xfId="0" applyFont="1" applyBorder="1" applyAlignment="1"/>
    <xf numFmtId="0" fontId="73" fillId="0" borderId="1" xfId="0" applyFont="1" applyBorder="1" applyAlignment="1"/>
    <xf numFmtId="0" fontId="79" fillId="0" borderId="1" xfId="0" applyFont="1" applyBorder="1" applyAlignment="1"/>
    <xf numFmtId="0" fontId="47" fillId="0" borderId="6" xfId="0" applyFont="1" applyBorder="1" applyAlignment="1">
      <alignment horizontal="center"/>
    </xf>
    <xf numFmtId="0" fontId="0" fillId="3" borderId="1" xfId="0" applyFont="1" applyFill="1" applyBorder="1" applyAlignment="1"/>
    <xf numFmtId="0" fontId="0" fillId="0" borderId="1" xfId="0" applyFont="1" applyBorder="1" applyAlignment="1">
      <alignment horizontal="center"/>
    </xf>
    <xf numFmtId="0" fontId="47" fillId="0" borderId="0" xfId="0" applyFont="1" applyAlignment="1"/>
    <xf numFmtId="0" fontId="89" fillId="0" borderId="1" xfId="0" applyFont="1" applyBorder="1" applyAlignment="1"/>
    <xf numFmtId="0" fontId="31" fillId="0" borderId="1" xfId="0" applyFont="1" applyBorder="1" applyAlignment="1"/>
    <xf numFmtId="0" fontId="47" fillId="0" borderId="1" xfId="0" quotePrefix="1" applyFont="1" applyBorder="1" applyAlignment="1">
      <alignment horizontal="center"/>
    </xf>
    <xf numFmtId="0" fontId="47" fillId="0" borderId="4" xfId="0" applyFont="1" applyBorder="1" applyAlignment="1">
      <alignment horizontal="center"/>
    </xf>
    <xf numFmtId="0" fontId="47" fillId="0" borderId="7" xfId="0" applyFont="1" applyBorder="1" applyAlignment="1"/>
    <xf numFmtId="0" fontId="47" fillId="0" borderId="8" xfId="0" applyFont="1" applyBorder="1" applyAlignment="1">
      <alignment horizontal="center"/>
    </xf>
    <xf numFmtId="0" fontId="100" fillId="0" borderId="1" xfId="0" applyFont="1" applyBorder="1" applyAlignment="1"/>
    <xf numFmtId="0" fontId="102" fillId="0" borderId="1" xfId="0" applyFont="1" applyBorder="1" applyAlignment="1"/>
    <xf numFmtId="0" fontId="102" fillId="0" borderId="1" xfId="0" applyFont="1" applyBorder="1" applyAlignment="1">
      <alignment horizontal="center"/>
    </xf>
    <xf numFmtId="0" fontId="102" fillId="0" borderId="1" xfId="0" applyFont="1" applyBorder="1"/>
    <xf numFmtId="0" fontId="102" fillId="0" borderId="0" xfId="0" applyFont="1"/>
    <xf numFmtId="0" fontId="57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3" fillId="3" borderId="0" xfId="0" applyFont="1" applyFill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05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horizontal="center"/>
    </xf>
    <xf numFmtId="0" fontId="73" fillId="0" borderId="0" xfId="0" applyFont="1" applyAlignment="1"/>
    <xf numFmtId="0" fontId="52" fillId="0" borderId="1" xfId="0" applyFont="1" applyBorder="1"/>
    <xf numFmtId="0" fontId="7" fillId="0" borderId="1" xfId="0" applyFont="1" applyBorder="1" applyAlignment="1"/>
    <xf numFmtId="0" fontId="81" fillId="8" borderId="0" xfId="0" applyFont="1" applyFill="1" applyAlignment="1">
      <alignment horizontal="center"/>
    </xf>
    <xf numFmtId="0" fontId="66" fillId="3" borderId="1" xfId="0" applyFont="1" applyFill="1" applyBorder="1" applyAlignment="1">
      <alignment horizontal="center"/>
    </xf>
    <xf numFmtId="0" fontId="106" fillId="0" borderId="0" xfId="0" applyFont="1" applyAlignment="1">
      <alignment horizontal="left"/>
    </xf>
    <xf numFmtId="0" fontId="107" fillId="9" borderId="0" xfId="0" applyFont="1" applyFill="1" applyAlignment="1">
      <alignment horizontal="left"/>
    </xf>
    <xf numFmtId="0" fontId="108" fillId="3" borderId="0" xfId="0" applyFont="1" applyFill="1" applyAlignment="1">
      <alignment horizontal="left"/>
    </xf>
    <xf numFmtId="0" fontId="47" fillId="0" borderId="8" xfId="0" applyFont="1" applyBorder="1" applyAlignment="1"/>
    <xf numFmtId="0" fontId="109" fillId="0" borderId="1" xfId="0" applyFont="1" applyBorder="1" applyAlignment="1"/>
    <xf numFmtId="0" fontId="110" fillId="0" borderId="1" xfId="0" applyFont="1" applyBorder="1" applyAlignment="1"/>
    <xf numFmtId="0" fontId="77" fillId="3" borderId="0" xfId="0" applyFont="1" applyFill="1" applyAlignment="1">
      <alignment horizontal="right"/>
    </xf>
    <xf numFmtId="0" fontId="111" fillId="11" borderId="0" xfId="0" applyFont="1" applyFill="1" applyAlignment="1">
      <alignment horizontal="right"/>
    </xf>
    <xf numFmtId="0" fontId="111" fillId="11" borderId="0" xfId="0" applyFont="1" applyFill="1" applyAlignment="1">
      <alignment horizontal="right"/>
    </xf>
    <xf numFmtId="0" fontId="112" fillId="3" borderId="0" xfId="0" applyFont="1" applyFill="1"/>
    <xf numFmtId="0" fontId="113" fillId="12" borderId="0" xfId="0" applyFont="1" applyFill="1" applyAlignment="1"/>
    <xf numFmtId="0" fontId="114" fillId="0" borderId="0" xfId="0" applyFont="1" applyAlignment="1"/>
    <xf numFmtId="0" fontId="115" fillId="0" borderId="0" xfId="0" applyFont="1" applyAlignment="1"/>
    <xf numFmtId="0" fontId="116" fillId="0" borderId="0" xfId="0" applyFont="1" applyAlignment="1">
      <alignment horizontal="left"/>
    </xf>
    <xf numFmtId="0" fontId="117" fillId="13" borderId="0" xfId="0" applyFont="1" applyFill="1" applyAlignment="1">
      <alignment horizontal="left"/>
    </xf>
    <xf numFmtId="0" fontId="117" fillId="13" borderId="0" xfId="0" applyFont="1" applyFill="1" applyAlignment="1">
      <alignment horizontal="left"/>
    </xf>
    <xf numFmtId="0" fontId="118" fillId="3" borderId="0" xfId="0" applyFont="1" applyFill="1" applyAlignment="1">
      <alignment horizontal="left"/>
    </xf>
    <xf numFmtId="0" fontId="1" fillId="0" borderId="4" xfId="0" applyFont="1" applyBorder="1" applyAlignment="1">
      <alignment horizontal="right"/>
    </xf>
    <xf numFmtId="0" fontId="38" fillId="0" borderId="4" xfId="0" applyFont="1" applyBorder="1"/>
    <xf numFmtId="0" fontId="2" fillId="2" borderId="9" xfId="0" applyFont="1" applyFill="1" applyBorder="1" applyAlignment="1"/>
    <xf numFmtId="0" fontId="2" fillId="3" borderId="9" xfId="0" applyFont="1" applyFill="1" applyBorder="1" applyAlignment="1"/>
    <xf numFmtId="0" fontId="1" fillId="3" borderId="9" xfId="0" applyFont="1" applyFill="1" applyBorder="1" applyAlignment="1"/>
    <xf numFmtId="0" fontId="3" fillId="0" borderId="9" xfId="0" applyFont="1" applyBorder="1" applyAlignment="1"/>
    <xf numFmtId="0" fontId="1" fillId="0" borderId="9" xfId="0" applyFont="1" applyBorder="1" applyAlignment="1"/>
    <xf numFmtId="0" fontId="1" fillId="5" borderId="9" xfId="0" applyFont="1" applyFill="1" applyBorder="1" applyAlignment="1"/>
    <xf numFmtId="0" fontId="4" fillId="5" borderId="9" xfId="0" applyFont="1" applyFill="1" applyBorder="1" applyAlignment="1"/>
    <xf numFmtId="0" fontId="5" fillId="4" borderId="9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left"/>
    </xf>
    <xf numFmtId="0" fontId="4" fillId="5" borderId="9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left"/>
    </xf>
    <xf numFmtId="0" fontId="7" fillId="5" borderId="9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9" fillId="3" borderId="9" xfId="0" applyFont="1" applyFill="1" applyBorder="1" applyAlignment="1">
      <alignment horizontal="left"/>
    </xf>
    <xf numFmtId="0" fontId="1" fillId="0" borderId="9" xfId="0" applyFont="1" applyBorder="1"/>
    <xf numFmtId="0" fontId="4" fillId="3" borderId="9" xfId="0" applyFont="1" applyFill="1" applyBorder="1" applyAlignment="1"/>
    <xf numFmtId="0" fontId="10" fillId="3" borderId="9" xfId="0" applyFont="1" applyFill="1" applyBorder="1" applyAlignment="1">
      <alignment horizontal="center"/>
    </xf>
    <xf numFmtId="0" fontId="13" fillId="0" borderId="9" xfId="0" applyFont="1" applyBorder="1" applyAlignment="1"/>
    <xf numFmtId="0" fontId="14" fillId="6" borderId="9" xfId="0" applyFont="1" applyFill="1" applyBorder="1" applyAlignment="1"/>
    <xf numFmtId="0" fontId="1" fillId="5" borderId="9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1" fillId="0" borderId="9" xfId="0" applyFont="1" applyBorder="1" applyAlignment="1">
      <alignment wrapText="1"/>
    </xf>
    <xf numFmtId="0" fontId="3" fillId="0" borderId="9" xfId="0" applyFont="1" applyBorder="1"/>
    <xf numFmtId="0" fontId="12" fillId="5" borderId="9" xfId="0" applyFont="1" applyFill="1" applyBorder="1" applyAlignment="1"/>
    <xf numFmtId="0" fontId="16" fillId="0" borderId="9" xfId="0" applyFont="1" applyBorder="1" applyAlignment="1"/>
    <xf numFmtId="0" fontId="12" fillId="0" borderId="9" xfId="0" applyFont="1" applyBorder="1" applyAlignment="1"/>
    <xf numFmtId="0" fontId="1" fillId="3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5" borderId="9" xfId="0" applyFont="1" applyFill="1" applyBorder="1" applyAlignment="1">
      <alignment horizontal="left"/>
    </xf>
    <xf numFmtId="0" fontId="18" fillId="0" borderId="9" xfId="0" applyFont="1" applyBorder="1" applyAlignment="1"/>
    <xf numFmtId="0" fontId="122" fillId="0" borderId="9" xfId="1" applyBorder="1" applyAlignment="1"/>
    <xf numFmtId="0" fontId="3" fillId="0" borderId="9" xfId="0" applyFont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4" fillId="0" borderId="9" xfId="0" applyFont="1" applyBorder="1" applyAlignment="1"/>
    <xf numFmtId="0" fontId="1" fillId="5" borderId="9" xfId="0" applyFont="1" applyFill="1" applyBorder="1" applyAlignment="1">
      <alignment horizontal="right"/>
    </xf>
    <xf numFmtId="0" fontId="20" fillId="3" borderId="9" xfId="0" applyFont="1" applyFill="1" applyBorder="1" applyAlignment="1"/>
    <xf numFmtId="0" fontId="22" fillId="5" borderId="9" xfId="0" applyFont="1" applyFill="1" applyBorder="1" applyAlignment="1"/>
    <xf numFmtId="0" fontId="23" fillId="3" borderId="9" xfId="0" applyFont="1" applyFill="1" applyBorder="1" applyAlignment="1"/>
    <xf numFmtId="0" fontId="1" fillId="0" borderId="9" xfId="0" applyFont="1" applyBorder="1" applyAlignment="1">
      <alignment horizontal="left"/>
    </xf>
    <xf numFmtId="0" fontId="25" fillId="3" borderId="9" xfId="0" applyFont="1" applyFill="1" applyBorder="1" applyAlignment="1">
      <alignment horizontal="left"/>
    </xf>
    <xf numFmtId="0" fontId="26" fillId="0" borderId="9" xfId="0" applyFont="1" applyBorder="1" applyAlignment="1"/>
    <xf numFmtId="0" fontId="4" fillId="5" borderId="9" xfId="0" applyFont="1" applyFill="1" applyBorder="1" applyAlignment="1">
      <alignment horizontal="center"/>
    </xf>
    <xf numFmtId="0" fontId="27" fillId="0" borderId="9" xfId="0" applyFont="1" applyBorder="1" applyAlignment="1">
      <alignment horizontal="left"/>
    </xf>
    <xf numFmtId="0" fontId="28" fillId="9" borderId="9" xfId="0" applyFont="1" applyFill="1" applyBorder="1" applyAlignment="1">
      <alignment horizontal="left"/>
    </xf>
    <xf numFmtId="0" fontId="11" fillId="3" borderId="9" xfId="0" applyFont="1" applyFill="1" applyBorder="1" applyAlignment="1"/>
    <xf numFmtId="0" fontId="1" fillId="3" borderId="9" xfId="0" applyFont="1" applyFill="1" applyBorder="1"/>
    <xf numFmtId="0" fontId="19" fillId="7" borderId="9" xfId="0" applyFont="1" applyFill="1" applyBorder="1" applyAlignment="1">
      <alignment horizontal="left"/>
    </xf>
    <xf numFmtId="0" fontId="3" fillId="5" borderId="9" xfId="0" applyFont="1" applyFill="1" applyBorder="1" applyAlignment="1"/>
    <xf numFmtId="0" fontId="30" fillId="3" borderId="9" xfId="0" applyFont="1" applyFill="1" applyBorder="1" applyAlignment="1"/>
    <xf numFmtId="0" fontId="20" fillId="5" borderId="9" xfId="0" applyFont="1" applyFill="1" applyBorder="1" applyAlignment="1"/>
    <xf numFmtId="0" fontId="12" fillId="3" borderId="9" xfId="0" applyFont="1" applyFill="1" applyBorder="1" applyAlignment="1"/>
    <xf numFmtId="0" fontId="31" fillId="5" borderId="9" xfId="0" applyFont="1" applyFill="1" applyBorder="1" applyAlignment="1"/>
    <xf numFmtId="0" fontId="1" fillId="5" borderId="9" xfId="0" applyFont="1" applyFill="1" applyBorder="1"/>
    <xf numFmtId="0" fontId="32" fillId="3" borderId="9" xfId="0" applyFont="1" applyFill="1" applyBorder="1" applyAlignment="1">
      <alignment wrapText="1"/>
    </xf>
    <xf numFmtId="0" fontId="33" fillId="3" borderId="9" xfId="0" applyFont="1" applyFill="1" applyBorder="1" applyAlignment="1"/>
    <xf numFmtId="0" fontId="34" fillId="10" borderId="9" xfId="0" applyFont="1" applyFill="1" applyBorder="1" applyAlignment="1"/>
    <xf numFmtId="0" fontId="35" fillId="3" borderId="9" xfId="0" applyFont="1" applyFill="1" applyBorder="1" applyAlignment="1">
      <alignment horizontal="left"/>
    </xf>
    <xf numFmtId="0" fontId="36" fillId="3" borderId="9" xfId="0" applyFont="1" applyFill="1" applyBorder="1" applyAlignment="1"/>
    <xf numFmtId="0" fontId="39" fillId="11" borderId="9" xfId="0" applyFont="1" applyFill="1" applyBorder="1" applyAlignment="1">
      <alignment horizontal="right"/>
    </xf>
    <xf numFmtId="0" fontId="38" fillId="3" borderId="9" xfId="0" applyFont="1" applyFill="1" applyBorder="1" applyAlignment="1"/>
    <xf numFmtId="0" fontId="38" fillId="3" borderId="9" xfId="0" applyFont="1" applyFill="1" applyBorder="1" applyAlignment="1">
      <alignment horizontal="left"/>
    </xf>
    <xf numFmtId="0" fontId="38" fillId="0" borderId="9" xfId="0" applyFont="1" applyBorder="1" applyAlignment="1"/>
    <xf numFmtId="0" fontId="123" fillId="0" borderId="9" xfId="0" applyFont="1" applyBorder="1" applyAlignment="1">
      <alignment horizontal="left"/>
    </xf>
    <xf numFmtId="0" fontId="30" fillId="5" borderId="9" xfId="0" applyFont="1" applyFill="1" applyBorder="1" applyAlignment="1"/>
    <xf numFmtId="0" fontId="125" fillId="0" borderId="9" xfId="0" applyFont="1" applyBorder="1"/>
    <xf numFmtId="0" fontId="24" fillId="5" borderId="9" xfId="0" applyFont="1" applyFill="1" applyBorder="1" applyAlignment="1"/>
    <xf numFmtId="0" fontId="21" fillId="3" borderId="9" xfId="0" applyFont="1" applyFill="1" applyBorder="1" applyAlignment="1">
      <alignment horizontal="left"/>
    </xf>
    <xf numFmtId="0" fontId="37" fillId="3" borderId="9" xfId="0" applyFont="1" applyFill="1" applyBorder="1" applyAlignment="1"/>
    <xf numFmtId="0" fontId="41" fillId="11" borderId="9" xfId="0" applyFont="1" applyFill="1" applyBorder="1" applyAlignment="1">
      <alignment horizontal="right"/>
    </xf>
    <xf numFmtId="0" fontId="42" fillId="12" borderId="9" xfId="0" applyFont="1" applyFill="1" applyBorder="1" applyAlignment="1"/>
    <xf numFmtId="0" fontId="43" fillId="3" borderId="9" xfId="0" applyFont="1" applyFill="1" applyBorder="1" applyAlignment="1"/>
    <xf numFmtId="0" fontId="44" fillId="0" borderId="9" xfId="0" applyFont="1" applyBorder="1" applyAlignment="1">
      <alignment horizontal="left"/>
    </xf>
    <xf numFmtId="0" fontId="45" fillId="13" borderId="9" xfId="0" applyFont="1" applyFill="1" applyBorder="1" applyAlignment="1">
      <alignment horizontal="left"/>
    </xf>
    <xf numFmtId="0" fontId="46" fillId="3" borderId="9" xfId="0" applyFont="1" applyFill="1" applyBorder="1" applyAlignment="1">
      <alignment horizontal="left"/>
    </xf>
    <xf numFmtId="0" fontId="126" fillId="0" borderId="9" xfId="0" applyFont="1" applyBorder="1"/>
    <xf numFmtId="0" fontId="126" fillId="0" borderId="9" xfId="0" applyFont="1" applyBorder="1" applyAlignment="1">
      <alignment horizontal="left"/>
    </xf>
    <xf numFmtId="0" fontId="127" fillId="0" borderId="9" xfId="1" applyFont="1" applyBorder="1" applyAlignment="1"/>
    <xf numFmtId="0" fontId="128" fillId="0" borderId="9" xfId="0" applyFont="1" applyBorder="1"/>
    <xf numFmtId="0" fontId="124" fillId="0" borderId="0" xfId="0" applyFont="1"/>
    <xf numFmtId="0" fontId="126" fillId="0" borderId="0" xfId="0" applyFont="1"/>
    <xf numFmtId="0" fontId="126" fillId="0" borderId="0" xfId="0" applyFont="1" applyAlignment="1">
      <alignment horizontal="left"/>
    </xf>
    <xf numFmtId="0" fontId="126" fillId="14" borderId="9" xfId="0" applyFont="1" applyFill="1" applyBorder="1"/>
    <xf numFmtId="0" fontId="126" fillId="14" borderId="9" xfId="0" applyFont="1" applyFill="1" applyBorder="1" applyAlignment="1">
      <alignment horizontal="left"/>
    </xf>
    <xf numFmtId="0" fontId="0" fillId="0" borderId="0" xfId="0"/>
    <xf numFmtId="0" fontId="130" fillId="0" borderId="9" xfId="0" applyFont="1" applyBorder="1"/>
    <xf numFmtId="0" fontId="126" fillId="0" borderId="9" xfId="0" applyFont="1" applyBorder="1" applyAlignment="1">
      <alignment horizontal="left" vertical="top" wrapText="1"/>
    </xf>
    <xf numFmtId="0" fontId="122" fillId="0" borderId="9" xfId="1" applyBorder="1"/>
    <xf numFmtId="0" fontId="126" fillId="15" borderId="9" xfId="0" applyFont="1" applyFill="1" applyBorder="1" applyAlignment="1">
      <alignment horizontal="left" vertical="top" wrapText="1"/>
    </xf>
    <xf numFmtId="0" fontId="131" fillId="8" borderId="9" xfId="0" applyFont="1" applyFill="1" applyBorder="1" applyAlignment="1">
      <alignment horizontal="left"/>
    </xf>
    <xf numFmtId="0" fontId="132" fillId="0" borderId="10" xfId="0" applyFont="1" applyBorder="1" applyAlignment="1">
      <alignment vertical="center" wrapText="1"/>
    </xf>
    <xf numFmtId="0" fontId="132" fillId="0" borderId="10" xfId="0" applyFont="1" applyBorder="1" applyAlignment="1">
      <alignment horizontal="left" vertical="center" wrapText="1"/>
    </xf>
    <xf numFmtId="0" fontId="132" fillId="0" borderId="10" xfId="0" applyFont="1" applyBorder="1"/>
    <xf numFmtId="0" fontId="132" fillId="0" borderId="10" xfId="0" applyFont="1" applyBorder="1" applyAlignment="1">
      <alignment horizontal="left"/>
    </xf>
    <xf numFmtId="0" fontId="132" fillId="0" borderId="10" xfId="0" applyFont="1" applyBorder="1" applyAlignment="1">
      <alignment horizontal="left" vertical="center" wrapText="1" indent="1"/>
    </xf>
    <xf numFmtId="0" fontId="0" fillId="0" borderId="10" xfId="0" applyBorder="1" applyAlignment="1">
      <alignment horizontal="left"/>
    </xf>
    <xf numFmtId="0" fontId="132" fillId="0" borderId="10" xfId="0" applyFont="1" applyBorder="1" applyAlignment="1">
      <alignment vertical="center"/>
    </xf>
    <xf numFmtId="0" fontId="0" fillId="0" borderId="10" xfId="0" applyBorder="1"/>
    <xf numFmtId="0" fontId="47" fillId="5" borderId="5" xfId="0" applyFont="1" applyFill="1" applyBorder="1" applyAlignment="1"/>
    <xf numFmtId="0" fontId="29" fillId="3" borderId="2" xfId="0" applyFont="1" applyFill="1" applyBorder="1"/>
    <xf numFmtId="0" fontId="29" fillId="5" borderId="2" xfId="0" applyFont="1" applyFill="1" applyBorder="1"/>
    <xf numFmtId="0" fontId="29" fillId="3" borderId="7" xfId="0" applyFont="1" applyFill="1" applyBorder="1"/>
    <xf numFmtId="0" fontId="0" fillId="0" borderId="0" xfId="0" applyFont="1" applyAlignment="1"/>
    <xf numFmtId="0" fontId="47" fillId="0" borderId="5" xfId="0" applyFont="1" applyBorder="1" applyAlignment="1"/>
    <xf numFmtId="0" fontId="29" fillId="0" borderId="2" xfId="0" applyFont="1" applyBorder="1"/>
    <xf numFmtId="0" fontId="29" fillId="0" borderId="7" xfId="0" applyFont="1" applyBorder="1"/>
    <xf numFmtId="0" fontId="47" fillId="0" borderId="3" xfId="0" applyFont="1" applyBorder="1" applyAlignment="1"/>
    <xf numFmtId="0" fontId="29" fillId="0" borderId="3" xfId="0" applyFont="1" applyBorder="1"/>
    <xf numFmtId="0" fontId="29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93" name="Text Box 69" hidden="1">
          <a:extLst>
            <a:ext uri="{FF2B5EF4-FFF2-40B4-BE49-F238E27FC236}">
              <a16:creationId xmlns:a16="http://schemas.microsoft.com/office/drawing/2014/main" id="{A9EB12BB-8748-4737-BA10-B2E14B4E936D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92" name="Text Box 68" hidden="1">
          <a:extLst>
            <a:ext uri="{FF2B5EF4-FFF2-40B4-BE49-F238E27FC236}">
              <a16:creationId xmlns:a16="http://schemas.microsoft.com/office/drawing/2014/main" id="{C4C0C986-B016-4D5E-8AFA-95FA33199493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91" name="Text Box 67" hidden="1">
          <a:extLst>
            <a:ext uri="{FF2B5EF4-FFF2-40B4-BE49-F238E27FC236}">
              <a16:creationId xmlns:a16="http://schemas.microsoft.com/office/drawing/2014/main" id="{0293C187-C486-4B43-A805-C3283F5EA707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90" name="Text Box 66" hidden="1">
          <a:extLst>
            <a:ext uri="{FF2B5EF4-FFF2-40B4-BE49-F238E27FC236}">
              <a16:creationId xmlns:a16="http://schemas.microsoft.com/office/drawing/2014/main" id="{077CC256-1F84-4C8C-A866-7368D7E17009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89" name="Text Box 65" hidden="1">
          <a:extLst>
            <a:ext uri="{FF2B5EF4-FFF2-40B4-BE49-F238E27FC236}">
              <a16:creationId xmlns:a16="http://schemas.microsoft.com/office/drawing/2014/main" id="{9C9AFBB2-EA00-477E-A4D2-8E2694ED3368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88" name="Text Box 64" hidden="1">
          <a:extLst>
            <a:ext uri="{FF2B5EF4-FFF2-40B4-BE49-F238E27FC236}">
              <a16:creationId xmlns:a16="http://schemas.microsoft.com/office/drawing/2014/main" id="{A8786247-03ED-49DF-BB5F-921E737B0EF4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87" name="Text Box 63" hidden="1">
          <a:extLst>
            <a:ext uri="{FF2B5EF4-FFF2-40B4-BE49-F238E27FC236}">
              <a16:creationId xmlns:a16="http://schemas.microsoft.com/office/drawing/2014/main" id="{FC6C96B5-DCAA-427C-BBAC-578371D5A23F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86" name="Text Box 62" hidden="1">
          <a:extLst>
            <a:ext uri="{FF2B5EF4-FFF2-40B4-BE49-F238E27FC236}">
              <a16:creationId xmlns:a16="http://schemas.microsoft.com/office/drawing/2014/main" id="{43710C6D-3A6D-4412-A9DF-5218AB5E807D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9</xdr:row>
      <xdr:rowOff>133350</xdr:rowOff>
    </xdr:to>
    <xdr:sp macro="" textlink="">
      <xdr:nvSpPr>
        <xdr:cNvPr id="1085" name="Text Box 61" hidden="1">
          <a:extLst>
            <a:ext uri="{FF2B5EF4-FFF2-40B4-BE49-F238E27FC236}">
              <a16:creationId xmlns:a16="http://schemas.microsoft.com/office/drawing/2014/main" id="{82AA99A3-576D-4670-ABB6-975F8E3BFA09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323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84" name="Text Box 60" hidden="1">
          <a:extLst>
            <a:ext uri="{FF2B5EF4-FFF2-40B4-BE49-F238E27FC236}">
              <a16:creationId xmlns:a16="http://schemas.microsoft.com/office/drawing/2014/main" id="{084306AD-CBFF-4CCF-9B84-C66A3B34B518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12</xdr:row>
      <xdr:rowOff>9525</xdr:rowOff>
    </xdr:to>
    <xdr:sp macro="" textlink="">
      <xdr:nvSpPr>
        <xdr:cNvPr id="1083" name="Text Box 59" hidden="1">
          <a:extLst>
            <a:ext uri="{FF2B5EF4-FFF2-40B4-BE49-F238E27FC236}">
              <a16:creationId xmlns:a16="http://schemas.microsoft.com/office/drawing/2014/main" id="{8026B4D0-9F57-4520-9564-4303BA6DF96D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685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82" name="Text Box 58" hidden="1">
          <a:extLst>
            <a:ext uri="{FF2B5EF4-FFF2-40B4-BE49-F238E27FC236}">
              <a16:creationId xmlns:a16="http://schemas.microsoft.com/office/drawing/2014/main" id="{50667A0F-9ACC-46D7-8623-9AA780136217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81" name="Text Box 57" hidden="1">
          <a:extLst>
            <a:ext uri="{FF2B5EF4-FFF2-40B4-BE49-F238E27FC236}">
              <a16:creationId xmlns:a16="http://schemas.microsoft.com/office/drawing/2014/main" id="{9B29B69A-DE6F-4ED9-82CE-AFFC34882E3D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14</xdr:row>
      <xdr:rowOff>9525</xdr:rowOff>
    </xdr:to>
    <xdr:sp macro="" textlink="">
      <xdr:nvSpPr>
        <xdr:cNvPr id="1080" name="Text Box 56" hidden="1">
          <a:extLst>
            <a:ext uri="{FF2B5EF4-FFF2-40B4-BE49-F238E27FC236}">
              <a16:creationId xmlns:a16="http://schemas.microsoft.com/office/drawing/2014/main" id="{7472CDA3-0F2E-4CFF-81D8-6D45066120BE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2009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13</xdr:row>
      <xdr:rowOff>9525</xdr:rowOff>
    </xdr:to>
    <xdr:sp macro="" textlink="">
      <xdr:nvSpPr>
        <xdr:cNvPr id="1079" name="Text Box 55" hidden="1">
          <a:extLst>
            <a:ext uri="{FF2B5EF4-FFF2-40B4-BE49-F238E27FC236}">
              <a16:creationId xmlns:a16="http://schemas.microsoft.com/office/drawing/2014/main" id="{433C340F-3740-4465-B098-190FA5D00A78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847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23</xdr:row>
      <xdr:rowOff>85725</xdr:rowOff>
    </xdr:to>
    <xdr:sp macro="" textlink="">
      <xdr:nvSpPr>
        <xdr:cNvPr id="1078" name="Text Box 54" hidden="1">
          <a:extLst>
            <a:ext uri="{FF2B5EF4-FFF2-40B4-BE49-F238E27FC236}">
              <a16:creationId xmlns:a16="http://schemas.microsoft.com/office/drawing/2014/main" id="{75024987-66EF-4851-A7B2-298B3EAAD982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36290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77" name="Text Box 53" hidden="1">
          <a:extLst>
            <a:ext uri="{FF2B5EF4-FFF2-40B4-BE49-F238E27FC236}">
              <a16:creationId xmlns:a16="http://schemas.microsoft.com/office/drawing/2014/main" id="{88D7C877-F9D5-4C7D-98E6-038095994000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76" name="Text Box 52" hidden="1">
          <a:extLst>
            <a:ext uri="{FF2B5EF4-FFF2-40B4-BE49-F238E27FC236}">
              <a16:creationId xmlns:a16="http://schemas.microsoft.com/office/drawing/2014/main" id="{D6001C1E-EB07-4186-8C7D-C329999D2CD7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75" name="Text Box 51" hidden="1">
          <a:extLst>
            <a:ext uri="{FF2B5EF4-FFF2-40B4-BE49-F238E27FC236}">
              <a16:creationId xmlns:a16="http://schemas.microsoft.com/office/drawing/2014/main" id="{ABBEA20A-0A8E-4246-81A7-2920E2484B7F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12</xdr:row>
      <xdr:rowOff>9525</xdr:rowOff>
    </xdr:to>
    <xdr:sp macro="" textlink="">
      <xdr:nvSpPr>
        <xdr:cNvPr id="1074" name="Text Box 50" hidden="1">
          <a:extLst>
            <a:ext uri="{FF2B5EF4-FFF2-40B4-BE49-F238E27FC236}">
              <a16:creationId xmlns:a16="http://schemas.microsoft.com/office/drawing/2014/main" id="{F2A12ED1-4D2A-4A03-9DE0-EF8A423C0ADF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685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73" name="Text Box 49" hidden="1">
          <a:extLst>
            <a:ext uri="{FF2B5EF4-FFF2-40B4-BE49-F238E27FC236}">
              <a16:creationId xmlns:a16="http://schemas.microsoft.com/office/drawing/2014/main" id="{542BB366-BC3C-45EB-AFD4-398846C5DC23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72" name="Text Box 48" hidden="1">
          <a:extLst>
            <a:ext uri="{FF2B5EF4-FFF2-40B4-BE49-F238E27FC236}">
              <a16:creationId xmlns:a16="http://schemas.microsoft.com/office/drawing/2014/main" id="{478F69DF-54B9-41CF-834A-AF2DDB023637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71" name="Text Box 47" hidden="1">
          <a:extLst>
            <a:ext uri="{FF2B5EF4-FFF2-40B4-BE49-F238E27FC236}">
              <a16:creationId xmlns:a16="http://schemas.microsoft.com/office/drawing/2014/main" id="{AD3355F8-7502-427D-B37A-5F31FC3F54A0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70" name="Text Box 46" hidden="1">
          <a:extLst>
            <a:ext uri="{FF2B5EF4-FFF2-40B4-BE49-F238E27FC236}">
              <a16:creationId xmlns:a16="http://schemas.microsoft.com/office/drawing/2014/main" id="{B7681103-6505-48A6-B292-7CD71AC225E6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69" name="Text Box 45" hidden="1">
          <a:extLst>
            <a:ext uri="{FF2B5EF4-FFF2-40B4-BE49-F238E27FC236}">
              <a16:creationId xmlns:a16="http://schemas.microsoft.com/office/drawing/2014/main" id="{C50EF333-FA14-4998-99D9-B07850D46230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68" name="Text Box 44" hidden="1">
          <a:extLst>
            <a:ext uri="{FF2B5EF4-FFF2-40B4-BE49-F238E27FC236}">
              <a16:creationId xmlns:a16="http://schemas.microsoft.com/office/drawing/2014/main" id="{E513A0E2-B5EA-4879-87CF-8453A08AB6D1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12</xdr:row>
      <xdr:rowOff>9525</xdr:rowOff>
    </xdr:to>
    <xdr:sp macro="" textlink="">
      <xdr:nvSpPr>
        <xdr:cNvPr id="1067" name="Text Box 43" hidden="1">
          <a:extLst>
            <a:ext uri="{FF2B5EF4-FFF2-40B4-BE49-F238E27FC236}">
              <a16:creationId xmlns:a16="http://schemas.microsoft.com/office/drawing/2014/main" id="{F48F95BA-8FF2-44F1-A6BA-A66777CC196E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685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66" name="Text Box 42" hidden="1">
          <a:extLst>
            <a:ext uri="{FF2B5EF4-FFF2-40B4-BE49-F238E27FC236}">
              <a16:creationId xmlns:a16="http://schemas.microsoft.com/office/drawing/2014/main" id="{D0B58D08-C228-4FCE-9746-F3CBD427A71B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65" name="Text Box 41" hidden="1">
          <a:extLst>
            <a:ext uri="{FF2B5EF4-FFF2-40B4-BE49-F238E27FC236}">
              <a16:creationId xmlns:a16="http://schemas.microsoft.com/office/drawing/2014/main" id="{57E4C710-56E4-4B5C-B128-9A4CE1CE74B4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64" name="Text Box 40" hidden="1">
          <a:extLst>
            <a:ext uri="{FF2B5EF4-FFF2-40B4-BE49-F238E27FC236}">
              <a16:creationId xmlns:a16="http://schemas.microsoft.com/office/drawing/2014/main" id="{CA82669F-C272-40AB-B4E2-2A11D8940B3C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12</xdr:row>
      <xdr:rowOff>9525</xdr:rowOff>
    </xdr:to>
    <xdr:sp macro="" textlink="">
      <xdr:nvSpPr>
        <xdr:cNvPr id="1063" name="Text Box 39" hidden="1">
          <a:extLst>
            <a:ext uri="{FF2B5EF4-FFF2-40B4-BE49-F238E27FC236}">
              <a16:creationId xmlns:a16="http://schemas.microsoft.com/office/drawing/2014/main" id="{A7E8CA6E-B44F-4422-84CA-FEE13F1896C7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685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62" name="Text Box 38" hidden="1">
          <a:extLst>
            <a:ext uri="{FF2B5EF4-FFF2-40B4-BE49-F238E27FC236}">
              <a16:creationId xmlns:a16="http://schemas.microsoft.com/office/drawing/2014/main" id="{09B40B1B-0417-48E9-B427-749B16A75EAD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11</xdr:row>
      <xdr:rowOff>9525</xdr:rowOff>
    </xdr:to>
    <xdr:sp macro="" textlink="">
      <xdr:nvSpPr>
        <xdr:cNvPr id="1061" name="Text Box 37" hidden="1">
          <a:extLst>
            <a:ext uri="{FF2B5EF4-FFF2-40B4-BE49-F238E27FC236}">
              <a16:creationId xmlns:a16="http://schemas.microsoft.com/office/drawing/2014/main" id="{D1E1C207-9A49-4939-927F-5BD6658E36D8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524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60" name="Text Box 36" hidden="1">
          <a:extLst>
            <a:ext uri="{FF2B5EF4-FFF2-40B4-BE49-F238E27FC236}">
              <a16:creationId xmlns:a16="http://schemas.microsoft.com/office/drawing/2014/main" id="{0B35DCE0-4C06-42BA-9E10-C401DFE5F4D9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12</xdr:row>
      <xdr:rowOff>9525</xdr:rowOff>
    </xdr:to>
    <xdr:sp macro="" textlink="">
      <xdr:nvSpPr>
        <xdr:cNvPr id="1059" name="Text Box 35" hidden="1">
          <a:extLst>
            <a:ext uri="{FF2B5EF4-FFF2-40B4-BE49-F238E27FC236}">
              <a16:creationId xmlns:a16="http://schemas.microsoft.com/office/drawing/2014/main" id="{B900A804-C774-42EA-8830-CDE214ECC2E3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685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15</xdr:row>
      <xdr:rowOff>9525</xdr:rowOff>
    </xdr:to>
    <xdr:sp macro="" textlink="">
      <xdr:nvSpPr>
        <xdr:cNvPr id="1058" name="Text Box 34" hidden="1">
          <a:extLst>
            <a:ext uri="{FF2B5EF4-FFF2-40B4-BE49-F238E27FC236}">
              <a16:creationId xmlns:a16="http://schemas.microsoft.com/office/drawing/2014/main" id="{E73AD6B6-1633-444E-A5B6-0699F2E366CD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2171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12</xdr:row>
      <xdr:rowOff>9525</xdr:rowOff>
    </xdr:to>
    <xdr:sp macro="" textlink="">
      <xdr:nvSpPr>
        <xdr:cNvPr id="1057" name="Text Box 33" hidden="1">
          <a:extLst>
            <a:ext uri="{FF2B5EF4-FFF2-40B4-BE49-F238E27FC236}">
              <a16:creationId xmlns:a16="http://schemas.microsoft.com/office/drawing/2014/main" id="{CAE07B4F-ABCB-4CE2-9615-FD57771938BE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685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56" name="Text Box 32" hidden="1">
          <a:extLst>
            <a:ext uri="{FF2B5EF4-FFF2-40B4-BE49-F238E27FC236}">
              <a16:creationId xmlns:a16="http://schemas.microsoft.com/office/drawing/2014/main" id="{F74870B6-EBB1-4CDE-ACE0-9DE539BBE85A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55" name="Text Box 31" hidden="1">
          <a:extLst>
            <a:ext uri="{FF2B5EF4-FFF2-40B4-BE49-F238E27FC236}">
              <a16:creationId xmlns:a16="http://schemas.microsoft.com/office/drawing/2014/main" id="{910932F7-7392-4E15-9CF6-308D428AF86E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12</xdr:row>
      <xdr:rowOff>9525</xdr:rowOff>
    </xdr:to>
    <xdr:sp macro="" textlink="">
      <xdr:nvSpPr>
        <xdr:cNvPr id="1054" name="Text Box 30" hidden="1">
          <a:extLst>
            <a:ext uri="{FF2B5EF4-FFF2-40B4-BE49-F238E27FC236}">
              <a16:creationId xmlns:a16="http://schemas.microsoft.com/office/drawing/2014/main" id="{F626509B-A75D-4707-8587-C5AA860124B1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685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53" name="Text Box 29" hidden="1">
          <a:extLst>
            <a:ext uri="{FF2B5EF4-FFF2-40B4-BE49-F238E27FC236}">
              <a16:creationId xmlns:a16="http://schemas.microsoft.com/office/drawing/2014/main" id="{67157742-CBB4-4DF0-96AE-08F35A41986E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52" name="Text Box 28" hidden="1">
          <a:extLst>
            <a:ext uri="{FF2B5EF4-FFF2-40B4-BE49-F238E27FC236}">
              <a16:creationId xmlns:a16="http://schemas.microsoft.com/office/drawing/2014/main" id="{E3FFD988-65D6-43BA-8BC3-E8F52D64F961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13</xdr:row>
      <xdr:rowOff>9525</xdr:rowOff>
    </xdr:to>
    <xdr:sp macro="" textlink="">
      <xdr:nvSpPr>
        <xdr:cNvPr id="1051" name="Text Box 27" hidden="1">
          <a:extLst>
            <a:ext uri="{FF2B5EF4-FFF2-40B4-BE49-F238E27FC236}">
              <a16:creationId xmlns:a16="http://schemas.microsoft.com/office/drawing/2014/main" id="{CA65F5F6-5869-49EE-9A36-252ECB1F1CB8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847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9</xdr:row>
      <xdr:rowOff>133350</xdr:rowOff>
    </xdr:to>
    <xdr:sp macro="" textlink="">
      <xdr:nvSpPr>
        <xdr:cNvPr id="1050" name="Text Box 26" hidden="1">
          <a:extLst>
            <a:ext uri="{FF2B5EF4-FFF2-40B4-BE49-F238E27FC236}">
              <a16:creationId xmlns:a16="http://schemas.microsoft.com/office/drawing/2014/main" id="{B7089566-CCA7-4971-9B16-546964CDA1EA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323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49" name="Text Box 25" hidden="1">
          <a:extLst>
            <a:ext uri="{FF2B5EF4-FFF2-40B4-BE49-F238E27FC236}">
              <a16:creationId xmlns:a16="http://schemas.microsoft.com/office/drawing/2014/main" id="{C203AA1C-A62F-4A46-8864-F0FBBFEB02DE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48" name="Text Box 24" hidden="1">
          <a:extLst>
            <a:ext uri="{FF2B5EF4-FFF2-40B4-BE49-F238E27FC236}">
              <a16:creationId xmlns:a16="http://schemas.microsoft.com/office/drawing/2014/main" id="{086C3498-FE3C-404A-8109-67C6FC3C6EEB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12</xdr:row>
      <xdr:rowOff>9525</xdr:rowOff>
    </xdr:to>
    <xdr:sp macro="" textlink="">
      <xdr:nvSpPr>
        <xdr:cNvPr id="1047" name="Text Box 23" hidden="1">
          <a:extLst>
            <a:ext uri="{FF2B5EF4-FFF2-40B4-BE49-F238E27FC236}">
              <a16:creationId xmlns:a16="http://schemas.microsoft.com/office/drawing/2014/main" id="{711F3474-684D-4E0B-A9EB-280A7BD3CC4D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685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12</xdr:row>
      <xdr:rowOff>9525</xdr:rowOff>
    </xdr:to>
    <xdr:sp macro="" textlink="">
      <xdr:nvSpPr>
        <xdr:cNvPr id="1046" name="Text Box 22" hidden="1">
          <a:extLst>
            <a:ext uri="{FF2B5EF4-FFF2-40B4-BE49-F238E27FC236}">
              <a16:creationId xmlns:a16="http://schemas.microsoft.com/office/drawing/2014/main" id="{BE650A6D-F538-460D-8975-C1669F3F3FF8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685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45" name="Text Box 21" hidden="1">
          <a:extLst>
            <a:ext uri="{FF2B5EF4-FFF2-40B4-BE49-F238E27FC236}">
              <a16:creationId xmlns:a16="http://schemas.microsoft.com/office/drawing/2014/main" id="{FD6E49E9-F499-4679-A78B-4E43326996B5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12</xdr:row>
      <xdr:rowOff>9525</xdr:rowOff>
    </xdr:to>
    <xdr:sp macro="" textlink="">
      <xdr:nvSpPr>
        <xdr:cNvPr id="1044" name="Text Box 20" hidden="1">
          <a:extLst>
            <a:ext uri="{FF2B5EF4-FFF2-40B4-BE49-F238E27FC236}">
              <a16:creationId xmlns:a16="http://schemas.microsoft.com/office/drawing/2014/main" id="{28926EB3-284F-4366-BC75-540335BCD993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685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43" name="Text Box 19" hidden="1">
          <a:extLst>
            <a:ext uri="{FF2B5EF4-FFF2-40B4-BE49-F238E27FC236}">
              <a16:creationId xmlns:a16="http://schemas.microsoft.com/office/drawing/2014/main" id="{6A8EE5BA-A80E-46EF-81A6-C397F4303A42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12</xdr:row>
      <xdr:rowOff>9525</xdr:rowOff>
    </xdr:to>
    <xdr:sp macro="" textlink="">
      <xdr:nvSpPr>
        <xdr:cNvPr id="1042" name="Text Box 18" hidden="1">
          <a:extLst>
            <a:ext uri="{FF2B5EF4-FFF2-40B4-BE49-F238E27FC236}">
              <a16:creationId xmlns:a16="http://schemas.microsoft.com/office/drawing/2014/main" id="{27BB9524-F87E-4A4E-B1A3-9AEA8571C6F0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685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41" name="Text Box 17" hidden="1">
          <a:extLst>
            <a:ext uri="{FF2B5EF4-FFF2-40B4-BE49-F238E27FC236}">
              <a16:creationId xmlns:a16="http://schemas.microsoft.com/office/drawing/2014/main" id="{E422FC7C-F096-4B72-AD91-3A94A02CB706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40" name="Text Box 16" hidden="1">
          <a:extLst>
            <a:ext uri="{FF2B5EF4-FFF2-40B4-BE49-F238E27FC236}">
              <a16:creationId xmlns:a16="http://schemas.microsoft.com/office/drawing/2014/main" id="{6BF9924B-F694-45BE-A1A4-1CB6BC3439CE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39" name="Text Box 15" hidden="1">
          <a:extLst>
            <a:ext uri="{FF2B5EF4-FFF2-40B4-BE49-F238E27FC236}">
              <a16:creationId xmlns:a16="http://schemas.microsoft.com/office/drawing/2014/main" id="{0F1933C9-E87A-4D26-9D0F-5BB7CC6B188E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38" name="Text Box 14" hidden="1">
          <a:extLst>
            <a:ext uri="{FF2B5EF4-FFF2-40B4-BE49-F238E27FC236}">
              <a16:creationId xmlns:a16="http://schemas.microsoft.com/office/drawing/2014/main" id="{B43856C1-6D1E-4072-AA69-6949B5853EB2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37" name="Text Box 13" hidden="1">
          <a:extLst>
            <a:ext uri="{FF2B5EF4-FFF2-40B4-BE49-F238E27FC236}">
              <a16:creationId xmlns:a16="http://schemas.microsoft.com/office/drawing/2014/main" id="{B5CA1177-F8C1-4E0A-AAB1-91A852C078BF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36" name="Text Box 12" hidden="1">
          <a:extLst>
            <a:ext uri="{FF2B5EF4-FFF2-40B4-BE49-F238E27FC236}">
              <a16:creationId xmlns:a16="http://schemas.microsoft.com/office/drawing/2014/main" id="{8F7B590D-FCE5-4E41-AC03-56257B5AC028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11</xdr:row>
      <xdr:rowOff>9525</xdr:rowOff>
    </xdr:to>
    <xdr:sp macro="" textlink="">
      <xdr:nvSpPr>
        <xdr:cNvPr id="1035" name="Text Box 11" hidden="1">
          <a:extLst>
            <a:ext uri="{FF2B5EF4-FFF2-40B4-BE49-F238E27FC236}">
              <a16:creationId xmlns:a16="http://schemas.microsoft.com/office/drawing/2014/main" id="{324531EC-F41A-4976-A582-92F498EF9473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524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34" name="Text Box 10" hidden="1">
          <a:extLst>
            <a:ext uri="{FF2B5EF4-FFF2-40B4-BE49-F238E27FC236}">
              <a16:creationId xmlns:a16="http://schemas.microsoft.com/office/drawing/2014/main" id="{92908860-A9CA-4A45-AE79-0E5D5A0225A9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9</xdr:row>
      <xdr:rowOff>133350</xdr:rowOff>
    </xdr:to>
    <xdr:sp macro="" textlink="">
      <xdr:nvSpPr>
        <xdr:cNvPr id="1033" name="Text Box 9" hidden="1">
          <a:extLst>
            <a:ext uri="{FF2B5EF4-FFF2-40B4-BE49-F238E27FC236}">
              <a16:creationId xmlns:a16="http://schemas.microsoft.com/office/drawing/2014/main" id="{82FBF3E3-CD4F-4632-9D71-C454122729DB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323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12</xdr:row>
      <xdr:rowOff>9525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E45565A3-9652-4CD0-8000-193981A9430C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685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16</xdr:row>
      <xdr:rowOff>9525</xdr:rowOff>
    </xdr:to>
    <xdr:sp macro="" textlink="">
      <xdr:nvSpPr>
        <xdr:cNvPr id="1031" name="Text Box 7" hidden="1">
          <a:extLst>
            <a:ext uri="{FF2B5EF4-FFF2-40B4-BE49-F238E27FC236}">
              <a16:creationId xmlns:a16="http://schemas.microsoft.com/office/drawing/2014/main" id="{7D403883-BDA5-4B9A-9A4A-04703B5087D6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23336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D2861AE1-16BD-4FDE-8A0E-B85A036A6D22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835545F4-C35C-4160-8C31-2F694C4057F0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558478A2-0D76-44B8-A19C-3E9751363C41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9</xdr:row>
      <xdr:rowOff>133350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649162AB-9DE1-49EB-99D2-DB609E8EB669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323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7</xdr:row>
      <xdr:rowOff>66675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A6E01FA0-B98F-4196-AAED-6F33BA068E31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933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2238375</xdr:colOff>
      <xdr:row>1</xdr:row>
      <xdr:rowOff>133350</xdr:rowOff>
    </xdr:from>
    <xdr:to>
      <xdr:col>3</xdr:col>
      <xdr:colOff>1409700</xdr:colOff>
      <xdr:row>11</xdr:row>
      <xdr:rowOff>9525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3F5C0AA4-C436-44B1-ABE2-05525294D7FE}"/>
            </a:ext>
          </a:extLst>
        </xdr:cNvPr>
        <xdr:cNvSpPr txBox="1">
          <a:spLocks noChangeArrowheads="1"/>
        </xdr:cNvSpPr>
      </xdr:nvSpPr>
      <xdr:spPr bwMode="auto">
        <a:xfrm>
          <a:off x="2238375" y="323850"/>
          <a:ext cx="8077200" cy="1524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Dedan Githinji" id="{d708ee8a-b8ff-4eae-99d3-15f83502a221}" providerId="google-sheets"/>
  <x18tc:person displayName="BRIAN KIPROTICH KORIR CT101/G/12465/21" id="{56e145ec-65c4-4893-b7d1-e9d7a6d9ee4e}" providerId="google-sheets"/>
  <x18tc:person displayName="BENARD AMULUNDU PA102/G/12287/21" id="{ae47469a-e245-432b-8834-fca6c5fca48a}" providerId="google-sheets"/>
  <x18tc:person displayName="James" id="{f1a4c799-d430-4bc1-addd-91d2f2896dd2}" providerId="google-sheets"/>
  <x18tc:person displayName="KIGATHI DENNIS MUROKI CT101/G/12442/21" id="{9803f94b-9361-41d1-870a-35705ee9c81f}" providerId="google-sheets"/>
  <x18tc:person displayName="Kipchumba Kelvin PA106/G/17541/22" id="{9ba05e68-c0da-45b0-8c5a-0179a6533b89}" providerId="google-sheets"/>
  <x18tc:person displayName="MUTAKHA IDA AMAKOVE CT101/G/12448/21" id="{f21b2f1c-db8f-40a1-9709-ba6680c1553f}" providerId="google-sheets"/>
  <x18tc:person displayName="Sarah Kigotho" id="{6931eab9-cfd7-445d-81a9-2a27f00cec0e}" providerId="google-sheets"/>
  <x18tc:person displayName="MUGIRA SHALON KATHAMBI CT101/G/17750/22" id="{e4211502-17d6-4f1c-9142-5e40935ff674}" providerId="google-sheets"/>
  <x18tc:person displayName="Billy Muchiri" id="{bb922ffb-2b86-4f50-a314-0a77678cc5c2}" providerId="google-sheets"/>
  <x18tc:person displayName="SHIMONYO SHIVACHI BRANDON CT100/G/14143/21" id="{e3ecb504-25ab-4a81-9aaf-5de9a51607ca}" providerId="google-sheets"/>
  <x18tc:person displayName="Aggrey Ouko" id="{0e69139e-ff6d-49bb-b789-1dc179f5ff3c}" providerId="google-sheets"/>
  <x18tc:person displayName="MUKATI VIVIAN NAWIRE PA109/G/14498/21" id="{1979b893-0b6b-4fca-98a6-bb8cc1aa5a08}" providerId="google-sheets"/>
  <x18tc:person displayName="Atuke Dominic" id="{392e7d97-7ab9-4ecc-8710-2687be84b974}" providerId="google-sheets"/>
  <x18tc:person displayName="Mstafa Ngala" id="{1c2651ff-72b2-4fa6-8031-59b68f3440cf}" providerId="google-sheets"/>
  <x18tc:person displayName="Musa Kamau PA106/G/17532/22" id="{52bbbed9-5050-4ce8-b78a-6b8b596b53f6}" providerId="google-sheets"/>
  <x18tc:person displayName="KELVIN GITHINJI CT102/G/8718/20" id="{3c3be165-55db-4961-957f-25cb25034911}" providerId="google-sheets"/>
  <x18tc:person displayName="KIBET SOSTHEN PA106/G/15037/21" id="{737c38cb-34ab-4870-b463-2abddec0032d}" providerId="google-sheets"/>
  <x18tc:person displayName="KIMOTHO VALENTINE WANJIRU PA100/G/9181/20" id="{a00feacb-7b4c-4488-8a4e-25d1c555d431}" providerId="google-sheets"/>
  <x18tc:person displayName="Brian Cheruiyot" id="{defd31de-e3ff-4978-b8ad-12df47ce3b39}" providerId="google-sheets"/>
  <x18tc:person displayName="ONGONG'I A VALLARY PA100/G/11339/20" id="{b52e6a6c-edce-4e24-8fa5-385366b892fa}" providerId="google-sheets"/>
  <x18tc:person displayName="JUMA S IAN CT101/G/12477/21" id="{f46fa437-2972-4f0e-9949-49af3b865abe}" providerId="google-sheets"/>
  <x18tc:person displayName="KARANJA CINDY NYOKABI PA102/G/12219/21" id="{c6711130-2fc0-4385-b42e-6a2ee3fef19b}" providerId="google-sheets"/>
  <x18tc:person displayName="Leshy B" id="{e394dcf6-8e4e-4c65-9349-7f46c402127e}" providerId="google-sheets"/>
  <x18tc:person displayName="JUMA EDWIN OMONDI PA100/G/13416/21" id="{168eb2ac-d067-424c-a2e5-7991fb7f61bb}" providerId="google-sheets"/>
  <x18tc:person displayName="KIBE EMMANUEL MUHAMI PA101/G/14355/21" id="{30e5d032-62a8-405c-b1f6-23514f1509a7}" providerId="google-sheets"/>
  <x18tc:person displayName="Felix Mutugi" id="{38089ba7-96af-4873-8119-d0d7767c5ebc}" providerId="google-sheets"/>
  <x18tc:person displayName="AKECH VILLY DERRICKS BE109/G/11531/20" id="{f33b8481-a320-411a-aeed-3121b551e901}" providerId="google-sheets"/>
  <x18tc:person displayName="Kibet Rono Sosthene" id="{9fb1dc17-fc71-46cb-adf3-46774753cb79}" providerId="google-sheets"/>
  <x18tc:person displayName="Antony Kimengei" id="{988d66ec-1ac1-4559-ba89-f125014f3871}" providerId="google-sheets"/>
  <x18tc:person displayName="NATHAN TREVOR WEKESA PA100/G/13440/21" id="{59cbcc95-34fc-4503-8ca9-07d9af1083fa}" providerId="google-sheets"/>
  <x18tc:person displayName="Maryanne Waburi" id="{6f1c16b0-84ca-431c-bbab-0883e23cfe71}" providerId="google-sheets"/>
  <x18tc:person displayName="KINYUA VICTOR M KARANI BE100/G/12681/21" id="{40affa0e-c440-4805-a2b7-472f53293a77}" providerId="google-sheets"/>
  <x18tc:person displayName="Tommas Wanjala" id="{b7d41c49-93aa-449e-afec-14b4cba58b4a}" providerId="google-sheets"/>
  <x18tc:person displayName="MWANGI KABERI MOSES CT100/G/14102/21" id="{46dca36d-9543-42b8-9e0a-779a4b6a8d31}" providerId="google-sheets"/>
  <x18tc:person displayName="NDIBA JOHN GITONGA CT100/G/14113/21" id="{601e4a14-a435-4e69-bc2e-b73c53380f2d}" providerId="google-sheets"/>
  <x18tc:person displayName="Michael Mbute" id="{7580c371-4f9c-4062-ac92-edb899fce81d}" providerId="google-sheets"/>
  <x18tc:person displayName="Hussein Mgana" id="{fc0df946-7009-453b-9b77-5bb4a45d34e6}" providerId="google-sheets"/>
  <x18tc:person displayName="EDWIN OTWORI ISAAC CT102/G/13858/21" id="{59f62772-63a8-419b-809c-d5fc17e19fb8}" providerId="google-sheets"/>
  <x18tc:person displayName="Paul Njujuna" id="{ab396dfb-067b-464d-b8db-6f857e4d1e28}" providerId="google-sheets"/>
  <x18tc:person displayName="GACHOKI BENSON MAINA CT100/G/14044/21" id="{2f0c5bbd-7dab-45b4-a804-ca81bab9235f}" providerId="google-sheets"/>
  <x18tc:person displayName="Ndungu Phineas PA106/G/17490/22" id="{c327caba-24d9-4ab0-b28a-41b178826545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05-28T06:39:22.00" personId="{f21b2f1c-db8f-40a1-9709-ba6680c1553f}" id="{80141f11-2de6-4afe-ab12-b918fc9a8db4}" done="0">
    <x18tc:text xml:space="preserve">Ida Amakove Mutakha 
CT101/G/12448/21
BSC COMPUTER SCIENCE 
+254797958895
United States International University 
Moses shiyuka
Nairobi 
0730116690</x18tc:text>
  </x18tc:threadedComment>
  <x18tc:threadedComment ref="A1" dT="2024-06-09T13:20:17.00" personId="{9803f94b-9361-41d1-870a-35705ee9c81f}" id="{8f997763-9d3d-49b5-be53-788f602b3ead}" done="0">
    <x18tc:text xml:space="preserve">Kigathi Dennis Muroki 
 CT101/G/12442/21
Bsc Computer Science 
758501493
Power Learn Project 
info@powerlearnproject.org</x18tc:text>
  </x18tc:threadedComment>
  <x18tc:threadedComment ref="A1" dT="2024-05-28T13:40:05.00" personId="{c6711130-2fc0-4385-b42e-6a2ee3fef19b}" id="{9a8a253f-f23e-4864-9349-5c8d6f7cdfda}" done="0">
    <x18tc:text xml:space="preserve">Cindy karanja
Pa102/g/12219/21
BAS</x18tc:text>
  </x18tc:threadedComment>
  <x18tc:threadedComment ref="A1" dT="2024-05-24T05:49:26.00" personId="{c327caba-24d9-4ab0-b28a-41b178826545}" id="{393524e1-e146-4a10-a7be-af14319e20ae}" done="0">
    <x18tc:text xml:space="preserve">Phinea</x18tc:text>
  </x18tc:threadedComment>
  <x18tc:threadedComment ref="A1" dT="2024-05-23T15:02:32.00" personId="{52bbbed9-5050-4ce8-b78a-6b8b596b53f6}" id="{5b4f7fd0-68e3-44a8-af5a-f6edc3f10cf8}" done="0">
    <x18tc:text xml:space="preserve">Musa kamau</x18tc:text>
  </x18tc:threadedComment>
  <x18tc:threadedComment ref="A1" dT="2024-05-24T07:29:32.00" personId="{59cbcc95-34fc-4503-8ca9-07d9af1083fa}" id="{7b08d651-aca2-403c-a3b0-b5baa4a95201}" done="0">
    <x18tc:text xml:space="preserve">COUNTY GOVERNMENT OF BUNGOMA</x18tc:text>
  </x18tc:threadedComment>
  <x18tc:threadedComment ref="A1" dT="2024-06-01T08:39:20.00" personId="{6f1c16b0-84ca-431c-bbab-0883e23cfe71}" id="{6e1564c0-de1d-48fe-8153-f526b5e3e2b9}" done="0">
    <x18tc:text xml:space="preserve">Waburi Michael Njuguna
CT101/G/16056/22
Bsc Computer science 
742138041
Nanyuki water and sewerage co.ltd</x18tc:text>
  </x18tc:threadedComment>
  <x18tc:threadedComment ref="A1" dT="2024-05-24T07:29:07.00" personId="{59cbcc95-34fc-4503-8ca9-07d9af1083fa}" id="{28e137ba-2fe8-41a7-b68c-ec23fedc2840}" done="0">
    <x18tc:text xml:space="preserve">791858089</x18tc:text>
  </x18tc:threadedComment>
  <x18tc:threadedComment ref="A1" dT="2024-06-07T12:41:39.00" personId="{f46fa437-2972-4f0e-9949-49af3b865abe}" id="{b39f780a-0153-464a-981d-5586babbb99b}" done="0">
    <x18tc:text xml:space="preserve">Juma s Ian</x18tc:text>
  </x18tc:threadedComment>
  <x18tc:threadedComment ref="A1" dT="2024-06-05T19:40:23.00" personId="{38089ba7-96af-4873-8119-d0d7767c5ebc}" id="{e85db514-f407-47f2-bb08-5c47b59464f8}" done="0">
    <x18tc:text xml:space="preserve">FELIX MUTUGI KINYUA</x18tc:text>
  </x18tc:threadedComment>
  <x18tc:threadedComment ref="A1" dT="2024-05-29T08:43:56.00" personId="{7580c371-4f9c-4062-ac92-edb899fce81d}" id="{78ab4045-46f7-4659-9151-0b2b3f7cef1b}" done="0">
    <x18tc:text xml:space="preserve">Michael Kinyua
PA106/G/14953/21
Bsc. Software Engineering
Masyopnet Technologies</x18tc:text>
  </x18tc:threadedComment>
  <x18tc:threadedComment ref="A1" dT="2024-05-24T07:29:48.00" personId="{59cbcc95-34fc-4503-8ca9-07d9af1083fa}" id="{c54fc463-a7e2-421c-a6d0-b7b758f029f9}" done="0">
    <x18tc:text xml:space="preserve">Mr. Calvin</x18tc:text>
  </x18tc:threadedComment>
  <x18tc:threadedComment ref="A1" dT="2024-05-27T21:40:06.00" personId="{737c38cb-34ab-4870-b463-2abddec0032d}" id="{20f40eca-1fd5-4097-b2f1-f2b5b9212390}" done="1">
    <x18tc:text xml:space="preserve">Kibet Sosthen</x18tc:text>
  </x18tc:threadedComment>
  <x18tc:threadedComment ref="A1" dT="2024-05-25T06:22:12.00" personId="{bb922ffb-2b86-4f50-a314-0a77678cc5c2}" id="{b905919f-b2c6-4ed8-8712-863af60ae0da}" done="0">
    <x18tc:text xml:space="preserve">Billy Kugwa  ct100/g/15913/22 Bsc Information Technology 0110040894</x18tc:text>
  </x18tc:threadedComment>
  <x18tc:threadedComment ref="A1" dT="2024-05-22T15:51:14.00" personId="{fc0df946-7009-453b-9b77-5bb4a45d34e6}" id="{4a157e49-f926-4ca8-a9b3-8aade23319f5}" done="0">
    <x18tc:text xml:space="preserve">Hsh</x18tc:text>
  </x18tc:threadedComment>
  <x18tc:threadedComment ref="A1" dT="2024-05-22T16:49:11.00" personId="{ab396dfb-067b-464d-b8db-6f857e4d1e28}" id="{238cb93b-d38e-4a0b-98cf-7fd4d5abeb21}" parentId="{4a157e49-f926-4ca8-a9b3-8aade23319f5}">
    <x18tc:text xml:space="preserve">Marked as resolved</x18tc:text>
  </x18tc:threadedComment>
  <x18tc:threadedComment ref="A1" dT="2024-05-23T05:47:37.00" personId="{1979b893-0b6b-4fca-98a6-bb8cc1aa5a08}" id="{74ed820f-9408-433f-b156-4a051031e96d}" parentId="{4a157e49-f926-4ca8-a9b3-8aade23319f5}">
    <x18tc:text xml:space="preserve">Re-opened</x18tc:text>
  </x18tc:threadedComment>
  <x18tc:threadedComment ref="A1" dT="2024-05-23T05:47:55.00" personId="{1979b893-0b6b-4fca-98a6-bb8cc1aa5a08}" id="{03fe734c-809c-42de-9ffa-4e8cf2367c29}" parentId="{4a157e49-f926-4ca8-a9b3-8aade23319f5}">
    <x18tc:text xml:space="preserve">Marked as resolved</x18tc:text>
  </x18tc:threadedComment>
  <x18tc:threadedComment ref="A1" dT="2024-05-23T05:47:59.00" personId="{1979b893-0b6b-4fca-98a6-bb8cc1aa5a08}" id="{f227559c-4ba1-4271-8c5a-5ded5fe21a61}" parentId="{4a157e49-f926-4ca8-a9b3-8aade23319f5}">
    <x18tc:text xml:space="preserve">Re-opened</x18tc:text>
  </x18tc:threadedComment>
  <x18tc:threadedComment ref="A1" dT="2024-05-23T09:10:15.00" personId="{1979b893-0b6b-4fca-98a6-bb8cc1aa5a08}" id="{9290f0e5-6848-4e25-9809-63f6125005ae}" parentId="{4a157e49-f926-4ca8-a9b3-8aade23319f5}">
    <x18tc:text xml:space="preserve">Marked as resolved</x18tc:text>
  </x18tc:threadedComment>
  <x18tc:threadedComment ref="A1" dT="2024-05-23T09:10:19.00" personId="{1979b893-0b6b-4fca-98a6-bb8cc1aa5a08}" id="{685c3b0b-270e-4b5a-a511-1c718d0d2c8d}" parentId="{4a157e49-f926-4ca8-a9b3-8aade23319f5}">
    <x18tc:text xml:space="preserve">Re-opened</x18tc:text>
  </x18tc:threadedComment>
  <x18tc:threadedComment ref="A1" dT="2024-05-23T09:10:21.00" personId="{1979b893-0b6b-4fca-98a6-bb8cc1aa5a08}" id="{e965a94c-0f5c-49e0-9d3b-5d86376c05e6}" parentId="{4a157e49-f926-4ca8-a9b3-8aade23319f5}">
    <x18tc:text xml:space="preserve">Marked as resolved</x18tc:text>
  </x18tc:threadedComment>
  <x18tc:threadedComment ref="A1" dT="2024-06-10T06:41:28.00" personId="{d708ee8a-b8ff-4eae-99d3-15f83502a221}" id="{8a273223-86e4-488e-a3c6-0ff1d95ed344}" parentId="{4a157e49-f926-4ca8-a9b3-8aade23319f5}">
    <x18tc:text xml:space="preserve">Re-opened</x18tc:text>
  </x18tc:threadedComment>
  <x18tc:threadedComment ref="A1" dT="2024-05-28T08:09:07.00" personId="{a00feacb-7b4c-4488-8a4e-25d1c555d431}" id="{c71e8fd2-98ce-411c-ae33-4e0bc953c999}" done="0">
    <x18tc:text xml:space="preserve">Valentine Wanjiru Kimotho 
PA100/G/9181/20
Bsc Statistics 
KALRO Kabete</x18tc:text>
  </x18tc:threadedComment>
  <x18tc:threadedComment ref="A1" dT="2024-05-23T17:20:30.00" personId="{40affa0e-c440-4805-a2b7-472f53293a77}" id="{5628eccb-23b8-4849-a222-123c320ec718}" done="0">
    <x18tc:text xml:space="preserve">Victor Kinyua CT100/G/12681/21 BSc Information Technology 0113205456 Murang'a university</x18tc:text>
  </x18tc:threadedComment>
  <x18tc:threadedComment ref="A1" dT="2024-05-27T14:02:47.00" personId="{46dca36d-9543-42b8-9e0a-779a4b6a8d31}" id="{8a26fb26-e903-4b9c-b376-edf32fc1178d}" done="0">
    <x18tc:text xml:space="preserve">Mwangi kaberi moses</x18tc:text>
  </x18tc:threadedComment>
  <x18tc:threadedComment ref="A1" dT="2024-05-28T18:53:25.00" personId="{56e145ec-65c4-4893-b7d1-e9d7a6d9ee4e}" id="{b52957b9-85e0-4c29-9300-fc9d433858c7}" done="1">
    <x18tc:text xml:space="preserve">BRIAN KIPROTICH KORIR 
CT101/G/12465/21
BSC COMPUTER SCIENCE 
0758451438
EMURUA DIKIRR SUB COUNTY</x18tc:text>
  </x18tc:threadedComment>
  <x18tc:threadedComment ref="A1" dT="2024-05-24T07:16:23.00" personId="{59cbcc95-34fc-4503-8ca9-07d9af1083fa}" id="{6c0c464e-63b6-4899-9c52-72cc809db3c9}" done="0">
    <x18tc:text xml:space="preserve">0791858089</x18tc:text>
  </x18tc:threadedComment>
  <x18tc:threadedComment ref="A1" dT="2024-05-23T13:12:52.00" personId="{6931eab9-cfd7-445d-81a9-2a27f00cec0e}" id="{0c7a1fb5-6075-430f-bb2f-a2e21cd32b1a}" done="1">
    <x18tc:text xml:space="preserve">Xxxx</x18tc:text>
  </x18tc:threadedComment>
  <x18tc:threadedComment ref="A1" dT="2024-05-24T07:15:54.00" personId="{59cbcc95-34fc-4503-8ca9-07d9af1083fa}" id="{8c2dbad8-d48a-4331-9505-293fe7ce275c}" done="1">
    <x18tc:text xml:space="preserve">Bst Statistics</x18tc:text>
  </x18tc:threadedComment>
  <x18tc:threadedComment ref="A1" dT="2024-05-28T18:57:23.00" personId="{56e145ec-65c4-4893-b7d1-e9d7a6d9ee4e}" id="{aa994160-dda2-43e7-bf44-0aa4c4e4910b}" done="0">
    <x18tc:text xml:space="preserve">BRIAN KIPROTICH KORIR 
CT101/G/12465/21
BSC COMPUTER SCIENCE 
0758451438
EMURUA DIKIRR SUB COUNTY.</x18tc:text>
  </x18tc:threadedComment>
  <x18tc:threadedComment ref="A1" dT="2024-06-19T12:46:07.00" personId="{0e69139e-ff6d-49bb-b789-1dc179f5ff3c}" id="{5559bb4d-c861-4531-b32c-139e6e214b79}" done="0">
    <x18tc:text xml:space="preserve">Aggrey Omondi ouko</x18tc:text>
  </x18tc:threadedComment>
  <x18tc:threadedComment ref="A1" dT="2024-05-29T07:57:54.00" personId="{ae47469a-e245-432b-8834-fca6c5fca48a}" id="{af0f3e9c-ea1a-42fe-815f-549c581a95fa}" done="0">
    <x18tc:text xml:space="preserve">Benard Amulundu 
PA102/G/12287/21
BSC ACTUARIAL SCIENCE
0748901614
WATER WORKS KAKAMEGA COUNTY (KACWASCO)</x18tc:text>
  </x18tc:threadedComment>
  <x18tc:threadedComment ref="A1" dT="2024-05-24T07:16:49.00" personId="{59cbcc95-34fc-4503-8ca9-07d9af1083fa}" id="{65897b71-a24b-407a-9c25-645086993fae}" done="0">
    <x18tc:text xml:space="preserve">COUNTY GOVERNMENT OF BUNGOMA</x18tc:text>
  </x18tc:threadedComment>
  <x18tc:threadedComment ref="A1" dT="2024-05-28T13:23:17.00" personId="{9ba05e68-c0da-45b0-8c5a-0179a6533b89}" id="{810626ee-6a1f-4672-99d0-6130597d2aab}" done="0">
    <x18tc:text xml:space="preserve">Kelvin kipchumba 
Pa106/g/17541/22
Bsc software engineering 
Ollessos technical training institute 
0113890995</x18tc:text>
  </x18tc:threadedComment>
  <x18tc:threadedComment ref="A1" dT="2024-05-27T21:23:29.00" personId="{737c38cb-34ab-4870-b463-2abddec0032d}" id="{b6bd89a3-acd6-410a-b58f-79b3f7da86f5}" done="0">
    <x18tc:text xml:space="preserve">John Kiprono</x18tc:text>
  </x18tc:threadedComment>
  <x18tc:threadedComment ref="A1" dT="2024-05-27T09:51:20.00" personId="{b7d41c49-93aa-449e-afec-14b4cba58b4a}" id="{5f75527b-087e-452c-9607-984ca3a3628c}" done="0">
    <x18tc:text xml:space="preserve">JAIRO MURAVWA MEIGE</x18tc:text>
  </x18tc:threadedComment>
  <x18tc:threadedComment ref="A1" dT="2024-05-24T07:30:27.00" personId="{59cbcc95-34fc-4503-8ca9-07d9af1083fa}" id="{e862b328-feba-4231-be7a-59b355f8632c}" done="0">
    <x18tc:text xml:space="preserve">0725393939</x18tc:text>
  </x18tc:threadedComment>
  <x18tc:threadedComment ref="A1" dT="2024-05-27T21:23:52.00" personId="{737c38cb-34ab-4870-b463-2abddec0032d}" id="{70a21376-7356-47d7-896f-ae00a2773367}" done="0">
    <x18tc:text xml:space="preserve">Kericho</x18tc:text>
  </x18tc:threadedComment>
  <x18tc:threadedComment ref="A1" dT="2024-05-27T09:41:38.00" personId="{e3ecb504-25ab-4a81-9aaf-5de9a51607ca}" id="{ecddff5a-4926-4102-af85-7f5daa6bb291}" done="0">
    <x18tc:text xml:space="preserve">Brandon shivachi Shimonyo CT100 /G /14143 /21 BSc in information technology 
Probation and aftercare services, Nairobi 
0745110764</x18tc:text>
  </x18tc:threadedComment>
  <x18tc:threadedComment ref="A1" dT="2024-05-24T07:30:07.00" personId="{59cbcc95-34fc-4503-8ca9-07d9af1083fa}" id="{9d42eaa8-efd0-405a-ae08-45399eb0edab}" done="0">
    <x18tc:text xml:space="preserve">Bungoma town</x18tc:text>
  </x18tc:threadedComment>
  <x18tc:threadedComment ref="A1" dT="2024-05-24T07:27:22.00" personId="{59cbcc95-34fc-4503-8ca9-07d9af1083fa}" id="{5bfb33c2-62a5-44d6-918e-ee308f80b324}" done="0">
    <x18tc:text xml:space="preserve">791858089</x18tc:text>
  </x18tc:threadedComment>
  <x18tc:threadedComment ref="A1" dT="2024-05-27T21:22:23.00" personId="{737c38cb-34ab-4870-b463-2abddec0032d}" id="{f3fa511a-5fe4-4408-919f-99fb938cf7d1}" done="0">
    <x18tc:text xml:space="preserve">0113529242</x18tc:text>
  </x18tc:threadedComment>
  <x18tc:threadedComment ref="A1" dT="2024-05-24T07:26:46.00" personId="{59cbcc95-34fc-4503-8ca9-07d9af1083fa}" id="{abd4454b-bd0c-4929-95db-20868644ea6e}" done="0">
    <x18tc:text xml:space="preserve">Bst Statistics</x18tc:text>
  </x18tc:threadedComment>
  <x18tc:threadedComment ref="A1" dT="2024-05-27T20:07:47.00" personId="{737c38cb-34ab-4870-b463-2abddec0032d}" id="{f5666aa1-7db7-4af9-bfda-f3815aede52e}" done="1">
    <x18tc:text xml:space="preserve">Kibet Sosthen
PA106/G/15037/21
BSc Software Engineering
0113529242</x18tc:text>
  </x18tc:threadedComment>
  <x18tc:threadedComment ref="A1" dT="2024-05-27T21:23:02.00" personId="{737c38cb-34ab-4870-b463-2abddec0032d}" id="{0f73d79e-6e86-41ff-85fc-a0c3d7c6f861}" done="0">
    <x18tc:text xml:space="preserve">Litein Tea Factory Company</x18tc:text>
  </x18tc:threadedComment>
  <x18tc:threadedComment ref="A1" dT="2024-05-22T16:51:12.00" personId="{ab396dfb-067b-464d-b8db-6f857e4d1e28}" id="{4fa0df23-c49a-4c53-b961-74b0b02f397f}" done="0">
    <x18tc:text xml:space="preserve">filled</x18tc:text>
  </x18tc:threadedComment>
  <x18tc:threadedComment ref="A1" dT="2024-05-24T07:30:43.00" personId="{59cbcc95-34fc-4503-8ca9-07d9af1083fa}" id="{50e99987-5cd5-478b-bebb-5498054b0054}" done="0">
    <x18tc:text xml:space="preserve">bungomacountygovt@gmail.com</x18tc:text>
  </x18tc:threadedComment>
  <x18tc:threadedComment ref="A1" dT="2024-05-27T21:24:14.00" personId="{737c38cb-34ab-4870-b463-2abddec0032d}" id="{c57882f7-9260-456a-a2a5-d85e68a3f998}" done="0">
    <x18tc:text xml:space="preserve">0726483606</x18tc:text>
  </x18tc:threadedComment>
  <x18tc:threadedComment ref="A1" dT="2024-05-24T07:28:52.00" personId="{59cbcc95-34fc-4503-8ca9-07d9af1083fa}" id="{0000d192-69d6-413b-9c99-1093eedb1afb}" done="0">
    <x18tc:text xml:space="preserve">Bst Statistics</x18tc:text>
  </x18tc:threadedComment>
  <x18tc:threadedComment ref="A1" dT="2024-05-28T14:22:31.00" personId="{f1a4c799-d430-4bc1-addd-91d2f2896dd2}" id="{e7756d75-20d8-4042-a322-f0c8c52667ad}" done="0">
    <x18tc:text xml:space="preserve">Okiru James 
PA101/G/14425/21
MATHEMATICS AND COMPUTER SCIENCE 
+254707962205
FROBA MEDIA 
OKETCH FRED 
MURANG'A 
0710782151
fredbarasa40@yahoo.com</x18tc:text>
  </x18tc:threadedComment>
  <x18tc:threadedComment ref="A1" dT="2024-05-25T18:02:00.00" personId="{392e7d97-7ab9-4ecc-8710-2687be84b974}" id="{0884b520-30b3-4e54-98db-a94dfc90d386}" done="0">
    <x18tc:text xml:space="preserve">Atuke Dominic pa101/g/14428/21 Bmc</x18tc:text>
  </x18tc:threadedComment>
  <x18tc:threadedComment ref="A1" dT="2024-05-27T21:28:21.00" personId="{9fb1dc17-fc71-46cb-adf3-46774753cb79}" id="{a570963f-6388-4bb1-b98e-bf41d25b1712}" done="0">
    <x18tc:text xml:space="preserve">info@litein.ktdateas.com</x18tc:text>
  </x18tc:threadedComment>
  <x18tc:threadedComment ref="A1" dT="2024-05-23T15:48:14.00" personId="{e394dcf6-8e4e-4c65-9349-7f46c402127e}" id="{2f6b7df1-d487-43c8-8fda-c867e20a5699}" done="0">
    <x18tc:text xml:space="preserve">Omwega Leon Nyabuto PA106/G/17576/22</x18tc:text>
  </x18tc:threadedComment>
  <x18tc:threadedComment ref="A1" dT="2024-06-18T08:43:15.00" personId="{defd31de-e3ff-4978-b8ad-12df47ce3b39}" id="{6ccbde9c-a624-4635-9bd4-0910e8274276}" done="0">
    <x18tc:text xml:space="preserve">PA106/G/15011/21</x18tc:text>
  </x18tc:threadedComment>
  <x18tc:threadedComment ref="A1" dT="2024-05-24T07:18:21.00" personId="{59cbcc95-34fc-4503-8ca9-07d9af1083fa}" id="{11956538-f083-4e51-928e-35f5fe048ff4}" done="0">
    <x18tc:text xml:space="preserve">Bungoma town</x18tc:text>
  </x18tc:threadedComment>
  <x18tc:threadedComment ref="A1" dT="2024-05-24T05:59:17.00" personId="{1c2651ff-72b2-4fa6-8031-59b68f3440cf}" id="{8ed1f336-a641-47af-903c-7fe4f6d109e3}" done="0">
    <x18tc:text xml:space="preserve">Mstafa Mohamed</x18tc:text>
  </x18tc:threadedComment>
  <x18tc:threadedComment ref="A1" dT="2024-05-27T17:07:35.00" personId="{2f0c5bbd-7dab-45b4-a804-ca81bab9235f}" id="{52a52699-695e-460a-b3d7-c85922a9cda1}" done="0">
    <x18tc:text xml:space="preserve">Gachoki Benson maina
Ct100/G/14044/21
Bsc IT
0799054755
Bainanga construction limited</x18tc:text>
  </x18tc:threadedComment>
  <x18tc:threadedComment ref="A1" dT="2024-05-24T07:18:05.00" personId="{59cbcc95-34fc-4503-8ca9-07d9af1083fa}" id="{03a3edf8-4ce1-42d7-94d4-a1d38be9a0b3}" done="0">
    <x18tc:text xml:space="preserve">Mr Calvin</x18tc:text>
  </x18tc:threadedComment>
  <x18tc:threadedComment ref="A1" dT="2024-05-24T09:59:33.00" personId="{b52e6a6c-edce-4e24-8fa5-385366b892fa}" id="{0f10432d-1a33-4a3b-a100-c8a527b97c40}" done="0">
    <x18tc:text xml:space="preserve">Ongongi A Vallary.              PA100/G/11339/20.       BSC Statistics.             798317004.               National Hospital Insurance Fund.             Gumba Amolo.  Kakamega-Mumias.          mumias@nhif.or.ke</x18tc:text>
  </x18tc:threadedComment>
  <x18tc:threadedComment ref="A1" dT="2024-05-28T19:44:49.00" personId="{601e4a14-a435-4e69-bc2e-b73c53380f2d}" id="{45651c63-eef2-4d7f-b856-d586d4029f92}" done="0">
    <x18tc:text xml:space="preserve">John gitonga ndiba
Ct100/g/14113/21
BSc information technology
ICT subukia vocational training center</x18tc:text>
  </x18tc:threadedComment>
  <x18tc:threadedComment ref="A1" dT="2024-05-28T19:46:44.00" personId="{601e4a14-a435-4e69-bc2e-b73c53380f2d}" id="{dec0e79c-74c4-451c-a074-89dc12678e17}" parentId="{45651c63-eef2-4d7f-b856-d586d4029f92}">
    <x18tc:text xml:space="preserve">0740534441</x18tc:text>
  </x18tc:threadedComment>
  <x18tc:threadedComment ref="A1" dT="2024-05-24T07:21:21.00" personId="{59cbcc95-34fc-4503-8ca9-07d9af1083fa}" id="{1b14b414-3ebb-4c1d-869b-67bf597d96f0}" done="0">
    <x18tc:text xml:space="preserve">bungomacountygovt@gmail.com</x18tc:text>
  </x18tc:threadedComment>
  <x18tc:threadedComment ref="A1" dT="2024-05-22T08:38:55.00" personId="{f33b8481-a320-411a-aeed-3121b551e901}" id="{640b31c8-fde0-4423-9bd7-3a22eb6faaaa}" done="0">
    <x18tc:text xml:space="preserve">PA106/G/11531/20</x18tc:text>
  </x18tc:threadedComment>
  <x18tc:threadedComment ref="A1" dT="2024-05-22T17:43:52.00" personId="{168eb2ac-d067-424c-a2e5-7991fb7f61bb}" id="{77ea9dee-5d4f-4f40-b14b-319b364b2580}" parentId="{640b31c8-fde0-4423-9bd7-3a22eb6faaaa}">
    <x18tc:text xml:space="preserve">Marked as resolved</x18tc:text>
  </x18tc:threadedComment>
  <x18tc:threadedComment ref="A1" dT="2024-05-22T17:43:55.00" personId="{168eb2ac-d067-424c-a2e5-7991fb7f61bb}" id="{d1599012-f92c-4c34-aabf-0a148edebec0}" parentId="{640b31c8-fde0-4423-9bd7-3a22eb6faaaa}">
    <x18tc:text xml:space="preserve">Re-opened</x18tc:text>
  </x18tc:threadedComment>
  <x18tc:threadedComment ref="A1" dT="2024-05-24T07:20:22.00" personId="{59cbcc95-34fc-4503-8ca9-07d9af1083fa}" id="{83e4a517-2342-421c-a5ec-68c22049f65a}" done="0">
    <x18tc:text xml:space="preserve">725393939</x18tc:text>
  </x18tc:threadedComment>
  <x18tc:threadedComment ref="A1" dT="2024-05-24T07:11:23.00" personId="{59cbcc95-34fc-4503-8ca9-07d9af1083fa}" id="{d2a19276-088c-4eb4-94d1-76926db3618e}" done="1">
    <x18tc:text xml:space="preserve">Nathan Trevor</x18tc:text>
  </x18tc:threadedComment>
  <x18tc:threadedComment ref="A1" dT="2024-05-24T07:13:29.00" personId="{59cbcc95-34fc-4503-8ca9-07d9af1083fa}" id="{830c3dac-c0e2-49ad-9051-d0c9a3d63813}" parentId="{d2a19276-088c-4eb4-94d1-76926db3618e}">
    <x18tc:text xml:space="preserve">Bst statistics</x18tc:text>
  </x18tc:threadedComment>
  <x18tc:threadedComment ref="A1" dT="2024-05-27T21:19:07.00" personId="{737c38cb-34ab-4870-b463-2abddec0032d}" id="{c6cfacba-1d59-4d01-b1d6-69bbea944e51}" done="1">
    <x18tc:text xml:space="preserve">Kibet Sosthen</x18tc:text>
  </x18tc:threadedComment>
  <x18tc:threadedComment ref="A1" dT="2024-05-24T07:25:26.00" personId="{59cbcc95-34fc-4503-8ca9-07d9af1083fa}" id="{cc14a959-84c1-4d44-a1f7-486298e5d219}" done="0">
    <x18tc:text xml:space="preserve">Nathan Trevor</x18tc:text>
  </x18tc:threadedComment>
  <x18tc:threadedComment ref="A1" dT="2024-05-29T08:55:22.00" personId="{988d66ec-1ac1-4559-ba89-f125014f3871}" id="{abb31824-3d97-4a2b-abdd-b469e23f52c2}" done="1">
    <x18tc:text xml:space="preserve">Antony mutie kimengei
CT101/G/12415/21
COMPUTER SCIENCE 
DELAVIVE MRADI EMBAKASI
0790054343</x18tc:text>
  </x18tc:threadedComment>
  <x18tc:threadedComment ref="A1" dT="2024-05-28T10:30:39.00" personId="{59f62772-63a8-419b-809c-d5fc17e19fb8}" id="{298eaa7e-e31d-4058-ae4e-96fd025458e1}" done="0">
    <x18tc:text xml:space="preserve">Edwin otwori 
CT102/G/13858/21
Benta fisheries limited 
Kisumu
0745210069</x18tc:text>
  </x18tc:threadedComment>
  <x18tc:threadedComment ref="A1" dT="2024-05-24T07:14:56.00" personId="{59cbcc95-34fc-4503-8ca9-07d9af1083fa}" id="{bd432264-0d8f-4d24-8ffd-c712faa7cb00}" done="0">
    <x18tc:text xml:space="preserve">Nathan Trevor</x18tc:text>
  </x18tc:threadedComment>
  <x18tc:threadedComment ref="A1" dT="2024-05-27T19:59:56.00" personId="{e4211502-17d6-4f1c-9142-5e40935ff674}" id="{28155adb-d882-4235-a27c-d72891ac4e12}" done="0">
    <x18tc:text xml:space="preserve">Shalon Kathambi</x18tc:text>
  </x18tc:threadedComment>
  <x18tc:threadedComment ref="A1" dT="2024-05-27T20:00:40.00" personId="{e4211502-17d6-4f1c-9142-5e40935ff674}" id="{9a1baef4-5977-4e79-8681-a41a65fa630f}" parentId="{28155adb-d882-4235-a27c-d72891ac4e12}">
    <x18tc:text xml:space="preserve">Shalon Kathambi</x18tc:text>
  </x18tc:threadedComment>
  <x18tc:threadedComment ref="A1" dT="2024-05-27T21:21:22.00" personId="{737c38cb-34ab-4870-b463-2abddec0032d}" id="{7bbc40db-381c-41f0-84ea-e623ff5a1582}" done="0">
    <x18tc:text xml:space="preserve">BSc in Software Engineering</x18tc:text>
  </x18tc:threadedComment>
  <x18tc:threadedComment ref="A1" dT="2024-05-27T21:37:47.00" personId="{737c38cb-34ab-4870-b463-2abddec0032d}" id="{cfc32173-3b9d-47c5-bf54-bf9e142d0a0a}" parentId="{7bbc40db-381c-41f0-84ea-e623ff5a1582}">
    <x18tc:text xml:space="preserve">Marked as resolved</x18tc:text>
  </x18tc:threadedComment>
  <x18tc:threadedComment ref="A1" dT="2024-05-28T10:52:59.00" personId="{3c3be165-55db-4961-957f-25cb25034911}" id="{1e046eb4-334b-4201-82cf-087856f594d8}" parentId="{7bbc40db-381c-41f0-84ea-e623ff5a1582}">
    <x18tc:text xml:space="preserve">Re-opened</x18tc:text>
  </x18tc:threadedComment>
  <x18tc:threadedComment ref="A1" dT="2024-05-27T21:20:47.00" personId="{737c38cb-34ab-4870-b463-2abddec0032d}" id="{5609fe3f-ce1c-435a-82fb-e36c65d28623}" done="0">
    <x18tc:text xml:space="preserve">PA106/G/15037/21</x18tc:text>
  </x18tc:threadedComment>
  <x18tc:threadedComment ref="A1" dT="2024-05-24T07:23:03.00" personId="{59cbcc95-34fc-4503-8ca9-07d9af1083fa}" id="{4ee0f48a-799a-412a-af10-88da05d93ab2}" done="1">
    <x18tc:text xml:space="preserve">Nathan Trevor</x18tc:text>
  </x18tc:threadedComment>
  <x18tc:threadedComment ref="A1" dT="2024-05-29T09:00:09.00" personId="{988d66ec-1ac1-4559-ba89-f125014f3871}" id="{d7d57fca-31fd-4f1a-8602-c996cb02555f}" done="0">
    <x18tc:text xml:space="preserve">Antony Mutie kimengei 
Computer science 
CT101/G/12415/21
DELAVIVE MRADI EMBAKASI 
0790054343</x18tc:text>
  </x18tc:threadedComment>
  <x18tc:threadedComment ref="A1" dT="2024-05-24T07:25:40.00" personId="{59cbcc95-34fc-4503-8ca9-07d9af1083fa}" id="{3ee41cc5-b450-4c25-907c-c8e38a4eb3e9}" done="0">
    <x18tc:text xml:space="preserve">Bst Statistics</x18tc:text>
  </x18tc:threadedComment>
  <x18tc:threadedComment ref="A1" dT="2024-05-24T07:26:14.00" personId="{59cbcc95-34fc-4503-8ca9-07d9af1083fa}" id="{d1b79c5c-2003-4a07-8259-b4bd25b57372}" parentId="{3ee41cc5-b450-4c25-907c-c8e38a4eb3e9}">
    <x18tc:text xml:space="preserve">PA100/G/13440/21</x18tc:text>
  </x18tc:threadedComment>
  <x18tc:threadedComment ref="A1" dT="2024-05-24T07:26:23.00" personId="{59cbcc95-34fc-4503-8ca9-07d9af1083fa}" id="{3c27c693-1880-48e9-9576-a91e3535471d}" parentId="{3ee41cc5-b450-4c25-907c-c8e38a4eb3e9}">
    <x18tc:text xml:space="preserve">Marked as resolved</x18tc:text>
  </x18tc:threadedComment>
  <x18tc:threadedComment ref="A1" dT="2024-05-25T14:00:18.00" personId="{59f62772-63a8-419b-809c-d5fc17e19fb8}" id="{bd721087-b5e4-46c5-9940-d41382cb82d9}" parentId="{3ee41cc5-b450-4c25-907c-c8e38a4eb3e9}">
    <x18tc:text xml:space="preserve">Re-opened</x18tc:text>
  </x18tc:threadedComment>
  <x18tc:threadedComment ref="A1" dT="2024-05-28T10:46:00.00" personId="{30e5d032-62a8-405c-b1f6-23514f1509a7}" id="{8bef7e31-24cb-440e-9154-97793db9adf6}" done="0">
    <x18tc:text xml:space="preserve">Kibe emmanuel muhami 
Pa101-g-14355-21 
Thika 
ICT fire group
Thika kenya</x18tc:text>
  </x18tc:threadedComment>
  <x18tc:threadedComment ref="A1" dT="2024-05-24T07:15:21.00" personId="{59cbcc95-34fc-4503-8ca9-07d9af1083fa}" id="{eb188007-0c42-4afc-ada4-5c4d0067c56d}" done="0">
    <x18tc:text xml:space="preserve">PA100/G/13440/21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gmail.com/" TargetMode="External"/><Relationship Id="rId18" Type="http://schemas.openxmlformats.org/officeDocument/2006/relationships/hyperlink" Target="http://maji.co.ke/" TargetMode="External"/><Relationship Id="rId26" Type="http://schemas.openxmlformats.org/officeDocument/2006/relationships/hyperlink" Target="mailto:info@mcfdmar.co.ke" TargetMode="External"/><Relationship Id="rId39" Type="http://schemas.openxmlformats.org/officeDocument/2006/relationships/hyperlink" Target="mailto:nanasi@freshdelmonte.com" TargetMode="External"/><Relationship Id="rId21" Type="http://schemas.openxmlformats.org/officeDocument/2006/relationships/hyperlink" Target="mailto:info@ncpb.co.ke" TargetMode="External"/><Relationship Id="rId34" Type="http://schemas.openxmlformats.org/officeDocument/2006/relationships/hyperlink" Target="mailto:info@mmaraa.ac.ke" TargetMode="External"/><Relationship Id="rId42" Type="http://schemas.openxmlformats.org/officeDocument/2006/relationships/hyperlink" Target="mailto:info@siaya.go.ke" TargetMode="External"/><Relationship Id="rId47" Type="http://schemas.openxmlformats.org/officeDocument/2006/relationships/hyperlink" Target="mailto:sorioki@progenyventures.co.ke" TargetMode="External"/><Relationship Id="rId50" Type="http://schemas.openxmlformats.org/officeDocument/2006/relationships/hyperlink" Target="mailto:info@vesconcltd.com" TargetMode="External"/><Relationship Id="rId55" Type="http://schemas.openxmlformats.org/officeDocument/2006/relationships/vmlDrawing" Target="../drawings/vmlDrawing1.vml"/><Relationship Id="rId7" Type="http://schemas.openxmlformats.org/officeDocument/2006/relationships/hyperlink" Target="http://www.nyewasco.co.ke/" TargetMode="External"/><Relationship Id="rId2" Type="http://schemas.openxmlformats.org/officeDocument/2006/relationships/hyperlink" Target="http://ktdateas.com/" TargetMode="External"/><Relationship Id="rId16" Type="http://schemas.openxmlformats.org/officeDocument/2006/relationships/hyperlink" Target="http://maji.co.ke/" TargetMode="External"/><Relationship Id="rId29" Type="http://schemas.openxmlformats.org/officeDocument/2006/relationships/hyperlink" Target="mailto:info@kicowasco.co.ke" TargetMode="External"/><Relationship Id="rId11" Type="http://schemas.openxmlformats.org/officeDocument/2006/relationships/hyperlink" Target="http://www.nyewasco.co.ke/" TargetMode="External"/><Relationship Id="rId24" Type="http://schemas.openxmlformats.org/officeDocument/2006/relationships/hyperlink" Target="mailto:matocosacco@gmail.com" TargetMode="External"/><Relationship Id="rId32" Type="http://schemas.openxmlformats.org/officeDocument/2006/relationships/hyperlink" Target="mailto:sknafaka@gmail.com" TargetMode="External"/><Relationship Id="rId37" Type="http://schemas.openxmlformats.org/officeDocument/2006/relationships/hyperlink" Target="mailto:info@rafiki.co.ke" TargetMode="External"/><Relationship Id="rId40" Type="http://schemas.openxmlformats.org/officeDocument/2006/relationships/hyperlink" Target="mailto:info@busiacounty.go.ke" TargetMode="External"/><Relationship Id="rId45" Type="http://schemas.openxmlformats.org/officeDocument/2006/relationships/hyperlink" Target="mailto:info@trapozasphalt.co.ke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://www.compulynx.com/" TargetMode="External"/><Relationship Id="rId19" Type="http://schemas.openxmlformats.org/officeDocument/2006/relationships/hyperlink" Target="mailto:info@assembly.nakuru.go.ke" TargetMode="External"/><Relationship Id="rId4" Type="http://schemas.openxmlformats.org/officeDocument/2006/relationships/hyperlink" Target="http://gmail.com/" TargetMode="External"/><Relationship Id="rId9" Type="http://schemas.openxmlformats.org/officeDocument/2006/relationships/hyperlink" Target="http://info.sonifixenergies.co.ke/" TargetMode="External"/><Relationship Id="rId14" Type="http://schemas.openxmlformats.org/officeDocument/2006/relationships/hyperlink" Target="http://kplc.co.ke/" TargetMode="External"/><Relationship Id="rId22" Type="http://schemas.openxmlformats.org/officeDocument/2006/relationships/hyperlink" Target="mailto:cdfemuruadikirr@ngcdf.go.ke." TargetMode="External"/><Relationship Id="rId27" Type="http://schemas.openxmlformats.org/officeDocument/2006/relationships/hyperlink" Target="mailto:travel@hopehousetravelagency.co.ke" TargetMode="External"/><Relationship Id="rId30" Type="http://schemas.openxmlformats.org/officeDocument/2006/relationships/hyperlink" Target="mailto:mamanginacs@platinumcredit.co.ke" TargetMode="External"/><Relationship Id="rId35" Type="http://schemas.openxmlformats.org/officeDocument/2006/relationships/hyperlink" Target="mailto:joycekathuli@gmail.com" TargetMode="External"/><Relationship Id="rId43" Type="http://schemas.openxmlformats.org/officeDocument/2006/relationships/hyperlink" Target="mailto:info@koyaadvocates.co.ke" TargetMode="External"/><Relationship Id="rId48" Type="http://schemas.openxmlformats.org/officeDocument/2006/relationships/hyperlink" Target="mailto:info@realconst.co.ke" TargetMode="External"/><Relationship Id="rId56" Type="http://schemas.openxmlformats.org/officeDocument/2006/relationships/comments" Target="../comments1.xml"/><Relationship Id="rId8" Type="http://schemas.openxmlformats.org/officeDocument/2006/relationships/hyperlink" Target="http://info.sonifixenergies.co.ke/" TargetMode="External"/><Relationship Id="rId51" Type="http://schemas.openxmlformats.org/officeDocument/2006/relationships/hyperlink" Target="mailto:info@nca.go.ke%20for%20complaints)" TargetMode="External"/><Relationship Id="rId3" Type="http://schemas.openxmlformats.org/officeDocument/2006/relationships/hyperlink" Target="http://kplc.co.ke/" TargetMode="External"/><Relationship Id="rId12" Type="http://schemas.openxmlformats.org/officeDocument/2006/relationships/hyperlink" Target="http://www.compulynx.com/" TargetMode="External"/><Relationship Id="rId17" Type="http://schemas.openxmlformats.org/officeDocument/2006/relationships/hyperlink" Target="http://maji.co.ke/" TargetMode="External"/><Relationship Id="rId25" Type="http://schemas.openxmlformats.org/officeDocument/2006/relationships/hyperlink" Target="mailto:sec.margje002@gmail.com" TargetMode="External"/><Relationship Id="rId33" Type="http://schemas.openxmlformats.org/officeDocument/2006/relationships/hyperlink" Target="mailto:kutusbr@co-opbank.co.ke" TargetMode="External"/><Relationship Id="rId38" Type="http://schemas.openxmlformats.org/officeDocument/2006/relationships/hyperlink" Target="mailto:brikimumerchants@gmail.com" TargetMode="External"/><Relationship Id="rId46" Type="http://schemas.openxmlformats.org/officeDocument/2006/relationships/hyperlink" Target="mailto:info@haftstudio.ke" TargetMode="External"/><Relationship Id="rId20" Type="http://schemas.openxmlformats.org/officeDocument/2006/relationships/hyperlink" Target="mailto:info@oldonyo.com" TargetMode="External"/><Relationship Id="rId41" Type="http://schemas.openxmlformats.org/officeDocument/2006/relationships/hyperlink" Target="http://psepsy.go.ke/" TargetMode="External"/><Relationship Id="rId54" Type="http://schemas.openxmlformats.org/officeDocument/2006/relationships/drawing" Target="../drawings/drawing1.xml"/><Relationship Id="rId1" Type="http://schemas.openxmlformats.org/officeDocument/2006/relationships/hyperlink" Target="mailto:info@frevanehospital.co.ke" TargetMode="External"/><Relationship Id="rId6" Type="http://schemas.openxmlformats.org/officeDocument/2006/relationships/hyperlink" Target="http://maji.co.ke/" TargetMode="External"/><Relationship Id="rId15" Type="http://schemas.openxmlformats.org/officeDocument/2006/relationships/hyperlink" Target="mailto:info@frevanehospital.co.ke" TargetMode="External"/><Relationship Id="rId23" Type="http://schemas.openxmlformats.org/officeDocument/2006/relationships/hyperlink" Target="mailto:info@ardhi.go.ke" TargetMode="External"/><Relationship Id="rId28" Type="http://schemas.openxmlformats.org/officeDocument/2006/relationships/hyperlink" Target="mailto:info@nck.co.ke" TargetMode="External"/><Relationship Id="rId36" Type="http://schemas.openxmlformats.org/officeDocument/2006/relationships/hyperlink" Target="mailto:cdpomuranga@gmail.com" TargetMode="External"/><Relationship Id="rId49" Type="http://schemas.openxmlformats.org/officeDocument/2006/relationships/hyperlink" Target="mailto:info@vibrant.co.ke" TargetMode="External"/><Relationship Id="rId57" Type="http://schemas.microsoft.com/office/2017/10/relationships/threadedComment" Target="../threadedComments/threadedComment1.xml"/><Relationship Id="rId10" Type="http://schemas.openxmlformats.org/officeDocument/2006/relationships/hyperlink" Target="mailto:info@craydel.com" TargetMode="External"/><Relationship Id="rId31" Type="http://schemas.openxmlformats.org/officeDocument/2006/relationships/hyperlink" Target="mailto:eccarralreader@gmail.com" TargetMode="External"/><Relationship Id="rId44" Type="http://schemas.openxmlformats.org/officeDocument/2006/relationships/hyperlink" Target="mailto:info@kingsprideproperties.co.ke" TargetMode="External"/><Relationship Id="rId52" Type="http://schemas.openxmlformats.org/officeDocument/2006/relationships/hyperlink" Target="mailto:scales@ostrichscales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maji.co.ke/" TargetMode="External"/><Relationship Id="rId3" Type="http://schemas.openxmlformats.org/officeDocument/2006/relationships/hyperlink" Target="http://maji.co.ke/" TargetMode="External"/><Relationship Id="rId7" Type="http://schemas.openxmlformats.org/officeDocument/2006/relationships/hyperlink" Target="http://www.compulynx.com/" TargetMode="External"/><Relationship Id="rId12" Type="http://schemas.openxmlformats.org/officeDocument/2006/relationships/comments" Target="../comments2.xml"/><Relationship Id="rId2" Type="http://schemas.openxmlformats.org/officeDocument/2006/relationships/hyperlink" Target="http://mr.so/" TargetMode="External"/><Relationship Id="rId1" Type="http://schemas.openxmlformats.org/officeDocument/2006/relationships/hyperlink" Target="mailto:info@frevanehospital.co.ke" TargetMode="External"/><Relationship Id="rId6" Type="http://schemas.openxmlformats.org/officeDocument/2006/relationships/hyperlink" Target="http://gmail.com/" TargetMode="External"/><Relationship Id="rId11" Type="http://schemas.openxmlformats.org/officeDocument/2006/relationships/vmlDrawing" Target="../drawings/vmlDrawing2.vml"/><Relationship Id="rId5" Type="http://schemas.openxmlformats.org/officeDocument/2006/relationships/hyperlink" Target="http://mr.so/" TargetMode="External"/><Relationship Id="rId10" Type="http://schemas.openxmlformats.org/officeDocument/2006/relationships/hyperlink" Target="http://www.nyewasco.co.ke/" TargetMode="External"/><Relationship Id="rId4" Type="http://schemas.openxmlformats.org/officeDocument/2006/relationships/hyperlink" Target="http://kplc.co.ke/" TargetMode="External"/><Relationship Id="rId9" Type="http://schemas.openxmlformats.org/officeDocument/2006/relationships/hyperlink" Target="http://maji.co.ke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maji.co.ke/" TargetMode="External"/><Relationship Id="rId13" Type="http://schemas.openxmlformats.org/officeDocument/2006/relationships/hyperlink" Target="http://maji.co.ke/" TargetMode="External"/><Relationship Id="rId18" Type="http://schemas.openxmlformats.org/officeDocument/2006/relationships/hyperlink" Target="http://maji.co.ke/" TargetMode="External"/><Relationship Id="rId3" Type="http://schemas.openxmlformats.org/officeDocument/2006/relationships/hyperlink" Target="http://maji.co.ke/" TargetMode="External"/><Relationship Id="rId21" Type="http://schemas.openxmlformats.org/officeDocument/2006/relationships/hyperlink" Target="http://www.nyewasco.co.ke/" TargetMode="External"/><Relationship Id="rId7" Type="http://schemas.openxmlformats.org/officeDocument/2006/relationships/hyperlink" Target="http://www.compulynx.com/" TargetMode="External"/><Relationship Id="rId12" Type="http://schemas.openxmlformats.org/officeDocument/2006/relationships/hyperlink" Target="http://kplc.co.ke/" TargetMode="External"/><Relationship Id="rId17" Type="http://schemas.openxmlformats.org/officeDocument/2006/relationships/hyperlink" Target="http://www.compulynx.com/" TargetMode="External"/><Relationship Id="rId2" Type="http://schemas.openxmlformats.org/officeDocument/2006/relationships/hyperlink" Target="http://mr.so/" TargetMode="External"/><Relationship Id="rId16" Type="http://schemas.openxmlformats.org/officeDocument/2006/relationships/hyperlink" Target="http://gmail.com/" TargetMode="External"/><Relationship Id="rId20" Type="http://schemas.openxmlformats.org/officeDocument/2006/relationships/hyperlink" Target="http://maji.co.ke/" TargetMode="External"/><Relationship Id="rId1" Type="http://schemas.openxmlformats.org/officeDocument/2006/relationships/hyperlink" Target="mailto:info@frevanehospital.co.ke" TargetMode="External"/><Relationship Id="rId6" Type="http://schemas.openxmlformats.org/officeDocument/2006/relationships/hyperlink" Target="http://gmail.com/" TargetMode="External"/><Relationship Id="rId11" Type="http://schemas.openxmlformats.org/officeDocument/2006/relationships/hyperlink" Target="mailto:info@frevanehospital.co.ke" TargetMode="External"/><Relationship Id="rId5" Type="http://schemas.openxmlformats.org/officeDocument/2006/relationships/hyperlink" Target="http://mr.so/" TargetMode="External"/><Relationship Id="rId15" Type="http://schemas.openxmlformats.org/officeDocument/2006/relationships/hyperlink" Target="http://mr.so/" TargetMode="External"/><Relationship Id="rId23" Type="http://schemas.openxmlformats.org/officeDocument/2006/relationships/comments" Target="../comments3.xml"/><Relationship Id="rId10" Type="http://schemas.openxmlformats.org/officeDocument/2006/relationships/hyperlink" Target="http://www.nyewasco.co.ke/" TargetMode="External"/><Relationship Id="rId19" Type="http://schemas.openxmlformats.org/officeDocument/2006/relationships/hyperlink" Target="https://docs.google.com/spreadsheets/d/1MvWxP-iB0Fqd5SP3F4CjWfupUvRmsLEaJCSadvsd6B4/edit?usp=sharing" TargetMode="External"/><Relationship Id="rId4" Type="http://schemas.openxmlformats.org/officeDocument/2006/relationships/hyperlink" Target="http://kplc.co.ke/" TargetMode="External"/><Relationship Id="rId9" Type="http://schemas.openxmlformats.org/officeDocument/2006/relationships/hyperlink" Target="http://maji.co.ke/" TargetMode="External"/><Relationship Id="rId14" Type="http://schemas.openxmlformats.org/officeDocument/2006/relationships/hyperlink" Target="http://mr.so/" TargetMode="External"/><Relationship Id="rId2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1714"/>
  <sheetViews>
    <sheetView tabSelected="1" workbookViewId="0">
      <pane ySplit="1" topLeftCell="A298" activePane="bottomLeft" state="frozen"/>
      <selection pane="bottomLeft" activeCell="B91" sqref="B91"/>
    </sheetView>
  </sheetViews>
  <sheetFormatPr defaultColWidth="12.5703125" defaultRowHeight="15.75" customHeight="1"/>
  <cols>
    <col min="1" max="1" width="41.5703125" customWidth="1"/>
    <col min="2" max="2" width="58.28515625" customWidth="1"/>
    <col min="3" max="3" width="33.7109375" customWidth="1"/>
    <col min="4" max="4" width="50.5703125" customWidth="1"/>
  </cols>
  <sheetData>
    <row r="1" spans="1:16" ht="15">
      <c r="A1" s="329" t="s">
        <v>2</v>
      </c>
      <c r="B1" s="329" t="s">
        <v>4</v>
      </c>
      <c r="C1" s="330" t="s">
        <v>6</v>
      </c>
      <c r="D1" s="330" t="s">
        <v>3590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2.75">
      <c r="A2" s="331" t="s">
        <v>4553</v>
      </c>
      <c r="B2" s="331" t="s">
        <v>12</v>
      </c>
      <c r="C2" s="332" t="s">
        <v>14</v>
      </c>
      <c r="D2" s="333" t="s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2.75">
      <c r="A3" s="334" t="s">
        <v>4595</v>
      </c>
      <c r="B3" s="334" t="s">
        <v>18</v>
      </c>
      <c r="C3" s="332" t="s">
        <v>20</v>
      </c>
      <c r="D3" s="333" t="s">
        <v>21</v>
      </c>
      <c r="E3" s="42"/>
      <c r="F3" s="9"/>
      <c r="G3" s="9"/>
      <c r="H3" s="9"/>
      <c r="I3" s="9"/>
      <c r="J3" s="9"/>
      <c r="K3" s="9"/>
      <c r="L3" s="9"/>
      <c r="M3" s="2"/>
      <c r="N3" s="2"/>
      <c r="O3" s="2"/>
      <c r="P3" s="2"/>
    </row>
    <row r="4" spans="1:16" ht="12.75">
      <c r="A4" s="331" t="s">
        <v>4568</v>
      </c>
      <c r="B4" s="331" t="s">
        <v>25</v>
      </c>
      <c r="C4" s="332" t="s">
        <v>27</v>
      </c>
      <c r="D4" s="333" t="s">
        <v>29</v>
      </c>
      <c r="E4" s="42"/>
      <c r="F4" s="9"/>
      <c r="G4" s="9"/>
      <c r="H4" s="9"/>
      <c r="I4" s="9"/>
      <c r="J4" s="9"/>
      <c r="K4" s="9"/>
      <c r="L4" s="9"/>
      <c r="M4" s="2"/>
      <c r="N4" s="2"/>
      <c r="O4" s="2"/>
      <c r="P4" s="2"/>
    </row>
    <row r="5" spans="1:16" ht="12.75">
      <c r="A5" s="335" t="s">
        <v>4553</v>
      </c>
      <c r="B5" s="334" t="s">
        <v>32</v>
      </c>
      <c r="C5" s="332" t="s">
        <v>34</v>
      </c>
      <c r="D5" s="336" t="s">
        <v>35</v>
      </c>
      <c r="E5" s="42"/>
      <c r="F5" s="9"/>
      <c r="G5" s="9"/>
      <c r="H5" s="9"/>
      <c r="I5" s="9"/>
      <c r="J5" s="9"/>
      <c r="K5" s="9"/>
      <c r="L5" s="9"/>
      <c r="M5" s="2"/>
      <c r="N5" s="2"/>
      <c r="O5" s="2"/>
      <c r="P5" s="2"/>
    </row>
    <row r="6" spans="1:16" ht="12.75">
      <c r="A6" s="331" t="s">
        <v>4562</v>
      </c>
      <c r="B6" s="331" t="s">
        <v>39</v>
      </c>
      <c r="C6" s="332" t="s">
        <v>41</v>
      </c>
      <c r="D6" s="333" t="s">
        <v>42</v>
      </c>
      <c r="E6" s="42"/>
      <c r="F6" s="9"/>
      <c r="G6" s="9"/>
      <c r="H6" s="9"/>
      <c r="I6" s="9"/>
      <c r="J6" s="9"/>
      <c r="K6" s="9"/>
      <c r="L6" s="9"/>
      <c r="M6" s="2"/>
      <c r="N6" s="2"/>
      <c r="O6" s="2"/>
      <c r="P6" s="2"/>
    </row>
    <row r="7" spans="1:16" ht="15">
      <c r="A7" s="331" t="s">
        <v>4545</v>
      </c>
      <c r="B7" s="331" t="s">
        <v>50</v>
      </c>
      <c r="C7" s="332" t="s">
        <v>52</v>
      </c>
      <c r="D7" s="337" t="s">
        <v>53</v>
      </c>
      <c r="E7" s="42"/>
      <c r="F7" s="9"/>
      <c r="G7" s="9"/>
      <c r="H7" s="9"/>
      <c r="I7" s="9"/>
      <c r="J7" s="9"/>
      <c r="K7" s="9"/>
      <c r="L7" s="9"/>
      <c r="M7" s="2"/>
      <c r="N7" s="2"/>
      <c r="O7" s="2"/>
      <c r="P7" s="2"/>
    </row>
    <row r="8" spans="1:16" ht="12.75">
      <c r="A8" s="334" t="s">
        <v>4562</v>
      </c>
      <c r="B8" s="334" t="s">
        <v>57</v>
      </c>
      <c r="C8" s="332" t="s">
        <v>59</v>
      </c>
      <c r="D8" s="333" t="s">
        <v>60</v>
      </c>
      <c r="E8" s="42"/>
      <c r="F8" s="9"/>
      <c r="G8" s="9"/>
      <c r="H8" s="9"/>
      <c r="I8" s="9"/>
      <c r="J8" s="9"/>
      <c r="K8" s="9"/>
      <c r="L8" s="9"/>
      <c r="M8" s="2"/>
      <c r="N8" s="2"/>
      <c r="O8" s="2"/>
      <c r="P8" s="2"/>
    </row>
    <row r="9" spans="1:16" ht="12.75">
      <c r="A9" s="331" t="s">
        <v>4545</v>
      </c>
      <c r="B9" s="331" t="s">
        <v>63</v>
      </c>
      <c r="C9" s="332" t="s">
        <v>65</v>
      </c>
      <c r="D9" s="333" t="s">
        <v>66</v>
      </c>
      <c r="E9" s="42"/>
      <c r="F9" s="9"/>
      <c r="G9" s="9"/>
      <c r="H9" s="9"/>
      <c r="I9" s="9"/>
      <c r="J9" s="9"/>
      <c r="K9" s="9"/>
      <c r="L9" s="9"/>
      <c r="M9" s="2"/>
      <c r="N9" s="2"/>
      <c r="O9" s="2"/>
      <c r="P9" s="2"/>
    </row>
    <row r="10" spans="1:16" ht="12.75">
      <c r="A10" s="331" t="s">
        <v>4562</v>
      </c>
      <c r="B10" s="331" t="s">
        <v>72</v>
      </c>
      <c r="C10" s="332" t="s">
        <v>74</v>
      </c>
      <c r="D10" s="333" t="s">
        <v>75</v>
      </c>
      <c r="E10" s="42"/>
      <c r="F10" s="9"/>
      <c r="G10" s="9"/>
      <c r="H10" s="9"/>
      <c r="I10" s="9"/>
      <c r="J10" s="9"/>
      <c r="K10" s="9"/>
      <c r="L10" s="9"/>
      <c r="M10" s="2"/>
      <c r="N10" s="2"/>
      <c r="O10" s="2"/>
      <c r="P10" s="2"/>
    </row>
    <row r="11" spans="1:16" ht="12.75">
      <c r="A11" s="331" t="s">
        <v>4560</v>
      </c>
      <c r="B11" s="331" t="s">
        <v>84</v>
      </c>
      <c r="C11" s="332" t="s">
        <v>86</v>
      </c>
      <c r="D11" s="333" t="s">
        <v>87</v>
      </c>
      <c r="E11" s="42"/>
      <c r="F11" s="9"/>
      <c r="G11" s="9"/>
      <c r="H11" s="9"/>
      <c r="I11" s="9"/>
      <c r="J11" s="9"/>
      <c r="K11" s="9"/>
      <c r="L11" s="9"/>
      <c r="M11" s="2"/>
      <c r="N11" s="2"/>
      <c r="O11" s="2"/>
      <c r="P11" s="2"/>
    </row>
    <row r="12" spans="1:16" ht="12.75">
      <c r="A12" s="334" t="s">
        <v>4557</v>
      </c>
      <c r="B12" s="334" t="s">
        <v>91</v>
      </c>
      <c r="C12" s="332" t="s">
        <v>93</v>
      </c>
      <c r="D12" s="333" t="s">
        <v>94</v>
      </c>
      <c r="E12" s="42"/>
      <c r="F12" s="9"/>
      <c r="G12" s="9"/>
      <c r="H12" s="9"/>
      <c r="I12" s="9"/>
      <c r="J12" s="9"/>
      <c r="K12" s="9"/>
      <c r="L12" s="9"/>
      <c r="M12" s="2"/>
      <c r="N12" s="2"/>
      <c r="O12" s="2"/>
      <c r="P12" s="2"/>
    </row>
    <row r="13" spans="1:16" ht="12.75">
      <c r="A13" s="331" t="s">
        <v>4558</v>
      </c>
      <c r="B13" s="331" t="s">
        <v>98</v>
      </c>
      <c r="C13" s="332" t="s">
        <v>100</v>
      </c>
      <c r="D13" s="333" t="s">
        <v>101</v>
      </c>
      <c r="E13" s="42"/>
      <c r="F13" s="9"/>
      <c r="G13" s="9"/>
      <c r="H13" s="9"/>
      <c r="I13" s="9"/>
      <c r="J13" s="9"/>
      <c r="K13" s="9"/>
      <c r="L13" s="9"/>
      <c r="M13" s="2"/>
      <c r="N13" s="2"/>
      <c r="O13" s="2"/>
      <c r="P13" s="2"/>
    </row>
    <row r="14" spans="1:16" ht="12.75">
      <c r="A14" s="334" t="s">
        <v>4554</v>
      </c>
      <c r="B14" s="334" t="s">
        <v>39</v>
      </c>
      <c r="C14" s="332" t="s">
        <v>14</v>
      </c>
      <c r="D14" s="333" t="s">
        <v>105</v>
      </c>
      <c r="E14" s="42"/>
      <c r="F14" s="9"/>
      <c r="G14" s="9"/>
      <c r="H14" s="9"/>
      <c r="I14" s="9"/>
      <c r="J14" s="9"/>
      <c r="K14" s="9"/>
      <c r="L14" s="9"/>
      <c r="M14" s="2"/>
      <c r="N14" s="2"/>
      <c r="O14" s="2"/>
      <c r="P14" s="2"/>
    </row>
    <row r="15" spans="1:16" ht="12.75">
      <c r="A15" s="331" t="s">
        <v>4546</v>
      </c>
      <c r="B15" s="331" t="s">
        <v>109</v>
      </c>
      <c r="C15" s="332" t="s">
        <v>111</v>
      </c>
      <c r="D15" s="333" t="s">
        <v>112</v>
      </c>
      <c r="E15" s="42"/>
      <c r="F15" s="9"/>
      <c r="G15" s="9"/>
      <c r="H15" s="9"/>
      <c r="I15" s="9"/>
      <c r="J15" s="9"/>
      <c r="K15" s="9"/>
      <c r="L15" s="9"/>
      <c r="M15" s="2"/>
      <c r="N15" s="2"/>
      <c r="O15" s="2"/>
      <c r="P15" s="2"/>
    </row>
    <row r="16" spans="1:16" ht="12.75">
      <c r="A16" s="334" t="s">
        <v>4595</v>
      </c>
      <c r="B16" s="334" t="s">
        <v>126</v>
      </c>
      <c r="C16" s="332" t="s">
        <v>128</v>
      </c>
      <c r="D16" s="333" t="s">
        <v>129</v>
      </c>
      <c r="E16" s="42"/>
      <c r="F16" s="9"/>
      <c r="G16" s="9"/>
      <c r="H16" s="9"/>
      <c r="I16" s="9"/>
      <c r="J16" s="9"/>
      <c r="K16" s="9"/>
      <c r="L16" s="9"/>
      <c r="M16" s="2"/>
      <c r="N16" s="2"/>
      <c r="O16" s="2"/>
      <c r="P16" s="2"/>
    </row>
    <row r="17" spans="1:16" ht="12.75">
      <c r="A17" s="338" t="s">
        <v>4562</v>
      </c>
      <c r="B17" s="334" t="s">
        <v>132</v>
      </c>
      <c r="C17" s="332" t="s">
        <v>134</v>
      </c>
      <c r="D17" s="333" t="s">
        <v>135</v>
      </c>
      <c r="E17" s="42"/>
      <c r="F17" s="9"/>
      <c r="G17" s="9"/>
      <c r="H17" s="9"/>
      <c r="I17" s="9"/>
      <c r="J17" s="9"/>
      <c r="K17" s="9"/>
      <c r="L17" s="9"/>
      <c r="M17" s="2"/>
      <c r="N17" s="2"/>
      <c r="O17" s="2"/>
      <c r="P17" s="2"/>
    </row>
    <row r="18" spans="1:16" ht="12.75">
      <c r="A18" s="339" t="s">
        <v>4562</v>
      </c>
      <c r="B18" s="331" t="s">
        <v>132</v>
      </c>
      <c r="C18" s="332" t="s">
        <v>134</v>
      </c>
      <c r="D18" s="333" t="s">
        <v>135</v>
      </c>
      <c r="E18" s="42"/>
      <c r="F18" s="9"/>
      <c r="G18" s="9"/>
      <c r="H18" s="9"/>
      <c r="I18" s="9"/>
      <c r="J18" s="9"/>
      <c r="K18" s="9"/>
      <c r="L18" s="9"/>
      <c r="M18" s="2"/>
      <c r="N18" s="2"/>
      <c r="O18" s="2"/>
      <c r="P18" s="2"/>
    </row>
    <row r="19" spans="1:16" ht="12.75">
      <c r="A19" s="338" t="s">
        <v>4562</v>
      </c>
      <c r="B19" s="334" t="s">
        <v>141</v>
      </c>
      <c r="C19" s="332" t="s">
        <v>143</v>
      </c>
      <c r="D19" s="333" t="s">
        <v>145</v>
      </c>
      <c r="E19" s="42"/>
      <c r="F19" s="9"/>
      <c r="G19" s="9"/>
      <c r="H19" s="9"/>
      <c r="I19" s="9"/>
      <c r="J19" s="9"/>
      <c r="K19" s="9"/>
      <c r="L19" s="9"/>
      <c r="M19" s="2"/>
      <c r="N19" s="2"/>
      <c r="O19" s="2"/>
      <c r="P19" s="2"/>
    </row>
    <row r="20" spans="1:16" ht="12.75">
      <c r="A20" s="331" t="s">
        <v>4562</v>
      </c>
      <c r="B20" s="331" t="s">
        <v>149</v>
      </c>
      <c r="C20" s="332" t="s">
        <v>151</v>
      </c>
      <c r="D20" s="333" t="s">
        <v>152</v>
      </c>
      <c r="E20" s="42"/>
      <c r="F20" s="9"/>
      <c r="G20" s="9"/>
      <c r="H20" s="9"/>
      <c r="I20" s="9"/>
      <c r="J20" s="9"/>
      <c r="K20" s="9"/>
      <c r="L20" s="9"/>
      <c r="M20" s="2"/>
      <c r="N20" s="2"/>
      <c r="O20" s="2"/>
      <c r="P20" s="2"/>
    </row>
    <row r="21" spans="1:16" ht="12.75">
      <c r="A21" s="334" t="s">
        <v>4553</v>
      </c>
      <c r="B21" s="334" t="s">
        <v>156</v>
      </c>
      <c r="C21" s="332" t="s">
        <v>158</v>
      </c>
      <c r="D21" s="333" t="s">
        <v>160</v>
      </c>
      <c r="E21" s="42"/>
      <c r="F21" s="9"/>
      <c r="G21" s="9"/>
      <c r="H21" s="9"/>
      <c r="I21" s="9"/>
      <c r="J21" s="9"/>
      <c r="K21" s="9"/>
      <c r="L21" s="9"/>
      <c r="M21" s="2"/>
      <c r="N21" s="2"/>
      <c r="O21" s="2"/>
      <c r="P21" s="2"/>
    </row>
    <row r="22" spans="1:16" ht="12.75">
      <c r="A22" s="331" t="s">
        <v>4557</v>
      </c>
      <c r="B22" s="331" t="s">
        <v>164</v>
      </c>
      <c r="C22" s="332" t="s">
        <v>166</v>
      </c>
      <c r="D22" s="339" t="s">
        <v>167</v>
      </c>
      <c r="E22" s="42"/>
      <c r="F22" s="9"/>
      <c r="G22" s="9"/>
      <c r="H22" s="9"/>
      <c r="I22" s="9"/>
      <c r="J22" s="9"/>
      <c r="K22" s="9"/>
      <c r="L22" s="9"/>
      <c r="M22" s="2"/>
      <c r="N22" s="2"/>
      <c r="O22" s="2"/>
      <c r="P22" s="2"/>
    </row>
    <row r="23" spans="1:16" ht="19.5">
      <c r="A23" s="340" t="s">
        <v>4553</v>
      </c>
      <c r="B23" s="338" t="s">
        <v>171</v>
      </c>
      <c r="C23" s="341" t="s">
        <v>3593</v>
      </c>
      <c r="D23" s="342" t="s">
        <v>175</v>
      </c>
      <c r="E23" s="42"/>
      <c r="F23" s="9"/>
      <c r="G23" s="9"/>
      <c r="H23" s="9"/>
      <c r="I23" s="9"/>
      <c r="J23" s="9"/>
      <c r="K23" s="9"/>
      <c r="L23" s="9"/>
      <c r="M23" s="2"/>
      <c r="N23" s="2"/>
      <c r="O23" s="2"/>
      <c r="P23" s="2"/>
    </row>
    <row r="24" spans="1:16" ht="12.75">
      <c r="A24" s="334" t="s">
        <v>4560</v>
      </c>
      <c r="B24" s="334" t="s">
        <v>184</v>
      </c>
      <c r="C24" s="332" t="s">
        <v>186</v>
      </c>
      <c r="D24" s="333" t="s">
        <v>187</v>
      </c>
      <c r="E24" s="42"/>
      <c r="F24" s="9"/>
      <c r="G24" s="9"/>
      <c r="H24" s="9"/>
      <c r="I24" s="9"/>
      <c r="J24" s="9"/>
      <c r="K24" s="9"/>
      <c r="L24" s="9"/>
      <c r="M24" s="2"/>
      <c r="N24" s="2"/>
      <c r="O24" s="2"/>
      <c r="P24" s="2"/>
    </row>
    <row r="25" spans="1:16" ht="12.75">
      <c r="A25" s="331" t="s">
        <v>4562</v>
      </c>
      <c r="B25" s="331" t="s">
        <v>191</v>
      </c>
      <c r="C25" s="332" t="s">
        <v>193</v>
      </c>
      <c r="D25" s="333" t="s">
        <v>195</v>
      </c>
      <c r="E25" s="42"/>
      <c r="F25" s="9"/>
      <c r="G25" s="9"/>
      <c r="H25" s="9"/>
      <c r="I25" s="9"/>
      <c r="J25" s="9"/>
      <c r="K25" s="9"/>
      <c r="L25" s="9"/>
      <c r="M25" s="2"/>
      <c r="N25" s="2"/>
      <c r="O25" s="2"/>
      <c r="P25" s="2"/>
    </row>
    <row r="26" spans="1:16" ht="12.75">
      <c r="A26" s="334" t="s">
        <v>4560</v>
      </c>
      <c r="B26" s="334" t="s">
        <v>199</v>
      </c>
      <c r="C26" s="332" t="s">
        <v>59</v>
      </c>
      <c r="D26" s="333" t="s">
        <v>60</v>
      </c>
      <c r="E26" s="42"/>
      <c r="F26" s="9"/>
      <c r="G26" s="9"/>
      <c r="H26" s="9"/>
      <c r="I26" s="9"/>
      <c r="J26" s="9"/>
      <c r="K26" s="9"/>
      <c r="L26" s="9"/>
      <c r="M26" s="2"/>
      <c r="N26" s="2"/>
      <c r="O26" s="2"/>
      <c r="P26" s="2"/>
    </row>
    <row r="27" spans="1:16" ht="12.75">
      <c r="A27" s="331" t="s">
        <v>201</v>
      </c>
      <c r="B27" s="331" t="s">
        <v>202</v>
      </c>
      <c r="C27" s="332" t="s">
        <v>203</v>
      </c>
      <c r="D27" s="333" t="s">
        <v>204</v>
      </c>
      <c r="E27" s="42"/>
      <c r="F27" s="9"/>
      <c r="G27" s="9"/>
      <c r="H27" s="9"/>
      <c r="I27" s="9"/>
      <c r="J27" s="9"/>
      <c r="K27" s="9"/>
      <c r="L27" s="9"/>
      <c r="M27" s="2"/>
      <c r="N27" s="2"/>
      <c r="O27" s="2"/>
      <c r="P27" s="2"/>
    </row>
    <row r="28" spans="1:16" ht="12.75">
      <c r="A28" s="338" t="s">
        <v>4546</v>
      </c>
      <c r="B28" s="334" t="s">
        <v>209</v>
      </c>
      <c r="C28" s="332" t="s">
        <v>211</v>
      </c>
      <c r="D28" s="333" t="s">
        <v>213</v>
      </c>
      <c r="E28" s="42"/>
      <c r="F28" s="9"/>
      <c r="G28" s="9"/>
      <c r="H28" s="9"/>
      <c r="I28" s="9"/>
      <c r="J28" s="9"/>
      <c r="K28" s="9"/>
      <c r="L28" s="9"/>
      <c r="M28" s="2"/>
      <c r="N28" s="2"/>
      <c r="O28" s="2"/>
      <c r="P28" s="2"/>
    </row>
    <row r="29" spans="1:16" ht="12.75">
      <c r="A29" s="331" t="s">
        <v>4562</v>
      </c>
      <c r="B29" s="331" t="s">
        <v>216</v>
      </c>
      <c r="C29" s="332" t="s">
        <v>218</v>
      </c>
      <c r="D29" s="333" t="s">
        <v>219</v>
      </c>
      <c r="E29" s="42"/>
      <c r="F29" s="9"/>
      <c r="G29" s="9"/>
      <c r="H29" s="9"/>
      <c r="I29" s="9"/>
      <c r="J29" s="9"/>
      <c r="K29" s="9"/>
      <c r="L29" s="9"/>
      <c r="M29" s="2"/>
      <c r="N29" s="2"/>
      <c r="O29" s="2"/>
      <c r="P29" s="2"/>
    </row>
    <row r="30" spans="1:16" ht="12.75">
      <c r="A30" s="334" t="s">
        <v>4560</v>
      </c>
      <c r="B30" s="334" t="s">
        <v>222</v>
      </c>
      <c r="C30" s="332" t="s">
        <v>223</v>
      </c>
      <c r="D30" s="333" t="s">
        <v>224</v>
      </c>
      <c r="E30" s="42"/>
      <c r="F30" s="9"/>
      <c r="G30" s="9"/>
      <c r="H30" s="9"/>
      <c r="I30" s="9"/>
      <c r="J30" s="9"/>
      <c r="K30" s="9"/>
      <c r="L30" s="9"/>
      <c r="M30" s="2"/>
      <c r="N30" s="2"/>
      <c r="O30" s="2"/>
      <c r="P30" s="2"/>
    </row>
    <row r="31" spans="1:16" ht="12.75">
      <c r="A31" s="331" t="s">
        <v>4562</v>
      </c>
      <c r="B31" s="331" t="s">
        <v>228</v>
      </c>
      <c r="C31" s="332" t="s">
        <v>2953</v>
      </c>
      <c r="D31" s="333" t="s">
        <v>230</v>
      </c>
      <c r="E31" s="42"/>
      <c r="F31" s="9"/>
      <c r="G31" s="9"/>
      <c r="H31" s="9"/>
      <c r="I31" s="9"/>
      <c r="J31" s="9"/>
      <c r="K31" s="9"/>
      <c r="L31" s="9"/>
      <c r="M31" s="2"/>
      <c r="N31" s="2"/>
      <c r="O31" s="2"/>
      <c r="P31" s="2"/>
    </row>
    <row r="32" spans="1:16" ht="12.75">
      <c r="A32" s="334" t="s">
        <v>4550</v>
      </c>
      <c r="B32" s="334" t="s">
        <v>235</v>
      </c>
      <c r="C32" s="332" t="s">
        <v>237</v>
      </c>
      <c r="D32" s="333" t="s">
        <v>239</v>
      </c>
      <c r="E32" s="42"/>
      <c r="F32" s="9"/>
      <c r="G32" s="9"/>
      <c r="H32" s="9"/>
      <c r="I32" s="9"/>
      <c r="J32" s="9"/>
      <c r="K32" s="9"/>
      <c r="L32" s="9"/>
      <c r="M32" s="2"/>
      <c r="N32" s="2"/>
      <c r="O32" s="2"/>
      <c r="P32" s="2"/>
    </row>
    <row r="33" spans="1:16" ht="12.75">
      <c r="A33" s="331" t="s">
        <v>4560</v>
      </c>
      <c r="B33" s="331" t="s">
        <v>243</v>
      </c>
      <c r="C33" s="332" t="s">
        <v>245</v>
      </c>
      <c r="D33" s="333" t="s">
        <v>246</v>
      </c>
      <c r="E33" s="42"/>
      <c r="F33" s="9"/>
      <c r="G33" s="9"/>
      <c r="H33" s="9"/>
      <c r="I33" s="9"/>
      <c r="J33" s="9"/>
      <c r="K33" s="9"/>
      <c r="L33" s="9"/>
      <c r="M33" s="2"/>
      <c r="N33" s="2"/>
      <c r="O33" s="2"/>
      <c r="P33" s="2"/>
    </row>
    <row r="34" spans="1:16" ht="12.75">
      <c r="A34" s="334" t="s">
        <v>4562</v>
      </c>
      <c r="B34" s="334" t="s">
        <v>249</v>
      </c>
      <c r="C34" s="332" t="s">
        <v>251</v>
      </c>
      <c r="D34" s="333" t="s">
        <v>252</v>
      </c>
      <c r="E34" s="42"/>
      <c r="F34" s="9"/>
      <c r="G34" s="9"/>
      <c r="H34" s="9"/>
      <c r="I34" s="9"/>
      <c r="J34" s="9"/>
      <c r="K34" s="9"/>
      <c r="L34" s="9"/>
      <c r="M34" s="2"/>
      <c r="N34" s="2"/>
      <c r="O34" s="2"/>
      <c r="P34" s="2"/>
    </row>
    <row r="35" spans="1:16" ht="12.75">
      <c r="A35" s="331" t="s">
        <v>4545</v>
      </c>
      <c r="B35" s="331" t="s">
        <v>149</v>
      </c>
      <c r="C35" s="332" t="s">
        <v>151</v>
      </c>
      <c r="D35" s="333" t="s">
        <v>152</v>
      </c>
      <c r="E35" s="42"/>
      <c r="F35" s="9"/>
      <c r="G35" s="9"/>
      <c r="H35" s="9"/>
      <c r="I35" s="9"/>
      <c r="J35" s="9"/>
      <c r="K35" s="9"/>
      <c r="L35" s="9"/>
      <c r="M35" s="2"/>
      <c r="N35" s="2"/>
      <c r="O35" s="2"/>
      <c r="P35" s="2"/>
    </row>
    <row r="36" spans="1:16" ht="12.75">
      <c r="A36" s="334" t="s">
        <v>4558</v>
      </c>
      <c r="B36" s="334" t="s">
        <v>260</v>
      </c>
      <c r="C36" s="332" t="s">
        <v>237</v>
      </c>
      <c r="D36" s="333" t="s">
        <v>263</v>
      </c>
      <c r="E36" s="42"/>
      <c r="F36" s="9"/>
      <c r="G36" s="9"/>
      <c r="H36" s="9"/>
      <c r="I36" s="9"/>
      <c r="J36" s="9"/>
      <c r="K36" s="9"/>
      <c r="L36" s="9"/>
      <c r="M36" s="2"/>
      <c r="N36" s="2"/>
      <c r="O36" s="2"/>
      <c r="P36" s="2"/>
    </row>
    <row r="37" spans="1:16" ht="12.75">
      <c r="A37" s="331" t="s">
        <v>4553</v>
      </c>
      <c r="B37" s="331" t="s">
        <v>267</v>
      </c>
      <c r="C37" s="332" t="s">
        <v>269</v>
      </c>
      <c r="D37" s="333" t="s">
        <v>270</v>
      </c>
      <c r="E37" s="42"/>
      <c r="F37" s="9"/>
      <c r="G37" s="9"/>
      <c r="H37" s="9"/>
      <c r="I37" s="9"/>
      <c r="J37" s="9"/>
      <c r="K37" s="9"/>
      <c r="L37" s="9"/>
      <c r="M37" s="2"/>
      <c r="N37" s="2"/>
      <c r="O37" s="2"/>
      <c r="P37" s="2"/>
    </row>
    <row r="38" spans="1:16" ht="12.75">
      <c r="A38" s="334" t="s">
        <v>4553</v>
      </c>
      <c r="B38" s="334" t="s">
        <v>274</v>
      </c>
      <c r="C38" s="332" t="s">
        <v>276</v>
      </c>
      <c r="D38" s="343" t="s">
        <v>3591</v>
      </c>
      <c r="E38" s="42"/>
      <c r="F38" s="9"/>
      <c r="G38" s="9"/>
      <c r="H38" s="9"/>
      <c r="I38" s="9"/>
      <c r="J38" s="9"/>
      <c r="K38" s="9"/>
      <c r="L38" s="9"/>
      <c r="M38" s="2"/>
      <c r="N38" s="2"/>
      <c r="O38" s="2"/>
      <c r="P38" s="2"/>
    </row>
    <row r="39" spans="1:16" ht="12.75">
      <c r="A39" s="334" t="s">
        <v>4553</v>
      </c>
      <c r="B39" s="334" t="s">
        <v>284</v>
      </c>
      <c r="C39" s="332" t="s">
        <v>286</v>
      </c>
      <c r="D39" s="333" t="s">
        <v>204</v>
      </c>
      <c r="E39" s="42"/>
      <c r="F39" s="9"/>
      <c r="G39" s="9"/>
      <c r="H39" s="9"/>
      <c r="I39" s="9"/>
      <c r="J39" s="9"/>
      <c r="K39" s="9"/>
      <c r="L39" s="9"/>
      <c r="M39" s="2"/>
      <c r="N39" s="2"/>
      <c r="O39" s="2"/>
      <c r="P39" s="2"/>
    </row>
    <row r="40" spans="1:16" ht="12.75">
      <c r="A40" s="344" t="s">
        <v>4560</v>
      </c>
      <c r="B40" s="331" t="s">
        <v>290</v>
      </c>
      <c r="C40" s="332" t="s">
        <v>237</v>
      </c>
      <c r="D40" s="333" t="s">
        <v>291</v>
      </c>
      <c r="E40" s="42"/>
      <c r="F40" s="9"/>
      <c r="G40" s="9"/>
      <c r="H40" s="9"/>
      <c r="I40" s="9"/>
      <c r="J40" s="9"/>
      <c r="K40" s="9"/>
      <c r="L40" s="9"/>
      <c r="M40" s="2"/>
      <c r="N40" s="2"/>
      <c r="O40" s="2"/>
      <c r="P40" s="2"/>
    </row>
    <row r="41" spans="1:16">
      <c r="A41" s="334" t="s">
        <v>4545</v>
      </c>
      <c r="B41" s="334" t="s">
        <v>295</v>
      </c>
      <c r="C41" s="332" t="s">
        <v>297</v>
      </c>
      <c r="D41" s="345" t="s">
        <v>298</v>
      </c>
      <c r="E41" s="42"/>
      <c r="F41" s="9"/>
      <c r="G41" s="9"/>
      <c r="H41" s="9"/>
      <c r="I41" s="9"/>
      <c r="J41" s="9"/>
      <c r="K41" s="9"/>
      <c r="L41" s="9"/>
      <c r="M41" s="2"/>
      <c r="N41" s="2"/>
      <c r="O41" s="2"/>
      <c r="P41" s="2"/>
    </row>
    <row r="42" spans="1:16" ht="12.75">
      <c r="A42" s="331" t="s">
        <v>4557</v>
      </c>
      <c r="B42" s="331" t="s">
        <v>302</v>
      </c>
      <c r="C42" s="332" t="s">
        <v>20</v>
      </c>
      <c r="D42" s="333" t="s">
        <v>21</v>
      </c>
      <c r="E42" s="42"/>
      <c r="F42" s="9"/>
      <c r="G42" s="9"/>
      <c r="H42" s="9"/>
      <c r="I42" s="9"/>
      <c r="J42" s="9"/>
      <c r="K42" s="9"/>
      <c r="L42" s="9"/>
      <c r="M42" s="2"/>
      <c r="N42" s="2"/>
      <c r="O42" s="2"/>
      <c r="P42" s="2"/>
    </row>
    <row r="43" spans="1:16" ht="12.75">
      <c r="A43" s="335" t="s">
        <v>4560</v>
      </c>
      <c r="B43" s="334" t="s">
        <v>141</v>
      </c>
      <c r="C43" s="332" t="s">
        <v>143</v>
      </c>
      <c r="D43" s="333" t="s">
        <v>145</v>
      </c>
      <c r="E43" s="42"/>
      <c r="F43" s="9"/>
      <c r="G43" s="9"/>
      <c r="H43" s="9"/>
      <c r="I43" s="9"/>
      <c r="J43" s="9"/>
      <c r="K43" s="9"/>
      <c r="L43" s="9"/>
      <c r="M43" s="2"/>
      <c r="N43" s="2"/>
      <c r="O43" s="2"/>
      <c r="P43" s="2"/>
    </row>
    <row r="44" spans="1:16" ht="12.75">
      <c r="A44" s="339" t="s">
        <v>4571</v>
      </c>
      <c r="B44" s="331" t="s">
        <v>311</v>
      </c>
      <c r="C44" s="332" t="s">
        <v>313</v>
      </c>
      <c r="D44" s="333" t="s">
        <v>314</v>
      </c>
      <c r="E44" s="42"/>
      <c r="F44" s="9"/>
      <c r="G44" s="9"/>
      <c r="H44" s="9"/>
      <c r="I44" s="9"/>
      <c r="J44" s="9"/>
      <c r="K44" s="9"/>
      <c r="L44" s="9"/>
      <c r="M44" s="2"/>
      <c r="N44" s="2"/>
      <c r="O44" s="2"/>
      <c r="P44" s="2"/>
    </row>
    <row r="45" spans="1:16" ht="12.75">
      <c r="A45" s="334" t="s">
        <v>4554</v>
      </c>
      <c r="B45" s="334" t="s">
        <v>318</v>
      </c>
      <c r="C45" s="332" t="s">
        <v>320</v>
      </c>
      <c r="D45" s="333" t="s">
        <v>321</v>
      </c>
      <c r="E45" s="42"/>
      <c r="F45" s="9"/>
      <c r="G45" s="9"/>
      <c r="H45" s="9"/>
      <c r="I45" s="9"/>
      <c r="J45" s="9"/>
      <c r="K45" s="9"/>
      <c r="L45" s="9"/>
      <c r="M45" s="2"/>
      <c r="N45" s="2"/>
      <c r="O45" s="2"/>
      <c r="P45" s="2"/>
    </row>
    <row r="46" spans="1:16" ht="12.75">
      <c r="A46" s="331" t="s">
        <v>4557</v>
      </c>
      <c r="B46" s="331" t="s">
        <v>325</v>
      </c>
      <c r="C46" s="332" t="s">
        <v>203</v>
      </c>
      <c r="D46" s="333" t="s">
        <v>327</v>
      </c>
      <c r="E46" s="42"/>
      <c r="F46" s="9"/>
      <c r="G46" s="9"/>
      <c r="H46" s="9"/>
      <c r="I46" s="9"/>
      <c r="J46" s="9"/>
      <c r="K46" s="9"/>
      <c r="L46" s="9"/>
      <c r="M46" s="2"/>
      <c r="N46" s="2"/>
      <c r="O46" s="2"/>
      <c r="P46" s="2"/>
    </row>
    <row r="47" spans="1:16" ht="12.75">
      <c r="A47" s="334" t="s">
        <v>4560</v>
      </c>
      <c r="B47" s="334" t="s">
        <v>331</v>
      </c>
      <c r="C47" s="332" t="s">
        <v>333</v>
      </c>
      <c r="D47" s="333" t="s">
        <v>334</v>
      </c>
      <c r="E47" s="42"/>
      <c r="F47" s="9"/>
      <c r="G47" s="9"/>
      <c r="H47" s="9"/>
      <c r="I47" s="9"/>
      <c r="J47" s="9"/>
      <c r="K47" s="9"/>
      <c r="L47" s="9"/>
      <c r="M47" s="2"/>
      <c r="N47" s="2"/>
      <c r="O47" s="2"/>
      <c r="P47" s="2"/>
    </row>
    <row r="48" spans="1:16" ht="12.75">
      <c r="A48" s="334" t="s">
        <v>4562</v>
      </c>
      <c r="B48" s="334" t="s">
        <v>342</v>
      </c>
      <c r="C48" s="332" t="s">
        <v>41</v>
      </c>
      <c r="D48" s="333" t="s">
        <v>105</v>
      </c>
      <c r="E48" s="42"/>
      <c r="F48" s="9"/>
      <c r="G48" s="9"/>
      <c r="H48" s="9"/>
      <c r="I48" s="9"/>
      <c r="J48" s="9"/>
      <c r="K48" s="9"/>
      <c r="L48" s="9"/>
      <c r="M48" s="2"/>
      <c r="N48" s="2"/>
      <c r="O48" s="2"/>
      <c r="P48" s="2"/>
    </row>
    <row r="49" spans="1:16" ht="12.75">
      <c r="A49" s="331" t="s">
        <v>4594</v>
      </c>
      <c r="B49" s="331" t="s">
        <v>348</v>
      </c>
      <c r="C49" s="332" t="s">
        <v>203</v>
      </c>
      <c r="D49" s="346" t="s">
        <v>350</v>
      </c>
      <c r="E49" s="42"/>
      <c r="F49" s="9"/>
      <c r="G49" s="9"/>
      <c r="H49" s="9"/>
      <c r="I49" s="9"/>
      <c r="J49" s="9"/>
      <c r="K49" s="9"/>
      <c r="L49" s="9"/>
      <c r="M49" s="2"/>
      <c r="N49" s="2"/>
      <c r="O49" s="2"/>
      <c r="P49" s="2"/>
    </row>
    <row r="50" spans="1:16" ht="12.75">
      <c r="A50" s="334" t="s">
        <v>2245</v>
      </c>
      <c r="B50" s="334" t="s">
        <v>354</v>
      </c>
      <c r="C50" s="332" t="s">
        <v>356</v>
      </c>
      <c r="D50" s="333" t="s">
        <v>358</v>
      </c>
      <c r="E50" s="42"/>
      <c r="F50" s="9"/>
      <c r="G50" s="9"/>
      <c r="H50" s="9"/>
      <c r="I50" s="9"/>
      <c r="J50" s="9"/>
      <c r="K50" s="9"/>
      <c r="L50" s="9"/>
      <c r="M50" s="2"/>
      <c r="N50" s="2"/>
      <c r="O50" s="2"/>
      <c r="P50" s="2"/>
    </row>
    <row r="51" spans="1:16" ht="12.75">
      <c r="A51" s="331" t="s">
        <v>4553</v>
      </c>
      <c r="B51" s="331" t="s">
        <v>361</v>
      </c>
      <c r="C51" s="332" t="s">
        <v>65</v>
      </c>
      <c r="D51" s="333" t="s">
        <v>363</v>
      </c>
      <c r="E51" s="42"/>
      <c r="F51" s="9"/>
      <c r="G51" s="9"/>
      <c r="H51" s="9"/>
      <c r="I51" s="9"/>
      <c r="J51" s="9"/>
      <c r="K51" s="9"/>
      <c r="L51" s="9"/>
      <c r="M51" s="2"/>
      <c r="N51" s="2"/>
      <c r="O51" s="2"/>
      <c r="P51" s="2"/>
    </row>
    <row r="52" spans="1:16" ht="12.75">
      <c r="A52" s="334" t="s">
        <v>4593</v>
      </c>
      <c r="B52" s="334" t="s">
        <v>367</v>
      </c>
      <c r="C52" s="332" t="s">
        <v>369</v>
      </c>
      <c r="D52" s="333" t="s">
        <v>370</v>
      </c>
      <c r="E52" s="42"/>
      <c r="F52" s="9"/>
      <c r="G52" s="9"/>
      <c r="H52" s="9"/>
      <c r="I52" s="9"/>
      <c r="J52" s="9"/>
      <c r="K52" s="9"/>
      <c r="L52" s="9"/>
      <c r="M52" s="2"/>
      <c r="N52" s="2"/>
      <c r="O52" s="2"/>
      <c r="P52" s="2"/>
    </row>
    <row r="53" spans="1:16" ht="12.75">
      <c r="A53" s="331" t="s">
        <v>4547</v>
      </c>
      <c r="B53" s="331" t="s">
        <v>375</v>
      </c>
      <c r="C53" s="332" t="s">
        <v>377</v>
      </c>
      <c r="D53" s="333" t="s">
        <v>379</v>
      </c>
      <c r="E53" s="327"/>
      <c r="F53" s="22"/>
      <c r="G53" s="22"/>
      <c r="H53" s="22"/>
      <c r="I53" s="22"/>
      <c r="J53" s="22"/>
      <c r="K53" s="22"/>
      <c r="L53" s="22"/>
      <c r="M53" s="23"/>
      <c r="N53" s="23"/>
      <c r="O53" s="23"/>
      <c r="P53" s="23"/>
    </row>
    <row r="54" spans="1:16" ht="12.75">
      <c r="A54" s="334" t="s">
        <v>4547</v>
      </c>
      <c r="B54" s="334" t="s">
        <v>383</v>
      </c>
      <c r="C54" s="332" t="s">
        <v>385</v>
      </c>
      <c r="D54" s="333" t="s">
        <v>386</v>
      </c>
      <c r="E54" s="42"/>
      <c r="F54" s="9"/>
      <c r="G54" s="9"/>
      <c r="H54" s="9"/>
      <c r="I54" s="9"/>
      <c r="J54" s="9"/>
      <c r="K54" s="9"/>
      <c r="L54" s="9"/>
      <c r="M54" s="2"/>
      <c r="N54" s="2"/>
      <c r="O54" s="2"/>
      <c r="P54" s="2"/>
    </row>
    <row r="55" spans="1:16">
      <c r="A55" s="334" t="s">
        <v>4560</v>
      </c>
      <c r="B55" s="334" t="s">
        <v>243</v>
      </c>
      <c r="C55" s="332" t="s">
        <v>245</v>
      </c>
      <c r="D55" s="347" t="s">
        <v>246</v>
      </c>
      <c r="E55" s="42"/>
      <c r="F55" s="9"/>
      <c r="G55" s="9"/>
      <c r="H55" s="9"/>
      <c r="I55" s="9"/>
      <c r="J55" s="9"/>
      <c r="K55" s="9"/>
      <c r="L55" s="9"/>
      <c r="M55" s="2"/>
      <c r="N55" s="2"/>
      <c r="O55" s="2"/>
      <c r="P55" s="2"/>
    </row>
    <row r="56" spans="1:16" ht="12.75">
      <c r="A56" s="331" t="s">
        <v>4545</v>
      </c>
      <c r="B56" s="331" t="s">
        <v>396</v>
      </c>
      <c r="C56" s="332" t="s">
        <v>398</v>
      </c>
      <c r="D56" s="333" t="s">
        <v>399</v>
      </c>
      <c r="E56" s="42"/>
      <c r="F56" s="9"/>
      <c r="G56" s="9"/>
      <c r="H56" s="9"/>
      <c r="I56" s="9"/>
      <c r="J56" s="9"/>
      <c r="K56" s="9"/>
      <c r="L56" s="9"/>
      <c r="M56" s="2"/>
      <c r="N56" s="2"/>
      <c r="O56" s="2"/>
      <c r="P56" s="2"/>
    </row>
    <row r="57" spans="1:16" ht="12.75">
      <c r="A57" s="334" t="s">
        <v>4545</v>
      </c>
      <c r="B57" s="334" t="s">
        <v>403</v>
      </c>
      <c r="C57" s="332" t="s">
        <v>218</v>
      </c>
      <c r="D57" s="333" t="s">
        <v>404</v>
      </c>
      <c r="E57" s="42"/>
      <c r="F57" s="9"/>
      <c r="G57" s="9"/>
      <c r="H57" s="9"/>
      <c r="I57" s="9"/>
      <c r="J57" s="9"/>
      <c r="K57" s="9"/>
      <c r="L57" s="9"/>
      <c r="M57" s="2"/>
      <c r="N57" s="2"/>
      <c r="O57" s="2"/>
      <c r="P57" s="2"/>
    </row>
    <row r="58" spans="1:16" ht="12.75">
      <c r="A58" s="331" t="s">
        <v>4572</v>
      </c>
      <c r="B58" s="331" t="s">
        <v>408</v>
      </c>
      <c r="C58" s="332" t="s">
        <v>410</v>
      </c>
      <c r="D58" s="333" t="s">
        <v>411</v>
      </c>
      <c r="E58" s="42"/>
      <c r="F58" s="9"/>
      <c r="G58" s="9"/>
      <c r="H58" s="9"/>
      <c r="I58" s="9"/>
      <c r="J58" s="9"/>
      <c r="K58" s="9"/>
      <c r="L58" s="9"/>
      <c r="M58" s="2"/>
      <c r="N58" s="2"/>
      <c r="O58" s="2"/>
      <c r="P58" s="2"/>
    </row>
    <row r="59" spans="1:16" ht="12.75">
      <c r="A59" s="334" t="s">
        <v>353</v>
      </c>
      <c r="B59" s="334" t="s">
        <v>414</v>
      </c>
      <c r="C59" s="332" t="s">
        <v>416</v>
      </c>
      <c r="D59" s="333" t="s">
        <v>417</v>
      </c>
      <c r="E59" s="42"/>
      <c r="F59" s="9"/>
      <c r="G59" s="9"/>
      <c r="H59" s="9"/>
      <c r="I59" s="9"/>
      <c r="J59" s="9"/>
      <c r="K59" s="9"/>
      <c r="L59" s="9"/>
      <c r="M59" s="2"/>
      <c r="N59" s="2"/>
      <c r="O59" s="2"/>
      <c r="P59" s="2"/>
    </row>
    <row r="60" spans="1:16" ht="12.75">
      <c r="A60" s="331" t="s">
        <v>4557</v>
      </c>
      <c r="B60" s="331" t="s">
        <v>420</v>
      </c>
      <c r="C60" s="332" t="s">
        <v>65</v>
      </c>
      <c r="D60" s="333" t="s">
        <v>422</v>
      </c>
      <c r="E60" s="42"/>
      <c r="F60" s="9"/>
      <c r="G60" s="9"/>
      <c r="H60" s="9"/>
      <c r="I60" s="9"/>
      <c r="J60" s="9"/>
      <c r="K60" s="9"/>
      <c r="L60" s="9"/>
      <c r="M60" s="2"/>
      <c r="N60" s="2"/>
      <c r="O60" s="2"/>
      <c r="P60" s="2"/>
    </row>
    <row r="61" spans="1:16" ht="12.75">
      <c r="A61" s="334" t="s">
        <v>4545</v>
      </c>
      <c r="B61" s="334" t="s">
        <v>98</v>
      </c>
      <c r="C61" s="332" t="s">
        <v>100</v>
      </c>
      <c r="D61" s="333" t="s">
        <v>101</v>
      </c>
      <c r="E61" s="42"/>
      <c r="F61" s="9"/>
      <c r="G61" s="9"/>
      <c r="H61" s="9"/>
      <c r="I61" s="9"/>
      <c r="J61" s="9"/>
      <c r="K61" s="9"/>
      <c r="L61" s="9"/>
      <c r="M61" s="2"/>
      <c r="N61" s="2"/>
      <c r="O61" s="2"/>
      <c r="P61" s="2"/>
    </row>
    <row r="62" spans="1:16" ht="12.75">
      <c r="A62" s="331" t="s">
        <v>4547</v>
      </c>
      <c r="B62" s="331" t="s">
        <v>435</v>
      </c>
      <c r="C62" s="332" t="s">
        <v>437</v>
      </c>
      <c r="D62" s="333" t="s">
        <v>438</v>
      </c>
      <c r="E62" s="42"/>
      <c r="F62" s="9"/>
      <c r="G62" s="9"/>
      <c r="H62" s="9"/>
      <c r="I62" s="9"/>
      <c r="J62" s="9"/>
      <c r="K62" s="9"/>
      <c r="L62" s="9"/>
      <c r="M62" s="2"/>
      <c r="N62" s="2"/>
      <c r="O62" s="2"/>
      <c r="P62" s="2"/>
    </row>
    <row r="63" spans="1:16" ht="12.75">
      <c r="A63" s="334" t="s">
        <v>4554</v>
      </c>
      <c r="B63" s="348" t="s">
        <v>354</v>
      </c>
      <c r="C63" s="332" t="s">
        <v>14</v>
      </c>
      <c r="D63" s="333" t="s">
        <v>105</v>
      </c>
      <c r="E63" s="42"/>
      <c r="F63" s="9"/>
      <c r="G63" s="9"/>
      <c r="H63" s="9"/>
      <c r="I63" s="9"/>
      <c r="J63" s="9"/>
      <c r="K63" s="9"/>
      <c r="L63" s="9"/>
      <c r="M63" s="2"/>
      <c r="N63" s="2"/>
      <c r="O63" s="2"/>
      <c r="P63" s="2"/>
    </row>
    <row r="64" spans="1:16" ht="12.75">
      <c r="A64" s="331" t="s">
        <v>4562</v>
      </c>
      <c r="B64" s="331" t="s">
        <v>342</v>
      </c>
      <c r="C64" s="332" t="s">
        <v>356</v>
      </c>
      <c r="D64" s="333" t="s">
        <v>105</v>
      </c>
      <c r="E64" s="42"/>
      <c r="F64" s="9"/>
      <c r="G64" s="9"/>
      <c r="H64" s="9"/>
      <c r="I64" s="9"/>
      <c r="J64" s="9"/>
      <c r="K64" s="9"/>
      <c r="L64" s="9"/>
      <c r="M64" s="2"/>
      <c r="N64" s="2"/>
      <c r="O64" s="2"/>
      <c r="P64" s="2"/>
    </row>
    <row r="65" spans="1:16" ht="12.75">
      <c r="A65" s="334" t="s">
        <v>4562</v>
      </c>
      <c r="B65" s="334" t="s">
        <v>449</v>
      </c>
      <c r="C65" s="332" t="s">
        <v>451</v>
      </c>
      <c r="D65" s="333" t="s">
        <v>87</v>
      </c>
      <c r="E65" s="42"/>
      <c r="F65" s="9"/>
      <c r="G65" s="9"/>
      <c r="H65" s="9"/>
      <c r="I65" s="9"/>
      <c r="J65" s="9"/>
      <c r="K65" s="9"/>
      <c r="L65" s="9"/>
      <c r="M65" s="2"/>
      <c r="N65" s="2"/>
      <c r="O65" s="2"/>
      <c r="P65" s="2"/>
    </row>
    <row r="66" spans="1:16" ht="12.75">
      <c r="A66" s="331" t="s">
        <v>4560</v>
      </c>
      <c r="B66" s="331" t="s">
        <v>455</v>
      </c>
      <c r="C66" s="332" t="s">
        <v>218</v>
      </c>
      <c r="D66" s="333" t="s">
        <v>457</v>
      </c>
      <c r="E66" s="42"/>
      <c r="F66" s="9"/>
      <c r="G66" s="9"/>
      <c r="H66" s="9"/>
      <c r="I66" s="9"/>
      <c r="J66" s="9"/>
      <c r="K66" s="9"/>
      <c r="L66" s="9"/>
      <c r="M66" s="2"/>
      <c r="N66" s="2"/>
      <c r="O66" s="2"/>
      <c r="P66" s="2"/>
    </row>
    <row r="67" spans="1:16" ht="12.75">
      <c r="A67" s="334" t="s">
        <v>4554</v>
      </c>
      <c r="B67" s="334" t="s">
        <v>461</v>
      </c>
      <c r="C67" s="332" t="s">
        <v>463</v>
      </c>
      <c r="D67" s="333" t="s">
        <v>464</v>
      </c>
      <c r="E67" s="42"/>
      <c r="F67" s="9"/>
      <c r="G67" s="9"/>
      <c r="H67" s="9"/>
      <c r="I67" s="9"/>
      <c r="J67" s="9"/>
      <c r="K67" s="9"/>
      <c r="L67" s="9"/>
      <c r="M67" s="2"/>
      <c r="N67" s="2"/>
      <c r="O67" s="2"/>
      <c r="P67" s="2"/>
    </row>
    <row r="68" spans="1:16" ht="12.75">
      <c r="A68" s="331" t="s">
        <v>4558</v>
      </c>
      <c r="B68" s="331" t="s">
        <v>468</v>
      </c>
      <c r="C68" s="332" t="s">
        <v>65</v>
      </c>
      <c r="D68" s="333" t="s">
        <v>470</v>
      </c>
      <c r="E68" s="42"/>
      <c r="F68" s="9"/>
      <c r="G68" s="9"/>
      <c r="H68" s="9"/>
      <c r="I68" s="9"/>
      <c r="J68" s="9"/>
      <c r="K68" s="9"/>
      <c r="L68" s="9"/>
      <c r="M68" s="2"/>
      <c r="N68" s="2"/>
      <c r="O68" s="2"/>
      <c r="P68" s="2"/>
    </row>
    <row r="69" spans="1:16" ht="12.75">
      <c r="A69" s="334" t="s">
        <v>4562</v>
      </c>
      <c r="B69" s="334" t="s">
        <v>57</v>
      </c>
      <c r="C69" s="332" t="s">
        <v>59</v>
      </c>
      <c r="D69" s="333" t="s">
        <v>60</v>
      </c>
      <c r="E69" s="42"/>
      <c r="F69" s="9"/>
      <c r="G69" s="9"/>
      <c r="H69" s="9"/>
      <c r="I69" s="9"/>
      <c r="J69" s="9"/>
      <c r="K69" s="9"/>
      <c r="L69" s="9"/>
      <c r="M69" s="2"/>
      <c r="N69" s="2"/>
      <c r="O69" s="2"/>
      <c r="P69" s="2"/>
    </row>
    <row r="70" spans="1:16" ht="12.75">
      <c r="A70" s="331" t="s">
        <v>4546</v>
      </c>
      <c r="B70" s="331" t="s">
        <v>476</v>
      </c>
      <c r="C70" s="332" t="s">
        <v>237</v>
      </c>
      <c r="D70" s="333" t="s">
        <v>478</v>
      </c>
      <c r="E70" s="42"/>
      <c r="F70" s="9"/>
      <c r="G70" s="9"/>
      <c r="H70" s="9"/>
      <c r="I70" s="9"/>
      <c r="J70" s="9"/>
      <c r="K70" s="9"/>
      <c r="L70" s="9"/>
      <c r="M70" s="2"/>
      <c r="N70" s="2"/>
      <c r="O70" s="2"/>
      <c r="P70" s="2"/>
    </row>
    <row r="71" spans="1:16" ht="12.75">
      <c r="A71" s="334" t="s">
        <v>4560</v>
      </c>
      <c r="B71" s="334" t="s">
        <v>481</v>
      </c>
      <c r="C71" s="332" t="s">
        <v>483</v>
      </c>
      <c r="D71" s="333" t="s">
        <v>484</v>
      </c>
      <c r="E71" s="42"/>
      <c r="F71" s="9"/>
      <c r="G71" s="9"/>
      <c r="H71" s="9"/>
      <c r="I71" s="9"/>
      <c r="J71" s="9"/>
      <c r="K71" s="9"/>
      <c r="L71" s="9"/>
      <c r="M71" s="2"/>
      <c r="N71" s="2"/>
      <c r="O71" s="2"/>
      <c r="P71" s="2"/>
    </row>
    <row r="72" spans="1:16" ht="12.75">
      <c r="A72" s="331" t="s">
        <v>4545</v>
      </c>
      <c r="B72" s="331" t="s">
        <v>487</v>
      </c>
      <c r="C72" s="332" t="s">
        <v>489</v>
      </c>
      <c r="D72" s="333" t="s">
        <v>490</v>
      </c>
      <c r="E72" s="42"/>
      <c r="F72" s="9"/>
      <c r="G72" s="9"/>
      <c r="H72" s="9"/>
      <c r="I72" s="9"/>
      <c r="J72" s="9"/>
      <c r="K72" s="9"/>
      <c r="L72" s="9"/>
      <c r="M72" s="2"/>
      <c r="N72" s="2"/>
      <c r="O72" s="2"/>
      <c r="P72" s="2"/>
    </row>
    <row r="73" spans="1:16" ht="12.75">
      <c r="A73" s="334" t="s">
        <v>4560</v>
      </c>
      <c r="B73" s="334" t="s">
        <v>493</v>
      </c>
      <c r="C73" s="332" t="s">
        <v>495</v>
      </c>
      <c r="D73" s="333" t="s">
        <v>496</v>
      </c>
      <c r="E73" s="42"/>
      <c r="F73" s="9"/>
      <c r="G73" s="9"/>
      <c r="H73" s="9"/>
      <c r="I73" s="9"/>
      <c r="J73" s="9"/>
      <c r="K73" s="9"/>
      <c r="L73" s="9"/>
      <c r="M73" s="2"/>
      <c r="N73" s="2"/>
      <c r="O73" s="2"/>
      <c r="P73" s="2"/>
    </row>
    <row r="74" spans="1:16" ht="12.75">
      <c r="A74" s="334" t="s">
        <v>4554</v>
      </c>
      <c r="B74" s="334" t="s">
        <v>502</v>
      </c>
      <c r="C74" s="332" t="s">
        <v>504</v>
      </c>
      <c r="D74" s="333" t="s">
        <v>505</v>
      </c>
      <c r="E74" s="42"/>
      <c r="F74" s="9"/>
      <c r="G74" s="9"/>
      <c r="H74" s="9"/>
      <c r="I74" s="9"/>
      <c r="J74" s="9"/>
      <c r="K74" s="9"/>
      <c r="L74" s="9"/>
      <c r="M74" s="2"/>
      <c r="N74" s="2"/>
      <c r="O74" s="2"/>
      <c r="P74" s="2"/>
    </row>
    <row r="75" spans="1:16" ht="12.75">
      <c r="A75" s="331" t="s">
        <v>4551</v>
      </c>
      <c r="B75" s="331" t="s">
        <v>509</v>
      </c>
      <c r="C75" s="332" t="s">
        <v>511</v>
      </c>
      <c r="D75" s="333" t="s">
        <v>513</v>
      </c>
      <c r="E75" s="42"/>
      <c r="F75" s="9"/>
      <c r="G75" s="9"/>
      <c r="H75" s="9"/>
      <c r="I75" s="9"/>
      <c r="J75" s="9"/>
      <c r="K75" s="9"/>
      <c r="L75" s="9"/>
      <c r="M75" s="2"/>
      <c r="N75" s="2"/>
      <c r="O75" s="2"/>
      <c r="P75" s="2"/>
    </row>
    <row r="76" spans="1:16" ht="12.75">
      <c r="A76" s="334" t="s">
        <v>2894</v>
      </c>
      <c r="B76" s="334" t="s">
        <v>517</v>
      </c>
      <c r="C76" s="332" t="s">
        <v>356</v>
      </c>
      <c r="D76" s="333" t="s">
        <v>519</v>
      </c>
      <c r="E76" s="42"/>
      <c r="F76" s="9"/>
      <c r="G76" s="9"/>
      <c r="H76" s="9"/>
      <c r="I76" s="9"/>
      <c r="J76" s="9"/>
      <c r="K76" s="9"/>
      <c r="L76" s="9"/>
      <c r="M76" s="2"/>
      <c r="N76" s="2"/>
      <c r="O76" s="2"/>
      <c r="P76" s="2"/>
    </row>
    <row r="77" spans="1:16" ht="12.75">
      <c r="A77" s="344" t="s">
        <v>4557</v>
      </c>
      <c r="B77" s="349" t="s">
        <v>523</v>
      </c>
      <c r="C77" s="332" t="s">
        <v>525</v>
      </c>
      <c r="D77" s="350" t="s">
        <v>526</v>
      </c>
      <c r="E77" s="42"/>
      <c r="F77" s="9"/>
      <c r="G77" s="9"/>
      <c r="H77" s="9"/>
      <c r="I77" s="9"/>
      <c r="J77" s="9"/>
      <c r="K77" s="9"/>
      <c r="L77" s="9"/>
      <c r="M77" s="2"/>
      <c r="N77" s="2"/>
      <c r="O77" s="2"/>
      <c r="P77" s="2"/>
    </row>
    <row r="78" spans="1:16" ht="12.75">
      <c r="A78" s="331" t="s">
        <v>4554</v>
      </c>
      <c r="B78" s="331" t="s">
        <v>534</v>
      </c>
      <c r="C78" s="332" t="s">
        <v>536</v>
      </c>
      <c r="D78" s="333" t="s">
        <v>537</v>
      </c>
      <c r="E78" s="42"/>
      <c r="F78" s="9"/>
      <c r="G78" s="9"/>
      <c r="H78" s="9"/>
      <c r="I78" s="9"/>
      <c r="J78" s="9"/>
      <c r="K78" s="9"/>
      <c r="L78" s="9"/>
      <c r="M78" s="2"/>
      <c r="N78" s="2"/>
      <c r="O78" s="2"/>
      <c r="P78" s="2"/>
    </row>
    <row r="79" spans="1:16" ht="12.75">
      <c r="A79" s="334" t="s">
        <v>4562</v>
      </c>
      <c r="B79" s="334" t="s">
        <v>342</v>
      </c>
      <c r="C79" s="332" t="s">
        <v>41</v>
      </c>
      <c r="D79" s="333" t="s">
        <v>105</v>
      </c>
      <c r="E79" s="42"/>
      <c r="F79" s="9"/>
      <c r="G79" s="9"/>
      <c r="H79" s="9"/>
      <c r="I79" s="9"/>
      <c r="J79" s="9"/>
      <c r="K79" s="9"/>
      <c r="L79" s="9"/>
      <c r="M79" s="2"/>
      <c r="N79" s="2"/>
      <c r="O79" s="2"/>
      <c r="P79" s="2"/>
    </row>
    <row r="80" spans="1:16" ht="12.75">
      <c r="A80" s="331" t="s">
        <v>4553</v>
      </c>
      <c r="B80" s="331" t="s">
        <v>548</v>
      </c>
      <c r="C80" s="332" t="s">
        <v>550</v>
      </c>
      <c r="D80" s="333" t="s">
        <v>551</v>
      </c>
      <c r="E80" s="42"/>
      <c r="F80" s="9"/>
      <c r="G80" s="9"/>
      <c r="H80" s="9"/>
      <c r="I80" s="9"/>
      <c r="J80" s="9"/>
      <c r="K80" s="9"/>
      <c r="L80" s="9"/>
      <c r="M80" s="2"/>
      <c r="N80" s="2"/>
      <c r="O80" s="2"/>
      <c r="P80" s="2"/>
    </row>
    <row r="81" spans="1:16" ht="12.75">
      <c r="A81" s="334" t="s">
        <v>4548</v>
      </c>
      <c r="B81" s="334" t="s">
        <v>554</v>
      </c>
      <c r="C81" s="332" t="s">
        <v>556</v>
      </c>
      <c r="D81" s="333" t="s">
        <v>557</v>
      </c>
      <c r="E81" s="42"/>
      <c r="F81" s="9"/>
      <c r="G81" s="9"/>
      <c r="H81" s="9"/>
      <c r="I81" s="9"/>
      <c r="J81" s="9"/>
      <c r="K81" s="9"/>
      <c r="L81" s="9"/>
      <c r="M81" s="2"/>
      <c r="N81" s="2"/>
      <c r="O81" s="2"/>
      <c r="P81" s="2"/>
    </row>
    <row r="82" spans="1:16" ht="12.75">
      <c r="A82" s="331" t="s">
        <v>4546</v>
      </c>
      <c r="B82" s="331" t="s">
        <v>560</v>
      </c>
      <c r="C82" s="332" t="s">
        <v>562</v>
      </c>
      <c r="D82" s="333" t="s">
        <v>363</v>
      </c>
      <c r="E82" s="42"/>
      <c r="F82" s="9"/>
      <c r="G82" s="9"/>
      <c r="H82" s="9"/>
      <c r="I82" s="9"/>
      <c r="J82" s="9"/>
      <c r="K82" s="9"/>
      <c r="L82" s="9"/>
      <c r="M82" s="2"/>
      <c r="N82" s="2"/>
      <c r="O82" s="2"/>
      <c r="P82" s="2"/>
    </row>
    <row r="83" spans="1:16" ht="12.75">
      <c r="A83" s="334" t="s">
        <v>4562</v>
      </c>
      <c r="B83" s="334" t="s">
        <v>566</v>
      </c>
      <c r="C83" s="332" t="s">
        <v>568</v>
      </c>
      <c r="D83" s="333" t="s">
        <v>569</v>
      </c>
      <c r="E83" s="42"/>
      <c r="F83" s="9"/>
      <c r="G83" s="9"/>
      <c r="H83" s="9"/>
      <c r="I83" s="9"/>
      <c r="J83" s="9"/>
      <c r="K83" s="9"/>
      <c r="L83" s="9"/>
      <c r="M83" s="2"/>
      <c r="N83" s="2"/>
      <c r="O83" s="2"/>
      <c r="P83" s="2"/>
    </row>
    <row r="84" spans="1:16" ht="12.75">
      <c r="A84" s="344" t="s">
        <v>4546</v>
      </c>
      <c r="B84" s="331" t="s">
        <v>574</v>
      </c>
      <c r="C84" s="332" t="s">
        <v>576</v>
      </c>
      <c r="D84" s="333" t="s">
        <v>578</v>
      </c>
      <c r="E84" s="42"/>
      <c r="F84" s="9"/>
      <c r="G84" s="9"/>
      <c r="H84" s="9"/>
      <c r="I84" s="9"/>
      <c r="J84" s="9"/>
      <c r="K84" s="9"/>
      <c r="L84" s="9"/>
      <c r="M84" s="2"/>
      <c r="N84" s="2"/>
      <c r="O84" s="2"/>
      <c r="P84" s="2"/>
    </row>
    <row r="85" spans="1:16" ht="12.75">
      <c r="A85" s="334" t="s">
        <v>4562</v>
      </c>
      <c r="B85" s="334" t="s">
        <v>581</v>
      </c>
      <c r="C85" s="332" t="s">
        <v>583</v>
      </c>
      <c r="D85" s="339" t="s">
        <v>246</v>
      </c>
      <c r="E85" s="42"/>
      <c r="F85" s="9"/>
      <c r="G85" s="9"/>
      <c r="H85" s="9"/>
      <c r="I85" s="9"/>
      <c r="J85" s="9"/>
      <c r="K85" s="9"/>
      <c r="L85" s="9"/>
      <c r="M85" s="2"/>
      <c r="N85" s="2"/>
      <c r="O85" s="2"/>
      <c r="P85" s="2"/>
    </row>
    <row r="86" spans="1:16" ht="12.75">
      <c r="A86" s="331" t="s">
        <v>4557</v>
      </c>
      <c r="B86" s="331" t="s">
        <v>586</v>
      </c>
      <c r="C86" s="332" t="s">
        <v>218</v>
      </c>
      <c r="D86" s="333" t="s">
        <v>588</v>
      </c>
      <c r="E86" s="42"/>
      <c r="F86" s="9"/>
      <c r="G86" s="9"/>
      <c r="H86" s="9"/>
      <c r="I86" s="9"/>
      <c r="J86" s="9"/>
      <c r="K86" s="9"/>
      <c r="L86" s="9"/>
      <c r="M86" s="2"/>
      <c r="N86" s="2"/>
      <c r="O86" s="2"/>
      <c r="P86" s="2"/>
    </row>
    <row r="87" spans="1:16" ht="12.75">
      <c r="A87" s="334" t="s">
        <v>4562</v>
      </c>
      <c r="B87" s="334" t="s">
        <v>591</v>
      </c>
      <c r="C87" s="332" t="s">
        <v>86</v>
      </c>
      <c r="D87" s="333" t="s">
        <v>87</v>
      </c>
      <c r="E87" s="42"/>
      <c r="F87" s="9"/>
      <c r="G87" s="9"/>
      <c r="H87" s="9"/>
      <c r="I87" s="9"/>
      <c r="J87" s="9"/>
      <c r="K87" s="9"/>
      <c r="L87" s="9"/>
      <c r="M87" s="2"/>
      <c r="N87" s="2"/>
      <c r="O87" s="2"/>
      <c r="P87" s="2"/>
    </row>
    <row r="88" spans="1:16" ht="12.75">
      <c r="A88" s="331" t="s">
        <v>201</v>
      </c>
      <c r="B88" s="331" t="s">
        <v>593</v>
      </c>
      <c r="C88" s="332" t="s">
        <v>203</v>
      </c>
      <c r="D88" s="333" t="s">
        <v>204</v>
      </c>
      <c r="E88" s="42"/>
      <c r="F88" s="9"/>
      <c r="G88" s="9"/>
      <c r="H88" s="9"/>
      <c r="I88" s="9"/>
      <c r="J88" s="9"/>
      <c r="K88" s="9"/>
      <c r="L88" s="9"/>
      <c r="M88" s="2"/>
      <c r="N88" s="2"/>
      <c r="O88" s="2"/>
      <c r="P88" s="2"/>
    </row>
    <row r="89" spans="1:16" ht="12.75">
      <c r="A89" s="334" t="s">
        <v>4557</v>
      </c>
      <c r="B89" s="334" t="s">
        <v>597</v>
      </c>
      <c r="C89" s="332" t="s">
        <v>599</v>
      </c>
      <c r="D89" s="333" t="s">
        <v>601</v>
      </c>
      <c r="E89" s="42"/>
      <c r="F89" s="9"/>
      <c r="G89" s="9"/>
      <c r="H89" s="9"/>
      <c r="I89" s="9"/>
      <c r="J89" s="9"/>
      <c r="K89" s="9"/>
      <c r="L89" s="9"/>
      <c r="M89" s="2"/>
      <c r="N89" s="2"/>
      <c r="O89" s="2"/>
      <c r="P89" s="2"/>
    </row>
    <row r="90" spans="1:16" ht="12.75">
      <c r="A90" s="331" t="s">
        <v>4546</v>
      </c>
      <c r="B90" s="331" t="s">
        <v>605</v>
      </c>
      <c r="C90" s="332" t="s">
        <v>607</v>
      </c>
      <c r="D90" s="333" t="s">
        <v>608</v>
      </c>
      <c r="E90" s="42"/>
      <c r="F90" s="9"/>
      <c r="G90" s="9"/>
      <c r="H90" s="9"/>
      <c r="I90" s="9"/>
      <c r="J90" s="9"/>
      <c r="K90" s="9"/>
      <c r="L90" s="9"/>
      <c r="M90" s="2"/>
      <c r="N90" s="2"/>
      <c r="O90" s="2"/>
      <c r="P90" s="2"/>
    </row>
    <row r="91" spans="1:16" ht="12.75">
      <c r="A91" s="334" t="s">
        <v>4562</v>
      </c>
      <c r="B91" s="334" t="s">
        <v>611</v>
      </c>
      <c r="C91" s="351"/>
      <c r="D91" s="333" t="s">
        <v>612</v>
      </c>
      <c r="E91" s="42"/>
      <c r="F91" s="9"/>
      <c r="G91" s="9"/>
      <c r="H91" s="9"/>
      <c r="I91" s="9"/>
      <c r="J91" s="9"/>
      <c r="K91" s="9"/>
      <c r="L91" s="9"/>
      <c r="M91" s="2"/>
      <c r="N91" s="2"/>
      <c r="O91" s="2"/>
      <c r="P91" s="2"/>
    </row>
    <row r="92" spans="1:16" ht="12.75">
      <c r="A92" s="331" t="s">
        <v>4562</v>
      </c>
      <c r="B92" s="331" t="s">
        <v>611</v>
      </c>
      <c r="C92" s="332" t="s">
        <v>59</v>
      </c>
      <c r="D92" s="333" t="s">
        <v>612</v>
      </c>
      <c r="E92" s="42"/>
      <c r="F92" s="9"/>
      <c r="G92" s="9"/>
      <c r="H92" s="9"/>
      <c r="I92" s="9"/>
      <c r="J92" s="9"/>
      <c r="K92" s="9"/>
      <c r="L92" s="9"/>
      <c r="M92" s="2"/>
      <c r="N92" s="2"/>
      <c r="O92" s="2"/>
      <c r="P92" s="2"/>
    </row>
    <row r="93" spans="1:16" ht="15">
      <c r="A93" s="352" t="s">
        <v>4545</v>
      </c>
      <c r="B93" s="352" t="s">
        <v>342</v>
      </c>
      <c r="C93" s="353" t="s">
        <v>617</v>
      </c>
      <c r="D93" s="354" t="s">
        <v>105</v>
      </c>
      <c r="E93" s="42"/>
      <c r="F93" s="9"/>
      <c r="G93" s="9"/>
      <c r="H93" s="9"/>
      <c r="I93" s="9"/>
      <c r="J93" s="9"/>
      <c r="K93" s="9"/>
      <c r="L93" s="9"/>
      <c r="M93" s="2"/>
      <c r="N93" s="2"/>
      <c r="O93" s="2"/>
      <c r="P93" s="2"/>
    </row>
    <row r="94" spans="1:16" ht="12.75">
      <c r="A94" s="331" t="s">
        <v>4546</v>
      </c>
      <c r="B94" s="331" t="s">
        <v>621</v>
      </c>
      <c r="C94" s="332" t="s">
        <v>623</v>
      </c>
      <c r="D94" s="333" t="s">
        <v>625</v>
      </c>
      <c r="E94" s="42"/>
      <c r="F94" s="9"/>
      <c r="G94" s="9"/>
      <c r="H94" s="9"/>
      <c r="I94" s="9"/>
      <c r="J94" s="9"/>
      <c r="K94" s="9"/>
      <c r="L94" s="9"/>
      <c r="M94" s="2"/>
      <c r="N94" s="2"/>
      <c r="O94" s="2"/>
      <c r="P94" s="2"/>
    </row>
    <row r="95" spans="1:16" ht="12.75">
      <c r="A95" s="334" t="s">
        <v>4550</v>
      </c>
      <c r="B95" s="334" t="s">
        <v>629</v>
      </c>
      <c r="C95" s="332" t="s">
        <v>218</v>
      </c>
      <c r="D95" s="333" t="s">
        <v>631</v>
      </c>
      <c r="E95" s="42"/>
      <c r="F95" s="9"/>
      <c r="G95" s="9"/>
      <c r="H95" s="9"/>
      <c r="I95" s="9"/>
      <c r="J95" s="9"/>
      <c r="K95" s="9"/>
      <c r="L95" s="9"/>
      <c r="M95" s="2"/>
      <c r="N95" s="2"/>
      <c r="O95" s="2"/>
      <c r="P95" s="2"/>
    </row>
    <row r="96" spans="1:16" ht="12.75">
      <c r="A96" s="339" t="s">
        <v>4545</v>
      </c>
      <c r="B96" s="331" t="s">
        <v>634</v>
      </c>
      <c r="C96" s="332" t="s">
        <v>186</v>
      </c>
      <c r="D96" s="333" t="s">
        <v>636</v>
      </c>
      <c r="E96" s="42"/>
      <c r="F96" s="9"/>
      <c r="G96" s="9"/>
      <c r="H96" s="9"/>
      <c r="I96" s="9"/>
      <c r="J96" s="9"/>
      <c r="K96" s="9"/>
      <c r="L96" s="9"/>
      <c r="M96" s="2"/>
      <c r="N96" s="2"/>
      <c r="O96" s="2"/>
      <c r="P96" s="2"/>
    </row>
    <row r="97" spans="1:16" ht="12.75">
      <c r="A97" s="335" t="s">
        <v>4567</v>
      </c>
      <c r="B97" s="334" t="s">
        <v>641</v>
      </c>
      <c r="C97" s="332" t="s">
        <v>643</v>
      </c>
      <c r="D97" s="333" t="s">
        <v>645</v>
      </c>
      <c r="E97" s="42"/>
      <c r="F97" s="9"/>
      <c r="G97" s="9"/>
      <c r="H97" s="9"/>
      <c r="I97" s="9"/>
      <c r="J97" s="9"/>
      <c r="K97" s="9"/>
      <c r="L97" s="9"/>
      <c r="M97" s="2"/>
      <c r="N97" s="2"/>
      <c r="O97" s="2"/>
      <c r="P97" s="2"/>
    </row>
    <row r="98" spans="1:16" ht="12.75">
      <c r="A98" s="344" t="s">
        <v>4545</v>
      </c>
      <c r="B98" s="331" t="s">
        <v>649</v>
      </c>
      <c r="C98" s="332" t="s">
        <v>650</v>
      </c>
      <c r="D98" s="333" t="s">
        <v>651</v>
      </c>
      <c r="E98" s="42"/>
      <c r="F98" s="9"/>
      <c r="G98" s="9"/>
      <c r="H98" s="9"/>
      <c r="I98" s="9"/>
      <c r="J98" s="9"/>
      <c r="K98" s="9"/>
      <c r="L98" s="9"/>
      <c r="M98" s="2"/>
      <c r="N98" s="2"/>
      <c r="O98" s="2"/>
      <c r="P98" s="2"/>
    </row>
    <row r="99" spans="1:16" ht="12.75">
      <c r="A99" s="334" t="s">
        <v>4572</v>
      </c>
      <c r="B99" s="334" t="s">
        <v>655</v>
      </c>
      <c r="C99" s="332" t="s">
        <v>237</v>
      </c>
      <c r="D99" s="333" t="s">
        <v>658</v>
      </c>
      <c r="E99" s="42"/>
      <c r="F99" s="9"/>
      <c r="G99" s="9"/>
      <c r="H99" s="9"/>
      <c r="I99" s="9"/>
      <c r="J99" s="9"/>
      <c r="K99" s="9"/>
      <c r="L99" s="9"/>
      <c r="M99" s="2"/>
      <c r="N99" s="2"/>
      <c r="O99" s="2"/>
      <c r="P99" s="2"/>
    </row>
    <row r="100" spans="1:16" ht="12.75">
      <c r="A100" s="331" t="s">
        <v>4557</v>
      </c>
      <c r="B100" s="331" t="s">
        <v>662</v>
      </c>
      <c r="C100" s="332" t="s">
        <v>664</v>
      </c>
      <c r="D100" s="333" t="s">
        <v>665</v>
      </c>
      <c r="E100" s="42"/>
      <c r="F100" s="9"/>
      <c r="G100" s="9"/>
      <c r="H100" s="9"/>
      <c r="I100" s="9"/>
      <c r="J100" s="9"/>
      <c r="K100" s="9"/>
      <c r="L100" s="9"/>
      <c r="M100" s="2"/>
      <c r="N100" s="2"/>
      <c r="O100" s="2"/>
      <c r="P100" s="2"/>
    </row>
    <row r="101" spans="1:16" ht="12.75">
      <c r="A101" s="334" t="s">
        <v>4560</v>
      </c>
      <c r="B101" s="334" t="s">
        <v>668</v>
      </c>
      <c r="C101" s="332" t="s">
        <v>237</v>
      </c>
      <c r="D101" s="333" t="s">
        <v>670</v>
      </c>
      <c r="E101" s="42"/>
      <c r="F101" s="9"/>
      <c r="G101" s="9"/>
      <c r="H101" s="9"/>
      <c r="I101" s="9"/>
      <c r="J101" s="9"/>
      <c r="K101" s="9"/>
      <c r="L101" s="9"/>
      <c r="M101" s="2"/>
      <c r="N101" s="2"/>
      <c r="O101" s="2"/>
      <c r="P101" s="2"/>
    </row>
    <row r="102" spans="1:16" ht="12.75">
      <c r="A102" s="331" t="s">
        <v>4554</v>
      </c>
      <c r="B102" s="331" t="s">
        <v>675</v>
      </c>
      <c r="C102" s="332" t="s">
        <v>677</v>
      </c>
      <c r="D102" s="333" t="s">
        <v>678</v>
      </c>
      <c r="E102" s="42"/>
      <c r="F102" s="9"/>
      <c r="G102" s="9"/>
      <c r="H102" s="9"/>
      <c r="I102" s="9"/>
      <c r="J102" s="9"/>
      <c r="K102" s="9"/>
      <c r="L102" s="9"/>
      <c r="M102" s="2"/>
      <c r="N102" s="2"/>
      <c r="O102" s="2"/>
      <c r="P102" s="2"/>
    </row>
    <row r="103" spans="1:16" ht="12.75">
      <c r="A103" s="334" t="s">
        <v>4575</v>
      </c>
      <c r="B103" s="334" t="s">
        <v>681</v>
      </c>
      <c r="C103" s="332" t="s">
        <v>179</v>
      </c>
      <c r="D103" s="333" t="s">
        <v>180</v>
      </c>
      <c r="E103" s="42"/>
      <c r="F103" s="9"/>
      <c r="G103" s="9"/>
      <c r="H103" s="9"/>
      <c r="I103" s="9"/>
      <c r="J103" s="9"/>
      <c r="K103" s="9"/>
      <c r="L103" s="9"/>
      <c r="M103" s="2"/>
      <c r="N103" s="2"/>
      <c r="O103" s="2"/>
      <c r="P103" s="2"/>
    </row>
    <row r="104" spans="1:16" ht="12.75">
      <c r="A104" s="331" t="s">
        <v>4560</v>
      </c>
      <c r="B104" s="331" t="s">
        <v>685</v>
      </c>
      <c r="C104" s="332" t="s">
        <v>687</v>
      </c>
      <c r="D104" s="333" t="s">
        <v>688</v>
      </c>
      <c r="E104" s="42"/>
      <c r="F104" s="9"/>
      <c r="G104" s="9"/>
      <c r="H104" s="9"/>
      <c r="I104" s="9"/>
      <c r="J104" s="9"/>
      <c r="K104" s="9"/>
      <c r="L104" s="9"/>
      <c r="M104" s="2"/>
      <c r="N104" s="2"/>
      <c r="O104" s="2"/>
      <c r="P104" s="2"/>
    </row>
    <row r="105" spans="1:16" ht="12.75">
      <c r="A105" s="334" t="s">
        <v>4567</v>
      </c>
      <c r="B105" s="334" t="s">
        <v>692</v>
      </c>
      <c r="C105" s="332" t="s">
        <v>694</v>
      </c>
      <c r="D105" s="333" t="s">
        <v>695</v>
      </c>
      <c r="E105" s="42"/>
      <c r="F105" s="9"/>
      <c r="G105" s="9"/>
      <c r="H105" s="9"/>
      <c r="I105" s="9"/>
      <c r="J105" s="9"/>
      <c r="K105" s="9"/>
      <c r="L105" s="9"/>
      <c r="M105" s="2"/>
      <c r="N105" s="2"/>
      <c r="O105" s="2"/>
      <c r="P105" s="2"/>
    </row>
    <row r="106" spans="1:16" ht="12.75">
      <c r="A106" s="334" t="s">
        <v>4562</v>
      </c>
      <c r="B106" s="334" t="s">
        <v>700</v>
      </c>
      <c r="C106" s="332" t="s">
        <v>451</v>
      </c>
      <c r="D106" s="333" t="s">
        <v>87</v>
      </c>
      <c r="E106" s="42"/>
      <c r="F106" s="9"/>
      <c r="G106" s="9"/>
      <c r="H106" s="9"/>
      <c r="I106" s="9"/>
      <c r="J106" s="9"/>
      <c r="K106" s="9"/>
      <c r="L106" s="9"/>
      <c r="M106" s="2"/>
      <c r="N106" s="2"/>
      <c r="O106" s="2"/>
      <c r="P106" s="2"/>
    </row>
    <row r="107" spans="1:16" ht="12.75">
      <c r="A107" s="331" t="s">
        <v>4545</v>
      </c>
      <c r="B107" s="331" t="s">
        <v>703</v>
      </c>
      <c r="C107" s="332" t="s">
        <v>705</v>
      </c>
      <c r="D107" s="333" t="s">
        <v>129</v>
      </c>
      <c r="E107" s="42"/>
      <c r="F107" s="9"/>
      <c r="G107" s="9"/>
      <c r="H107" s="9"/>
      <c r="I107" s="9"/>
      <c r="J107" s="9"/>
      <c r="K107" s="9"/>
      <c r="L107" s="9"/>
      <c r="M107" s="2"/>
      <c r="N107" s="2"/>
      <c r="O107" s="2"/>
      <c r="P107" s="2"/>
    </row>
    <row r="108" spans="1:16" ht="12.75">
      <c r="A108" s="334" t="s">
        <v>4562</v>
      </c>
      <c r="B108" s="334" t="s">
        <v>708</v>
      </c>
      <c r="C108" s="332" t="s">
        <v>179</v>
      </c>
      <c r="D108" s="333" t="s">
        <v>42</v>
      </c>
      <c r="E108" s="42"/>
      <c r="F108" s="9"/>
      <c r="G108" s="9"/>
      <c r="H108" s="9"/>
      <c r="I108" s="9"/>
      <c r="J108" s="9"/>
      <c r="K108" s="9"/>
      <c r="L108" s="9"/>
      <c r="M108" s="2"/>
      <c r="N108" s="2"/>
      <c r="O108" s="2"/>
      <c r="P108" s="2"/>
    </row>
    <row r="109" spans="1:16" ht="12.75">
      <c r="A109" s="331" t="s">
        <v>4553</v>
      </c>
      <c r="B109" s="331" t="s">
        <v>711</v>
      </c>
      <c r="C109" s="332" t="s">
        <v>713</v>
      </c>
      <c r="D109" s="333" t="s">
        <v>714</v>
      </c>
      <c r="E109" s="42"/>
      <c r="F109" s="9"/>
      <c r="G109" s="9"/>
      <c r="H109" s="9"/>
      <c r="I109" s="9"/>
      <c r="J109" s="9"/>
      <c r="K109" s="9"/>
      <c r="L109" s="9"/>
      <c r="M109" s="2"/>
      <c r="N109" s="2"/>
      <c r="O109" s="2"/>
      <c r="P109" s="2"/>
    </row>
    <row r="110" spans="1:16" ht="12.75">
      <c r="A110" s="334" t="s">
        <v>4554</v>
      </c>
      <c r="B110" s="334" t="s">
        <v>718</v>
      </c>
      <c r="C110" s="332" t="s">
        <v>59</v>
      </c>
      <c r="D110" s="333" t="s">
        <v>720</v>
      </c>
      <c r="E110" s="42"/>
      <c r="F110" s="9"/>
      <c r="G110" s="9"/>
      <c r="H110" s="9"/>
      <c r="I110" s="9"/>
      <c r="J110" s="9"/>
      <c r="K110" s="9"/>
      <c r="L110" s="9"/>
      <c r="M110" s="2"/>
      <c r="N110" s="2"/>
      <c r="O110" s="2"/>
      <c r="P110" s="2"/>
    </row>
    <row r="111" spans="1:16" ht="12.75">
      <c r="A111" s="331" t="s">
        <v>4554</v>
      </c>
      <c r="B111" s="331" t="s">
        <v>724</v>
      </c>
      <c r="C111" s="332" t="s">
        <v>726</v>
      </c>
      <c r="D111" s="333" t="s">
        <v>727</v>
      </c>
      <c r="E111" s="42"/>
      <c r="F111" s="9"/>
      <c r="G111" s="9"/>
      <c r="H111" s="9"/>
      <c r="I111" s="9"/>
      <c r="J111" s="9"/>
      <c r="K111" s="9"/>
      <c r="L111" s="9"/>
      <c r="M111" s="2"/>
      <c r="N111" s="2"/>
      <c r="O111" s="2"/>
      <c r="P111" s="2"/>
    </row>
    <row r="112" spans="1:16" ht="12.75">
      <c r="A112" s="334" t="s">
        <v>4562</v>
      </c>
      <c r="B112" s="334" t="s">
        <v>730</v>
      </c>
      <c r="C112" s="332" t="s">
        <v>732</v>
      </c>
      <c r="D112" s="333" t="s">
        <v>733</v>
      </c>
      <c r="E112" s="42"/>
      <c r="F112" s="9"/>
      <c r="G112" s="9"/>
      <c r="H112" s="9"/>
      <c r="I112" s="9"/>
      <c r="J112" s="9"/>
      <c r="K112" s="9"/>
      <c r="L112" s="9"/>
      <c r="M112" s="2"/>
      <c r="N112" s="2"/>
      <c r="O112" s="2"/>
      <c r="P112" s="2"/>
    </row>
    <row r="113" spans="1:16" ht="12.75">
      <c r="A113" s="331" t="s">
        <v>4545</v>
      </c>
      <c r="B113" s="331" t="s">
        <v>737</v>
      </c>
      <c r="C113" s="332" t="s">
        <v>739</v>
      </c>
      <c r="D113" s="333" t="s">
        <v>740</v>
      </c>
      <c r="E113" s="42"/>
      <c r="F113" s="9"/>
      <c r="G113" s="9"/>
      <c r="H113" s="9"/>
      <c r="I113" s="9"/>
      <c r="J113" s="9"/>
      <c r="K113" s="9"/>
      <c r="L113" s="9"/>
      <c r="M113" s="2"/>
      <c r="N113" s="2"/>
      <c r="O113" s="2"/>
      <c r="P113" s="2"/>
    </row>
    <row r="114" spans="1:16" ht="12.75">
      <c r="A114" s="334" t="s">
        <v>4560</v>
      </c>
      <c r="B114" s="334" t="s">
        <v>743</v>
      </c>
      <c r="C114" s="332" t="s">
        <v>745</v>
      </c>
      <c r="D114" s="333" t="s">
        <v>746</v>
      </c>
      <c r="E114" s="42"/>
      <c r="F114" s="9"/>
      <c r="G114" s="9"/>
      <c r="H114" s="9"/>
      <c r="I114" s="9"/>
      <c r="J114" s="9"/>
      <c r="K114" s="9"/>
      <c r="L114" s="9"/>
      <c r="M114" s="2"/>
      <c r="N114" s="2"/>
      <c r="O114" s="2"/>
      <c r="P114" s="2"/>
    </row>
    <row r="115" spans="1:16" ht="12.75">
      <c r="A115" s="334" t="s">
        <v>4554</v>
      </c>
      <c r="B115" s="334" t="s">
        <v>755</v>
      </c>
      <c r="C115" s="332" t="s">
        <v>757</v>
      </c>
      <c r="D115" s="333" t="s">
        <v>758</v>
      </c>
      <c r="E115" s="42"/>
      <c r="F115" s="9"/>
      <c r="G115" s="9"/>
      <c r="H115" s="9"/>
      <c r="I115" s="9"/>
      <c r="J115" s="9"/>
      <c r="K115" s="9"/>
      <c r="L115" s="9"/>
      <c r="M115" s="2"/>
      <c r="N115" s="2"/>
      <c r="O115" s="2"/>
      <c r="P115" s="2"/>
    </row>
    <row r="116" spans="1:16" ht="12.75">
      <c r="A116" s="331" t="s">
        <v>4554</v>
      </c>
      <c r="B116" s="331" t="s">
        <v>761</v>
      </c>
      <c r="C116" s="332" t="s">
        <v>763</v>
      </c>
      <c r="D116" s="333" t="s">
        <v>101</v>
      </c>
      <c r="E116" s="42"/>
      <c r="F116" s="9"/>
      <c r="G116" s="9"/>
      <c r="H116" s="9"/>
      <c r="I116" s="9"/>
      <c r="J116" s="9"/>
      <c r="K116" s="9"/>
      <c r="L116" s="9"/>
      <c r="M116" s="2"/>
      <c r="N116" s="2"/>
      <c r="O116" s="2"/>
      <c r="P116" s="2"/>
    </row>
    <row r="117" spans="1:16" ht="12.75">
      <c r="A117" s="334" t="s">
        <v>4561</v>
      </c>
      <c r="B117" s="334" t="s">
        <v>767</v>
      </c>
      <c r="C117" s="332" t="s">
        <v>218</v>
      </c>
      <c r="D117" s="333" t="s">
        <v>769</v>
      </c>
      <c r="E117" s="42"/>
      <c r="F117" s="9"/>
      <c r="G117" s="9"/>
      <c r="H117" s="9"/>
      <c r="I117" s="9"/>
      <c r="J117" s="9"/>
      <c r="K117" s="9"/>
      <c r="L117" s="9"/>
      <c r="M117" s="2"/>
      <c r="N117" s="2"/>
      <c r="O117" s="2"/>
      <c r="P117" s="2"/>
    </row>
    <row r="118" spans="1:16" ht="12.75">
      <c r="A118" s="334" t="s">
        <v>4554</v>
      </c>
      <c r="B118" s="334" t="s">
        <v>776</v>
      </c>
      <c r="C118" s="332" t="s">
        <v>778</v>
      </c>
      <c r="D118" s="333" t="s">
        <v>780</v>
      </c>
      <c r="E118" s="42"/>
      <c r="F118" s="9"/>
      <c r="G118" s="9"/>
      <c r="H118" s="9"/>
      <c r="I118" s="9"/>
      <c r="J118" s="9"/>
      <c r="K118" s="9"/>
      <c r="L118" s="9"/>
      <c r="M118" s="2"/>
      <c r="N118" s="2"/>
      <c r="O118" s="2"/>
      <c r="P118" s="2"/>
    </row>
    <row r="119" spans="1:16" ht="12.75">
      <c r="A119" s="331" t="s">
        <v>4560</v>
      </c>
      <c r="B119" s="331" t="s">
        <v>784</v>
      </c>
      <c r="C119" s="332" t="s">
        <v>786</v>
      </c>
      <c r="D119" s="333" t="s">
        <v>787</v>
      </c>
      <c r="E119" s="42"/>
      <c r="F119" s="9"/>
      <c r="G119" s="9"/>
      <c r="H119" s="9"/>
      <c r="I119" s="9"/>
      <c r="J119" s="9"/>
      <c r="K119" s="9"/>
      <c r="L119" s="9"/>
      <c r="M119" s="2"/>
      <c r="N119" s="2"/>
      <c r="O119" s="2"/>
      <c r="P119" s="2"/>
    </row>
    <row r="120" spans="1:16" ht="12.75">
      <c r="A120" s="334" t="s">
        <v>4545</v>
      </c>
      <c r="B120" s="334" t="s">
        <v>800</v>
      </c>
      <c r="C120" s="332" t="s">
        <v>802</v>
      </c>
      <c r="D120" s="333" t="s">
        <v>803</v>
      </c>
      <c r="E120" s="42"/>
      <c r="F120" s="9"/>
      <c r="G120" s="9"/>
      <c r="H120" s="9"/>
      <c r="I120" s="9"/>
      <c r="J120" s="9"/>
      <c r="K120" s="9"/>
      <c r="L120" s="9"/>
      <c r="M120" s="2"/>
      <c r="N120" s="2"/>
      <c r="O120" s="2"/>
      <c r="P120" s="2"/>
    </row>
    <row r="121" spans="1:16" ht="12.75">
      <c r="A121" s="331" t="s">
        <v>4548</v>
      </c>
      <c r="B121" s="355" t="s">
        <v>806</v>
      </c>
      <c r="C121" s="356" t="s">
        <v>356</v>
      </c>
      <c r="D121" s="333" t="s">
        <v>808</v>
      </c>
      <c r="E121" s="42"/>
      <c r="F121" s="9"/>
      <c r="G121" s="9"/>
      <c r="H121" s="9"/>
      <c r="I121" s="9"/>
      <c r="J121" s="9"/>
      <c r="K121" s="9"/>
      <c r="L121" s="9"/>
      <c r="M121" s="2"/>
      <c r="N121" s="2"/>
      <c r="O121" s="2"/>
      <c r="P121" s="2"/>
    </row>
    <row r="122" spans="1:16" ht="12.75">
      <c r="A122" s="334" t="s">
        <v>4562</v>
      </c>
      <c r="B122" s="334" t="s">
        <v>811</v>
      </c>
      <c r="C122" s="332" t="s">
        <v>59</v>
      </c>
      <c r="D122" s="333" t="s">
        <v>60</v>
      </c>
      <c r="E122" s="42"/>
      <c r="F122" s="9"/>
      <c r="G122" s="9"/>
      <c r="H122" s="9"/>
      <c r="I122" s="9"/>
      <c r="J122" s="9"/>
      <c r="K122" s="9"/>
      <c r="L122" s="9"/>
      <c r="M122" s="2"/>
      <c r="N122" s="2"/>
      <c r="O122" s="2"/>
      <c r="P122" s="2"/>
    </row>
    <row r="123" spans="1:16" ht="12.75">
      <c r="A123" s="334" t="s">
        <v>4559</v>
      </c>
      <c r="B123" s="334" t="s">
        <v>817</v>
      </c>
      <c r="C123" s="332" t="s">
        <v>819</v>
      </c>
      <c r="D123" s="333" t="s">
        <v>820</v>
      </c>
      <c r="E123" s="42"/>
      <c r="F123" s="9"/>
      <c r="G123" s="9"/>
      <c r="H123" s="9"/>
      <c r="I123" s="9"/>
      <c r="J123" s="9"/>
      <c r="K123" s="9"/>
      <c r="L123" s="9"/>
      <c r="M123" s="2"/>
      <c r="N123" s="2"/>
      <c r="O123" s="2"/>
      <c r="P123" s="2"/>
    </row>
    <row r="124" spans="1:16" ht="12.75">
      <c r="A124" s="331" t="s">
        <v>4557</v>
      </c>
      <c r="B124" s="331" t="s">
        <v>823</v>
      </c>
      <c r="C124" s="332" t="s">
        <v>269</v>
      </c>
      <c r="D124" s="333" t="s">
        <v>824</v>
      </c>
      <c r="E124" s="42"/>
      <c r="F124" s="9"/>
      <c r="G124" s="9"/>
      <c r="H124" s="9"/>
      <c r="I124" s="9"/>
      <c r="J124" s="9"/>
      <c r="K124" s="9"/>
      <c r="L124" s="9"/>
      <c r="M124" s="2"/>
      <c r="N124" s="2"/>
      <c r="O124" s="2"/>
      <c r="P124" s="2"/>
    </row>
    <row r="125" spans="1:16" ht="12.75">
      <c r="A125" s="334" t="s">
        <v>4562</v>
      </c>
      <c r="B125" s="334" t="s">
        <v>827</v>
      </c>
      <c r="C125" s="332" t="s">
        <v>245</v>
      </c>
      <c r="D125" s="333" t="s">
        <v>828</v>
      </c>
      <c r="E125" s="42"/>
      <c r="F125" s="9"/>
      <c r="G125" s="9"/>
      <c r="H125" s="9"/>
      <c r="I125" s="9"/>
      <c r="J125" s="9"/>
      <c r="K125" s="9"/>
      <c r="L125" s="9"/>
      <c r="M125" s="2"/>
      <c r="N125" s="2"/>
      <c r="O125" s="2"/>
      <c r="P125" s="2"/>
    </row>
    <row r="126" spans="1:16" ht="12.75">
      <c r="A126" s="331" t="s">
        <v>4545</v>
      </c>
      <c r="B126" s="331" t="s">
        <v>831</v>
      </c>
      <c r="C126" s="332" t="s">
        <v>833</v>
      </c>
      <c r="D126" s="333" t="s">
        <v>834</v>
      </c>
      <c r="E126" s="42"/>
      <c r="F126" s="9"/>
      <c r="G126" s="9"/>
      <c r="H126" s="9"/>
      <c r="I126" s="9"/>
      <c r="J126" s="9"/>
      <c r="K126" s="9"/>
      <c r="L126" s="9"/>
      <c r="M126" s="2"/>
      <c r="N126" s="2"/>
      <c r="O126" s="2"/>
      <c r="P126" s="2"/>
    </row>
    <row r="127" spans="1:16" ht="12.75">
      <c r="A127" s="334" t="s">
        <v>4547</v>
      </c>
      <c r="B127" s="334" t="s">
        <v>383</v>
      </c>
      <c r="C127" s="332" t="s">
        <v>385</v>
      </c>
      <c r="D127" s="333" t="s">
        <v>386</v>
      </c>
      <c r="E127" s="42"/>
      <c r="F127" s="9"/>
      <c r="G127" s="9"/>
      <c r="H127" s="9"/>
      <c r="I127" s="9"/>
      <c r="J127" s="9"/>
      <c r="K127" s="9"/>
      <c r="L127" s="9"/>
      <c r="M127" s="2"/>
      <c r="N127" s="2"/>
      <c r="O127" s="2"/>
      <c r="P127" s="2"/>
    </row>
    <row r="128" spans="1:16" ht="12.75">
      <c r="A128" s="331" t="s">
        <v>4546</v>
      </c>
      <c r="B128" s="331" t="s">
        <v>840</v>
      </c>
      <c r="C128" s="332" t="s">
        <v>223</v>
      </c>
      <c r="D128" s="333" t="s">
        <v>224</v>
      </c>
      <c r="E128" s="42"/>
      <c r="F128" s="9"/>
      <c r="G128" s="9"/>
      <c r="H128" s="9"/>
      <c r="I128" s="9"/>
      <c r="J128" s="9"/>
      <c r="K128" s="9"/>
      <c r="L128" s="9"/>
      <c r="M128" s="2"/>
      <c r="N128" s="2"/>
      <c r="O128" s="2"/>
      <c r="P128" s="2"/>
    </row>
    <row r="129" spans="1:16" ht="12.75">
      <c r="A129" s="334" t="s">
        <v>4560</v>
      </c>
      <c r="B129" s="334" t="s">
        <v>843</v>
      </c>
      <c r="C129" s="332" t="s">
        <v>845</v>
      </c>
      <c r="D129" s="333" t="s">
        <v>846</v>
      </c>
      <c r="E129" s="42"/>
      <c r="F129" s="9"/>
      <c r="G129" s="9"/>
      <c r="H129" s="9"/>
      <c r="I129" s="9"/>
      <c r="J129" s="9"/>
      <c r="K129" s="9"/>
      <c r="L129" s="9"/>
      <c r="M129" s="2"/>
      <c r="N129" s="2"/>
      <c r="O129" s="2"/>
      <c r="P129" s="2"/>
    </row>
    <row r="130" spans="1:16" ht="12.75">
      <c r="A130" s="331" t="s">
        <v>4554</v>
      </c>
      <c r="B130" s="331" t="s">
        <v>850</v>
      </c>
      <c r="C130" s="332" t="s">
        <v>852</v>
      </c>
      <c r="D130" s="333" t="s">
        <v>853</v>
      </c>
      <c r="E130" s="42"/>
      <c r="F130" s="9"/>
      <c r="G130" s="9"/>
      <c r="H130" s="9"/>
      <c r="I130" s="9"/>
      <c r="J130" s="9"/>
      <c r="K130" s="9"/>
      <c r="L130" s="9"/>
      <c r="M130" s="2"/>
      <c r="N130" s="2"/>
      <c r="O130" s="2"/>
      <c r="P130" s="2"/>
    </row>
    <row r="131" spans="1:16" ht="12.75">
      <c r="A131" s="334" t="s">
        <v>4558</v>
      </c>
      <c r="B131" s="334" t="s">
        <v>25</v>
      </c>
      <c r="C131" s="332" t="s">
        <v>858</v>
      </c>
      <c r="D131" s="333" t="s">
        <v>859</v>
      </c>
      <c r="E131" s="42"/>
      <c r="F131" s="9"/>
      <c r="G131" s="9"/>
      <c r="H131" s="9"/>
      <c r="I131" s="9"/>
      <c r="J131" s="9"/>
      <c r="K131" s="9"/>
      <c r="L131" s="9"/>
      <c r="M131" s="2"/>
      <c r="N131" s="2"/>
      <c r="O131" s="2"/>
      <c r="P131" s="2"/>
    </row>
    <row r="132" spans="1:16" ht="12.75">
      <c r="A132" s="331" t="s">
        <v>4562</v>
      </c>
      <c r="B132" s="339" t="s">
        <v>862</v>
      </c>
      <c r="C132" s="332" t="s">
        <v>218</v>
      </c>
      <c r="D132" s="333" t="s">
        <v>864</v>
      </c>
      <c r="E132" s="42"/>
      <c r="F132" s="9"/>
      <c r="G132" s="9"/>
      <c r="H132" s="9"/>
      <c r="I132" s="9"/>
      <c r="J132" s="9"/>
      <c r="K132" s="9"/>
      <c r="L132" s="9"/>
      <c r="M132" s="2"/>
      <c r="N132" s="2"/>
      <c r="O132" s="2"/>
      <c r="P132" s="2"/>
    </row>
    <row r="133" spans="1:16" ht="12.75">
      <c r="A133" s="334" t="s">
        <v>4557</v>
      </c>
      <c r="B133" s="334" t="s">
        <v>867</v>
      </c>
      <c r="C133" s="332" t="s">
        <v>869</v>
      </c>
      <c r="D133" s="333" t="s">
        <v>870</v>
      </c>
      <c r="E133" s="42"/>
      <c r="F133" s="9"/>
      <c r="G133" s="9"/>
      <c r="H133" s="9"/>
      <c r="I133" s="9"/>
      <c r="J133" s="9"/>
      <c r="K133" s="9"/>
      <c r="L133" s="9"/>
      <c r="M133" s="2"/>
      <c r="N133" s="2"/>
      <c r="O133" s="2"/>
      <c r="P133" s="2"/>
    </row>
    <row r="134" spans="1:16" ht="12.75">
      <c r="A134" s="334" t="s">
        <v>2894</v>
      </c>
      <c r="B134" s="334" t="s">
        <v>342</v>
      </c>
      <c r="C134" s="332" t="s">
        <v>223</v>
      </c>
      <c r="D134" s="333" t="s">
        <v>105</v>
      </c>
      <c r="E134" s="42"/>
      <c r="F134" s="9"/>
      <c r="G134" s="9"/>
      <c r="H134" s="9"/>
      <c r="I134" s="9"/>
      <c r="J134" s="9"/>
      <c r="K134" s="9"/>
      <c r="L134" s="9"/>
      <c r="M134" s="2"/>
      <c r="N134" s="2"/>
      <c r="O134" s="2"/>
      <c r="P134" s="2"/>
    </row>
    <row r="135" spans="1:16" ht="12.75">
      <c r="A135" s="331" t="s">
        <v>4545</v>
      </c>
      <c r="B135" s="331" t="s">
        <v>881</v>
      </c>
      <c r="C135" s="332" t="s">
        <v>86</v>
      </c>
      <c r="D135" s="333" t="s">
        <v>787</v>
      </c>
      <c r="E135" s="42"/>
      <c r="F135" s="9"/>
      <c r="G135" s="9"/>
      <c r="H135" s="9"/>
      <c r="I135" s="9"/>
      <c r="J135" s="9"/>
      <c r="K135" s="9"/>
      <c r="L135" s="9"/>
      <c r="M135" s="2"/>
      <c r="N135" s="2"/>
      <c r="O135" s="2"/>
      <c r="P135" s="2"/>
    </row>
    <row r="136" spans="1:16" ht="12.75">
      <c r="A136" s="334" t="s">
        <v>4550</v>
      </c>
      <c r="B136" s="334" t="s">
        <v>885</v>
      </c>
      <c r="C136" s="332" t="s">
        <v>887</v>
      </c>
      <c r="D136" s="333" t="s">
        <v>888</v>
      </c>
      <c r="E136" s="42"/>
      <c r="F136" s="9"/>
      <c r="G136" s="9"/>
      <c r="H136" s="9"/>
      <c r="I136" s="9"/>
      <c r="J136" s="9"/>
      <c r="K136" s="9"/>
      <c r="L136" s="9"/>
      <c r="M136" s="2"/>
      <c r="N136" s="2"/>
      <c r="O136" s="2"/>
      <c r="P136" s="2"/>
    </row>
    <row r="137" spans="1:16" ht="12.75">
      <c r="A137" s="331" t="s">
        <v>4560</v>
      </c>
      <c r="B137" s="331" t="s">
        <v>892</v>
      </c>
      <c r="C137" s="332" t="s">
        <v>237</v>
      </c>
      <c r="D137" s="333" t="s">
        <v>894</v>
      </c>
      <c r="E137" s="42"/>
      <c r="F137" s="9"/>
      <c r="G137" s="9"/>
      <c r="H137" s="9"/>
      <c r="I137" s="9"/>
      <c r="J137" s="9"/>
      <c r="K137" s="9"/>
      <c r="L137" s="9"/>
      <c r="M137" s="2"/>
      <c r="N137" s="2"/>
      <c r="O137" s="2"/>
      <c r="P137" s="2"/>
    </row>
    <row r="138" spans="1:16" ht="12.75">
      <c r="A138" s="334" t="s">
        <v>4562</v>
      </c>
      <c r="B138" s="334" t="s">
        <v>897</v>
      </c>
      <c r="C138" s="332" t="s">
        <v>59</v>
      </c>
      <c r="D138" s="333" t="s">
        <v>898</v>
      </c>
      <c r="E138" s="42"/>
      <c r="F138" s="9"/>
      <c r="G138" s="9"/>
      <c r="H138" s="9"/>
      <c r="I138" s="9"/>
      <c r="J138" s="9"/>
      <c r="K138" s="9"/>
      <c r="L138" s="9"/>
      <c r="M138" s="2"/>
      <c r="N138" s="2"/>
      <c r="O138" s="2"/>
      <c r="P138" s="2"/>
    </row>
    <row r="139" spans="1:16" ht="12.75">
      <c r="A139" s="331" t="s">
        <v>4562</v>
      </c>
      <c r="B139" s="331" t="s">
        <v>611</v>
      </c>
      <c r="C139" s="351"/>
      <c r="D139" s="333" t="s">
        <v>612</v>
      </c>
      <c r="E139" s="42"/>
      <c r="F139" s="9"/>
      <c r="G139" s="9"/>
      <c r="H139" s="9"/>
      <c r="I139" s="9"/>
      <c r="J139" s="9"/>
      <c r="K139" s="9"/>
      <c r="L139" s="9"/>
      <c r="M139" s="2"/>
      <c r="N139" s="2"/>
      <c r="O139" s="2"/>
      <c r="P139" s="2"/>
    </row>
    <row r="140" spans="1:16" ht="12.75">
      <c r="A140" s="334" t="s">
        <v>4562</v>
      </c>
      <c r="B140" s="334" t="s">
        <v>611</v>
      </c>
      <c r="C140" s="351"/>
      <c r="D140" s="333" t="s">
        <v>612</v>
      </c>
      <c r="E140" s="42"/>
      <c r="F140" s="9"/>
      <c r="G140" s="9"/>
      <c r="H140" s="9"/>
      <c r="I140" s="9"/>
      <c r="J140" s="9"/>
      <c r="K140" s="9"/>
      <c r="L140" s="9"/>
      <c r="M140" s="2"/>
      <c r="N140" s="2"/>
      <c r="O140" s="2"/>
      <c r="P140" s="2"/>
    </row>
    <row r="141" spans="1:16" ht="12.75">
      <c r="A141" s="331" t="s">
        <v>4554</v>
      </c>
      <c r="B141" s="331" t="s">
        <v>902</v>
      </c>
      <c r="C141" s="332" t="s">
        <v>887</v>
      </c>
      <c r="D141" s="333" t="s">
        <v>904</v>
      </c>
      <c r="E141" s="42"/>
      <c r="F141" s="9"/>
      <c r="G141" s="9"/>
      <c r="H141" s="9"/>
      <c r="I141" s="9"/>
      <c r="J141" s="9"/>
      <c r="K141" s="9"/>
      <c r="L141" s="9"/>
      <c r="M141" s="2"/>
      <c r="N141" s="2"/>
      <c r="O141" s="2"/>
      <c r="P141" s="2"/>
    </row>
    <row r="142" spans="1:16" ht="12.75">
      <c r="A142" s="334" t="s">
        <v>4546</v>
      </c>
      <c r="B142" s="357" t="s">
        <v>907</v>
      </c>
      <c r="C142" s="332" t="s">
        <v>909</v>
      </c>
      <c r="D142" s="333" t="s">
        <v>910</v>
      </c>
      <c r="E142" s="42"/>
      <c r="F142" s="9"/>
      <c r="G142" s="9"/>
      <c r="H142" s="9"/>
      <c r="I142" s="9"/>
      <c r="J142" s="9"/>
      <c r="K142" s="9"/>
      <c r="L142" s="9"/>
      <c r="M142" s="2"/>
      <c r="N142" s="2"/>
      <c r="O142" s="2"/>
      <c r="P142" s="2"/>
    </row>
    <row r="143" spans="1:16" ht="12.75">
      <c r="A143" s="334" t="s">
        <v>4562</v>
      </c>
      <c r="B143" s="334" t="s">
        <v>915</v>
      </c>
      <c r="C143" s="332" t="s">
        <v>916</v>
      </c>
      <c r="D143" s="358" t="s">
        <v>917</v>
      </c>
      <c r="E143" s="42"/>
      <c r="F143" s="9"/>
      <c r="G143" s="9"/>
      <c r="H143" s="9"/>
      <c r="I143" s="9"/>
      <c r="J143" s="9"/>
      <c r="K143" s="9"/>
      <c r="L143" s="9"/>
      <c r="M143" s="2"/>
      <c r="N143" s="2"/>
      <c r="O143" s="2"/>
      <c r="P143" s="2"/>
    </row>
    <row r="144" spans="1:16" ht="12.75">
      <c r="A144" s="331" t="s">
        <v>4553</v>
      </c>
      <c r="B144" s="331" t="s">
        <v>920</v>
      </c>
      <c r="C144" s="332" t="s">
        <v>922</v>
      </c>
      <c r="D144" s="333" t="s">
        <v>924</v>
      </c>
      <c r="E144" s="42"/>
      <c r="F144" s="9"/>
      <c r="G144" s="9"/>
      <c r="H144" s="9"/>
      <c r="I144" s="9"/>
      <c r="J144" s="9"/>
      <c r="K144" s="9"/>
      <c r="L144" s="9"/>
      <c r="M144" s="2"/>
      <c r="N144" s="2"/>
      <c r="O144" s="2"/>
      <c r="P144" s="2"/>
    </row>
    <row r="145" spans="1:16" ht="12.75">
      <c r="A145" s="334" t="s">
        <v>4548</v>
      </c>
      <c r="B145" s="334" t="s">
        <v>927</v>
      </c>
      <c r="C145" s="332" t="s">
        <v>929</v>
      </c>
      <c r="D145" s="333" t="s">
        <v>930</v>
      </c>
      <c r="E145" s="42"/>
      <c r="F145" s="9"/>
      <c r="G145" s="9"/>
      <c r="H145" s="9"/>
      <c r="I145" s="9"/>
      <c r="J145" s="9"/>
      <c r="K145" s="9"/>
      <c r="L145" s="9"/>
      <c r="M145" s="2"/>
      <c r="N145" s="2"/>
      <c r="O145" s="2"/>
      <c r="P145" s="2"/>
    </row>
    <row r="146" spans="1:16" ht="12.75">
      <c r="A146" s="334" t="s">
        <v>4583</v>
      </c>
      <c r="B146" s="334" t="s">
        <v>342</v>
      </c>
      <c r="C146" s="332" t="s">
        <v>223</v>
      </c>
      <c r="D146" s="333" t="s">
        <v>105</v>
      </c>
      <c r="E146" s="42"/>
      <c r="F146" s="9"/>
      <c r="G146" s="9"/>
      <c r="H146" s="9"/>
      <c r="I146" s="9"/>
      <c r="J146" s="9"/>
      <c r="K146" s="9"/>
      <c r="L146" s="9"/>
      <c r="M146" s="2"/>
      <c r="N146" s="2"/>
      <c r="O146" s="2"/>
      <c r="P146" s="2"/>
    </row>
    <row r="147" spans="1:16" ht="12.75">
      <c r="A147" s="331" t="s">
        <v>4562</v>
      </c>
      <c r="B147" s="331" t="s">
        <v>940</v>
      </c>
      <c r="C147" s="332" t="s">
        <v>218</v>
      </c>
      <c r="D147" s="359" t="s">
        <v>2216</v>
      </c>
      <c r="E147" s="42"/>
      <c r="F147" s="9"/>
      <c r="G147" s="9"/>
      <c r="H147" s="9"/>
      <c r="I147" s="9"/>
      <c r="J147" s="9"/>
      <c r="K147" s="9"/>
      <c r="L147" s="9"/>
      <c r="M147" s="2"/>
      <c r="N147" s="2"/>
      <c r="O147" s="2"/>
      <c r="P147" s="2"/>
    </row>
    <row r="148" spans="1:16" ht="12.75">
      <c r="A148" s="334" t="s">
        <v>4545</v>
      </c>
      <c r="B148" s="334" t="s">
        <v>945</v>
      </c>
      <c r="C148" s="332" t="s">
        <v>947</v>
      </c>
      <c r="D148" s="333" t="s">
        <v>948</v>
      </c>
      <c r="E148" s="42"/>
      <c r="F148" s="9"/>
      <c r="G148" s="9"/>
      <c r="H148" s="9"/>
      <c r="I148" s="9"/>
      <c r="J148" s="9"/>
      <c r="K148" s="9"/>
      <c r="L148" s="9"/>
      <c r="M148" s="2"/>
      <c r="N148" s="2"/>
      <c r="O148" s="2"/>
      <c r="P148" s="2"/>
    </row>
    <row r="149" spans="1:16" ht="12.75">
      <c r="A149" s="331" t="s">
        <v>4562</v>
      </c>
      <c r="B149" s="331" t="s">
        <v>342</v>
      </c>
      <c r="C149" s="332" t="s">
        <v>617</v>
      </c>
      <c r="D149" s="333" t="s">
        <v>105</v>
      </c>
      <c r="E149" s="42"/>
      <c r="F149" s="9"/>
      <c r="G149" s="9"/>
      <c r="H149" s="9"/>
      <c r="I149" s="9"/>
      <c r="J149" s="9"/>
      <c r="K149" s="9"/>
      <c r="L149" s="9"/>
      <c r="M149" s="2"/>
      <c r="N149" s="2"/>
      <c r="O149" s="2"/>
      <c r="P149" s="2"/>
    </row>
    <row r="150" spans="1:16" ht="12.75">
      <c r="A150" s="334" t="s">
        <v>4551</v>
      </c>
      <c r="B150" s="334" t="s">
        <v>962</v>
      </c>
      <c r="C150" s="332" t="s">
        <v>964</v>
      </c>
      <c r="D150" s="333" t="s">
        <v>965</v>
      </c>
      <c r="E150" s="42"/>
      <c r="F150" s="9"/>
      <c r="G150" s="9"/>
      <c r="H150" s="9"/>
      <c r="I150" s="9"/>
      <c r="J150" s="9"/>
      <c r="K150" s="9"/>
      <c r="L150" s="9"/>
      <c r="M150" s="2"/>
      <c r="N150" s="2"/>
      <c r="O150" s="2"/>
      <c r="P150" s="2"/>
    </row>
    <row r="151" spans="1:16" ht="12.75">
      <c r="A151" s="331" t="s">
        <v>4560</v>
      </c>
      <c r="B151" s="331" t="s">
        <v>968</v>
      </c>
      <c r="C151" s="360" t="s">
        <v>970</v>
      </c>
      <c r="D151" s="333" t="s">
        <v>971</v>
      </c>
      <c r="E151" s="42"/>
      <c r="F151" s="9"/>
      <c r="G151" s="9"/>
      <c r="H151" s="9"/>
      <c r="I151" s="9"/>
      <c r="J151" s="9"/>
      <c r="K151" s="9"/>
      <c r="L151" s="9"/>
      <c r="M151" s="2"/>
      <c r="N151" s="2"/>
      <c r="O151" s="2"/>
      <c r="P151" s="2"/>
    </row>
    <row r="152" spans="1:16" ht="12.75">
      <c r="A152" s="334" t="s">
        <v>4554</v>
      </c>
      <c r="B152" s="334" t="s">
        <v>975</v>
      </c>
      <c r="C152" s="332" t="s">
        <v>977</v>
      </c>
      <c r="D152" s="333" t="s">
        <v>978</v>
      </c>
      <c r="E152" s="42"/>
      <c r="F152" s="9"/>
      <c r="G152" s="9"/>
      <c r="H152" s="9"/>
      <c r="I152" s="9"/>
      <c r="J152" s="9"/>
      <c r="K152" s="9"/>
      <c r="L152" s="9"/>
      <c r="M152" s="2"/>
      <c r="N152" s="2"/>
      <c r="O152" s="2"/>
      <c r="P152" s="2"/>
    </row>
    <row r="153" spans="1:16" ht="12.75">
      <c r="A153" s="331" t="s">
        <v>4545</v>
      </c>
      <c r="B153" s="331" t="s">
        <v>981</v>
      </c>
      <c r="C153" s="332" t="s">
        <v>983</v>
      </c>
      <c r="D153" s="333" t="s">
        <v>984</v>
      </c>
      <c r="E153" s="42"/>
      <c r="F153" s="9"/>
      <c r="G153" s="9"/>
      <c r="H153" s="9"/>
      <c r="I153" s="9"/>
      <c r="J153" s="9"/>
      <c r="K153" s="9"/>
      <c r="L153" s="9"/>
      <c r="M153" s="2"/>
      <c r="N153" s="2"/>
      <c r="O153" s="2"/>
      <c r="P153" s="2"/>
    </row>
    <row r="154" spans="1:16" ht="12.75">
      <c r="A154" s="334" t="s">
        <v>4545</v>
      </c>
      <c r="B154" s="334" t="s">
        <v>987</v>
      </c>
      <c r="C154" s="332" t="s">
        <v>989</v>
      </c>
      <c r="D154" s="333" t="s">
        <v>990</v>
      </c>
      <c r="E154" s="42"/>
      <c r="F154" s="9"/>
      <c r="G154" s="9"/>
      <c r="H154" s="9"/>
      <c r="I154" s="9"/>
      <c r="J154" s="9"/>
      <c r="K154" s="9"/>
      <c r="L154" s="9"/>
      <c r="M154" s="2"/>
      <c r="N154" s="2"/>
      <c r="O154" s="2"/>
      <c r="P154" s="2"/>
    </row>
    <row r="155" spans="1:16" ht="12.75">
      <c r="A155" s="331" t="s">
        <v>4562</v>
      </c>
      <c r="B155" s="331" t="s">
        <v>993</v>
      </c>
      <c r="C155" s="332" t="s">
        <v>269</v>
      </c>
      <c r="D155" s="333" t="s">
        <v>995</v>
      </c>
      <c r="E155" s="42"/>
      <c r="F155" s="9"/>
      <c r="G155" s="9"/>
      <c r="H155" s="9"/>
      <c r="I155" s="9"/>
      <c r="J155" s="9"/>
      <c r="K155" s="9"/>
      <c r="L155" s="9"/>
      <c r="M155" s="2"/>
      <c r="N155" s="2"/>
      <c r="O155" s="2"/>
      <c r="P155" s="2"/>
    </row>
    <row r="156" spans="1:16" ht="12.75">
      <c r="A156" s="334" t="s">
        <v>4562</v>
      </c>
      <c r="B156" s="334" t="s">
        <v>999</v>
      </c>
      <c r="C156" s="332" t="s">
        <v>14</v>
      </c>
      <c r="D156" s="333" t="s">
        <v>105</v>
      </c>
      <c r="E156" s="42"/>
      <c r="F156" s="9"/>
      <c r="G156" s="9"/>
      <c r="H156" s="9"/>
      <c r="I156" s="9"/>
      <c r="J156" s="9"/>
      <c r="K156" s="9"/>
      <c r="L156" s="9"/>
      <c r="M156" s="2"/>
      <c r="N156" s="2"/>
      <c r="O156" s="2"/>
      <c r="P156" s="2"/>
    </row>
    <row r="157" spans="1:16" ht="12.75">
      <c r="A157" s="344" t="s">
        <v>4560</v>
      </c>
      <c r="B157" s="331" t="s">
        <v>1002</v>
      </c>
      <c r="C157" s="332" t="s">
        <v>1004</v>
      </c>
      <c r="D157" s="333" t="s">
        <v>1006</v>
      </c>
      <c r="E157" s="42"/>
      <c r="F157" s="9"/>
      <c r="G157" s="9"/>
      <c r="H157" s="9"/>
      <c r="I157" s="9"/>
      <c r="J157" s="9"/>
      <c r="K157" s="9"/>
      <c r="L157" s="9"/>
      <c r="M157" s="2"/>
      <c r="N157" s="2"/>
      <c r="O157" s="2"/>
      <c r="P157" s="2"/>
    </row>
    <row r="158" spans="1:16" ht="12.75">
      <c r="A158" s="334" t="s">
        <v>4562</v>
      </c>
      <c r="B158" s="334" t="s">
        <v>1009</v>
      </c>
      <c r="C158" s="332" t="s">
        <v>1010</v>
      </c>
      <c r="D158" s="333" t="s">
        <v>1011</v>
      </c>
      <c r="E158" s="42"/>
      <c r="F158" s="9"/>
      <c r="G158" s="9"/>
      <c r="H158" s="9"/>
      <c r="I158" s="9"/>
      <c r="J158" s="9"/>
      <c r="K158" s="9"/>
      <c r="L158" s="9"/>
      <c r="M158" s="2"/>
      <c r="N158" s="2"/>
      <c r="O158" s="2"/>
      <c r="P158" s="2"/>
    </row>
    <row r="159" spans="1:16" ht="12.75">
      <c r="A159" s="331" t="s">
        <v>4553</v>
      </c>
      <c r="B159" s="361" t="s">
        <v>1014</v>
      </c>
      <c r="C159" s="332" t="s">
        <v>964</v>
      </c>
      <c r="D159" s="333" t="s">
        <v>1016</v>
      </c>
      <c r="E159" s="42"/>
      <c r="F159" s="9"/>
      <c r="G159" s="9"/>
      <c r="H159" s="9"/>
      <c r="I159" s="9"/>
      <c r="J159" s="9"/>
      <c r="K159" s="9"/>
      <c r="L159" s="9"/>
      <c r="M159" s="2"/>
      <c r="N159" s="2"/>
      <c r="O159" s="2"/>
      <c r="P159" s="2"/>
    </row>
    <row r="160" spans="1:16" ht="12.75">
      <c r="A160" s="334" t="s">
        <v>4546</v>
      </c>
      <c r="B160" s="334" t="s">
        <v>1019</v>
      </c>
      <c r="C160" s="332" t="s">
        <v>385</v>
      </c>
      <c r="D160" s="333" t="s">
        <v>1022</v>
      </c>
      <c r="E160" s="42"/>
      <c r="F160" s="9"/>
      <c r="G160" s="9"/>
      <c r="H160" s="9"/>
      <c r="I160" s="9"/>
      <c r="J160" s="9"/>
      <c r="K160" s="9"/>
      <c r="L160" s="9"/>
      <c r="M160" s="2"/>
      <c r="N160" s="2"/>
      <c r="O160" s="2"/>
      <c r="P160" s="2"/>
    </row>
    <row r="161" spans="1:16" ht="12.75">
      <c r="A161" s="331" t="s">
        <v>4557</v>
      </c>
      <c r="B161" s="331" t="s">
        <v>1026</v>
      </c>
      <c r="C161" s="356" t="s">
        <v>1028</v>
      </c>
      <c r="D161" s="333" t="s">
        <v>1029</v>
      </c>
      <c r="E161" s="42"/>
      <c r="F161" s="9"/>
      <c r="G161" s="9"/>
      <c r="H161" s="9"/>
      <c r="I161" s="9"/>
      <c r="J161" s="9"/>
      <c r="K161" s="9"/>
      <c r="L161" s="9"/>
      <c r="M161" s="2"/>
      <c r="N161" s="2"/>
      <c r="O161" s="2"/>
      <c r="P161" s="2"/>
    </row>
    <row r="162" spans="1:16" ht="12.75">
      <c r="A162" s="331" t="s">
        <v>4582</v>
      </c>
      <c r="B162" s="331" t="s">
        <v>827</v>
      </c>
      <c r="C162" s="332" t="s">
        <v>245</v>
      </c>
      <c r="D162" s="333" t="s">
        <v>246</v>
      </c>
      <c r="E162" s="42"/>
      <c r="F162" s="9"/>
      <c r="G162" s="9"/>
      <c r="H162" s="9"/>
      <c r="I162" s="9"/>
      <c r="J162" s="9"/>
      <c r="K162" s="9"/>
      <c r="L162" s="9"/>
      <c r="M162" s="2"/>
      <c r="N162" s="2"/>
      <c r="O162" s="2"/>
      <c r="P162" s="2"/>
    </row>
    <row r="163" spans="1:16" ht="12.75">
      <c r="A163" s="334" t="s">
        <v>4550</v>
      </c>
      <c r="B163" s="334" t="s">
        <v>1039</v>
      </c>
      <c r="C163" s="332" t="s">
        <v>218</v>
      </c>
      <c r="D163" s="333" t="s">
        <v>1041</v>
      </c>
      <c r="E163" s="42"/>
      <c r="F163" s="9"/>
      <c r="G163" s="9"/>
      <c r="H163" s="9"/>
      <c r="I163" s="9"/>
      <c r="J163" s="9"/>
      <c r="K163" s="9"/>
      <c r="L163" s="9"/>
      <c r="M163" s="2"/>
      <c r="N163" s="2"/>
      <c r="O163" s="2"/>
      <c r="P163" s="2"/>
    </row>
    <row r="164" spans="1:16" ht="12.75">
      <c r="A164" s="331" t="s">
        <v>4545</v>
      </c>
      <c r="B164" s="331" t="s">
        <v>1043</v>
      </c>
      <c r="C164" s="332" t="s">
        <v>218</v>
      </c>
      <c r="D164" s="333" t="s">
        <v>1041</v>
      </c>
      <c r="E164" s="42"/>
      <c r="F164" s="9"/>
      <c r="G164" s="9"/>
      <c r="H164" s="9"/>
      <c r="I164" s="9"/>
      <c r="J164" s="9"/>
      <c r="K164" s="9"/>
      <c r="L164" s="9"/>
      <c r="M164" s="2"/>
      <c r="N164" s="2"/>
      <c r="O164" s="2"/>
      <c r="P164" s="2"/>
    </row>
    <row r="165" spans="1:16" ht="12.75">
      <c r="A165" s="334" t="s">
        <v>4581</v>
      </c>
      <c r="B165" s="334" t="s">
        <v>1047</v>
      </c>
      <c r="C165" s="332" t="s">
        <v>1049</v>
      </c>
      <c r="D165" s="333" t="s">
        <v>1050</v>
      </c>
      <c r="E165" s="42"/>
      <c r="F165" s="9"/>
      <c r="G165" s="9"/>
      <c r="H165" s="9"/>
      <c r="I165" s="9"/>
      <c r="J165" s="9"/>
      <c r="K165" s="9"/>
      <c r="L165" s="9"/>
      <c r="M165" s="2"/>
      <c r="N165" s="2"/>
      <c r="O165" s="2"/>
      <c r="P165" s="2"/>
    </row>
    <row r="166" spans="1:16" ht="12.75">
      <c r="A166" s="331" t="s">
        <v>4558</v>
      </c>
      <c r="B166" s="331" t="s">
        <v>1054</v>
      </c>
      <c r="C166" s="332" t="s">
        <v>1056</v>
      </c>
      <c r="D166" s="333" t="s">
        <v>1057</v>
      </c>
      <c r="E166" s="42"/>
      <c r="F166" s="9"/>
      <c r="G166" s="9"/>
      <c r="H166" s="9"/>
      <c r="I166" s="9"/>
      <c r="J166" s="9"/>
      <c r="K166" s="9"/>
      <c r="L166" s="9"/>
      <c r="M166" s="2"/>
      <c r="N166" s="2"/>
      <c r="O166" s="2"/>
      <c r="P166" s="2"/>
    </row>
    <row r="167" spans="1:16" ht="12.75">
      <c r="A167" s="331" t="s">
        <v>4553</v>
      </c>
      <c r="B167" s="331" t="s">
        <v>1065</v>
      </c>
      <c r="C167" s="332" t="s">
        <v>1067</v>
      </c>
      <c r="D167" s="333" t="s">
        <v>1068</v>
      </c>
      <c r="E167" s="42"/>
      <c r="F167" s="9"/>
      <c r="G167" s="9"/>
      <c r="H167" s="9"/>
      <c r="I167" s="9"/>
      <c r="J167" s="9"/>
      <c r="K167" s="9"/>
      <c r="L167" s="9"/>
      <c r="M167" s="2"/>
      <c r="N167" s="2"/>
      <c r="O167" s="2"/>
      <c r="P167" s="2"/>
    </row>
    <row r="168" spans="1:16" ht="12.75">
      <c r="A168" s="334" t="s">
        <v>4550</v>
      </c>
      <c r="B168" s="334" t="s">
        <v>1071</v>
      </c>
      <c r="C168" s="332" t="s">
        <v>1072</v>
      </c>
      <c r="D168" s="333" t="s">
        <v>101</v>
      </c>
      <c r="E168" s="42"/>
      <c r="F168" s="9"/>
      <c r="G168" s="9"/>
      <c r="H168" s="9"/>
      <c r="I168" s="9"/>
      <c r="J168" s="9"/>
      <c r="K168" s="9"/>
      <c r="L168" s="9"/>
      <c r="M168" s="2"/>
      <c r="N168" s="2"/>
      <c r="O168" s="2"/>
      <c r="P168" s="2"/>
    </row>
    <row r="169" spans="1:16" ht="12.75">
      <c r="A169" s="331" t="s">
        <v>4550</v>
      </c>
      <c r="B169" s="331" t="s">
        <v>1071</v>
      </c>
      <c r="C169" s="332" t="s">
        <v>1072</v>
      </c>
      <c r="D169" s="333" t="s">
        <v>101</v>
      </c>
      <c r="E169" s="42"/>
      <c r="F169" s="9"/>
      <c r="G169" s="9"/>
      <c r="H169" s="9"/>
      <c r="I169" s="9"/>
      <c r="J169" s="9"/>
      <c r="K169" s="9"/>
      <c r="L169" s="9"/>
      <c r="M169" s="2"/>
      <c r="N169" s="2"/>
      <c r="O169" s="2"/>
      <c r="P169" s="2"/>
    </row>
    <row r="170" spans="1:16" ht="12.75">
      <c r="A170" s="334" t="s">
        <v>4560</v>
      </c>
      <c r="B170" s="334" t="s">
        <v>1075</v>
      </c>
      <c r="C170" s="332" t="s">
        <v>59</v>
      </c>
      <c r="D170" s="333" t="s">
        <v>1077</v>
      </c>
      <c r="E170" s="42"/>
      <c r="F170" s="9"/>
      <c r="G170" s="9"/>
      <c r="H170" s="9"/>
      <c r="I170" s="9"/>
      <c r="J170" s="9"/>
      <c r="K170" s="9"/>
      <c r="L170" s="9"/>
      <c r="M170" s="2"/>
      <c r="N170" s="2"/>
      <c r="O170" s="2"/>
      <c r="P170" s="2"/>
    </row>
    <row r="171" spans="1:16" ht="12.75">
      <c r="A171" s="331" t="s">
        <v>4546</v>
      </c>
      <c r="B171" s="331" t="s">
        <v>1081</v>
      </c>
      <c r="C171" s="332" t="s">
        <v>237</v>
      </c>
      <c r="D171" s="333" t="s">
        <v>1083</v>
      </c>
      <c r="E171" s="42"/>
      <c r="F171" s="9"/>
      <c r="G171" s="9"/>
      <c r="H171" s="9"/>
      <c r="I171" s="9"/>
      <c r="J171" s="9"/>
      <c r="K171" s="9"/>
      <c r="L171" s="9"/>
      <c r="M171" s="2"/>
      <c r="N171" s="2"/>
      <c r="O171" s="2"/>
      <c r="P171" s="2"/>
    </row>
    <row r="172" spans="1:16" ht="12.75">
      <c r="A172" s="334" t="s">
        <v>4562</v>
      </c>
      <c r="B172" s="334" t="s">
        <v>1089</v>
      </c>
      <c r="C172" s="332" t="s">
        <v>1091</v>
      </c>
      <c r="D172" s="333" t="s">
        <v>1092</v>
      </c>
      <c r="E172" s="42"/>
      <c r="F172" s="9"/>
      <c r="G172" s="9"/>
      <c r="H172" s="9"/>
      <c r="I172" s="9"/>
      <c r="J172" s="9"/>
      <c r="K172" s="9"/>
      <c r="L172" s="9"/>
      <c r="M172" s="2"/>
      <c r="N172" s="2"/>
      <c r="O172" s="2"/>
      <c r="P172" s="2"/>
    </row>
    <row r="173" spans="1:16" ht="12.75">
      <c r="A173" s="331" t="s">
        <v>4545</v>
      </c>
      <c r="B173" s="331" t="s">
        <v>1097</v>
      </c>
      <c r="C173" s="332" t="s">
        <v>1099</v>
      </c>
      <c r="D173" s="333" t="s">
        <v>1101</v>
      </c>
      <c r="E173" s="42"/>
      <c r="F173" s="9"/>
      <c r="G173" s="9"/>
      <c r="H173" s="9"/>
      <c r="I173" s="9"/>
      <c r="J173" s="9"/>
      <c r="K173" s="9"/>
      <c r="L173" s="9"/>
      <c r="M173" s="2"/>
      <c r="N173" s="2"/>
      <c r="O173" s="2"/>
      <c r="P173" s="2"/>
    </row>
    <row r="174" spans="1:16" ht="12.75">
      <c r="A174" s="334" t="s">
        <v>4562</v>
      </c>
      <c r="B174" s="334" t="s">
        <v>862</v>
      </c>
      <c r="C174" s="332" t="s">
        <v>218</v>
      </c>
      <c r="D174" s="362" t="s">
        <v>864</v>
      </c>
      <c r="E174" s="42"/>
      <c r="F174" s="9"/>
      <c r="G174" s="9"/>
      <c r="H174" s="9"/>
      <c r="I174" s="9"/>
      <c r="J174" s="9"/>
      <c r="K174" s="9"/>
      <c r="L174" s="9"/>
      <c r="M174" s="2"/>
      <c r="N174" s="2"/>
      <c r="O174" s="2"/>
      <c r="P174" s="2"/>
    </row>
    <row r="175" spans="1:16" ht="12.75">
      <c r="A175" s="331" t="s">
        <v>4562</v>
      </c>
      <c r="B175" s="331" t="s">
        <v>1107</v>
      </c>
      <c r="C175" s="332" t="s">
        <v>14</v>
      </c>
      <c r="D175" s="333" t="s">
        <v>105</v>
      </c>
      <c r="E175" s="42"/>
      <c r="F175" s="9"/>
      <c r="G175" s="9"/>
      <c r="H175" s="9"/>
      <c r="I175" s="9"/>
      <c r="J175" s="9"/>
      <c r="K175" s="9"/>
      <c r="L175" s="9"/>
      <c r="M175" s="2"/>
      <c r="N175" s="2"/>
      <c r="O175" s="2"/>
      <c r="P175" s="2"/>
    </row>
    <row r="176" spans="1:16" ht="12.75">
      <c r="A176" s="334" t="s">
        <v>4560</v>
      </c>
      <c r="B176" s="334" t="s">
        <v>1110</v>
      </c>
      <c r="C176" s="332" t="s">
        <v>1112</v>
      </c>
      <c r="D176" s="333" t="s">
        <v>1113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ht="12.75">
      <c r="A177" s="344" t="s">
        <v>4557</v>
      </c>
      <c r="B177" s="331" t="s">
        <v>1117</v>
      </c>
      <c r="C177" s="332" t="s">
        <v>650</v>
      </c>
      <c r="D177" s="333" t="s">
        <v>651</v>
      </c>
      <c r="E177" s="42"/>
      <c r="F177" s="9"/>
      <c r="G177" s="9"/>
      <c r="H177" s="9"/>
      <c r="I177" s="9"/>
      <c r="J177" s="9"/>
      <c r="K177" s="9"/>
      <c r="L177" s="9"/>
      <c r="M177" s="2"/>
      <c r="N177" s="2"/>
      <c r="O177" s="2"/>
      <c r="P177" s="2"/>
    </row>
    <row r="178" spans="1:16" ht="12.75">
      <c r="A178" s="363" t="s">
        <v>4545</v>
      </c>
      <c r="B178" s="334" t="s">
        <v>1121</v>
      </c>
      <c r="C178" s="332" t="s">
        <v>1123</v>
      </c>
      <c r="D178" s="333" t="s">
        <v>1124</v>
      </c>
      <c r="E178" s="42"/>
      <c r="F178" s="9"/>
      <c r="G178" s="9"/>
      <c r="H178" s="9"/>
      <c r="I178" s="9"/>
      <c r="J178" s="9"/>
      <c r="K178" s="9"/>
      <c r="L178" s="9"/>
      <c r="M178" s="2"/>
      <c r="N178" s="2"/>
      <c r="O178" s="2"/>
      <c r="P178" s="2"/>
    </row>
    <row r="179" spans="1:16" ht="12.75">
      <c r="A179" s="331" t="s">
        <v>4580</v>
      </c>
      <c r="B179" s="331" t="s">
        <v>342</v>
      </c>
      <c r="C179" s="332" t="s">
        <v>356</v>
      </c>
      <c r="D179" s="333" t="s">
        <v>1128</v>
      </c>
      <c r="E179" s="42"/>
      <c r="F179" s="9"/>
      <c r="G179" s="9"/>
      <c r="H179" s="9"/>
      <c r="I179" s="9"/>
      <c r="J179" s="9"/>
      <c r="K179" s="9"/>
      <c r="L179" s="9"/>
      <c r="M179" s="2"/>
      <c r="N179" s="2"/>
      <c r="O179" s="2"/>
      <c r="P179" s="2"/>
    </row>
    <row r="180" spans="1:16" ht="12.75">
      <c r="A180" s="334" t="s">
        <v>4553</v>
      </c>
      <c r="B180" s="334" t="s">
        <v>1132</v>
      </c>
      <c r="C180" s="332" t="s">
        <v>223</v>
      </c>
      <c r="D180" s="333" t="s">
        <v>180</v>
      </c>
      <c r="E180" s="42"/>
      <c r="F180" s="9"/>
      <c r="G180" s="9"/>
      <c r="H180" s="9"/>
      <c r="I180" s="9"/>
      <c r="J180" s="9"/>
      <c r="K180" s="9"/>
      <c r="L180" s="9"/>
      <c r="M180" s="2"/>
      <c r="N180" s="2"/>
      <c r="O180" s="2"/>
      <c r="P180" s="2"/>
    </row>
    <row r="181" spans="1:16" ht="12.75">
      <c r="A181" s="331" t="s">
        <v>4548</v>
      </c>
      <c r="B181" s="331" t="s">
        <v>1136</v>
      </c>
      <c r="C181" s="332" t="s">
        <v>218</v>
      </c>
      <c r="D181" s="343" t="s">
        <v>3592</v>
      </c>
      <c r="E181" s="42"/>
      <c r="F181" s="9"/>
      <c r="G181" s="9"/>
      <c r="H181" s="9"/>
      <c r="I181" s="9"/>
      <c r="J181" s="9"/>
      <c r="K181" s="9"/>
      <c r="L181" s="9"/>
      <c r="M181" s="2"/>
      <c r="N181" s="2"/>
      <c r="O181" s="2"/>
      <c r="P181" s="2"/>
    </row>
    <row r="182" spans="1:16" ht="12.75">
      <c r="A182" s="334" t="s">
        <v>4545</v>
      </c>
      <c r="B182" s="334" t="s">
        <v>98</v>
      </c>
      <c r="C182" s="332" t="s">
        <v>100</v>
      </c>
      <c r="D182" s="333" t="s">
        <v>101</v>
      </c>
      <c r="E182" s="42"/>
      <c r="F182" s="9"/>
      <c r="G182" s="9"/>
      <c r="H182" s="9"/>
      <c r="I182" s="9"/>
      <c r="J182" s="9"/>
      <c r="K182" s="9"/>
      <c r="L182" s="9"/>
      <c r="M182" s="2"/>
      <c r="N182" s="2"/>
      <c r="O182" s="2"/>
      <c r="P182" s="2"/>
    </row>
    <row r="183" spans="1:16" ht="12.75">
      <c r="A183" s="344" t="s">
        <v>4546</v>
      </c>
      <c r="B183" s="331" t="s">
        <v>1144</v>
      </c>
      <c r="C183" s="332" t="s">
        <v>1146</v>
      </c>
      <c r="D183" s="333" t="s">
        <v>1148</v>
      </c>
      <c r="E183" s="42"/>
      <c r="F183" s="9"/>
      <c r="G183" s="9"/>
      <c r="H183" s="9"/>
      <c r="I183" s="9"/>
      <c r="J183" s="9"/>
      <c r="K183" s="9"/>
      <c r="L183" s="9"/>
      <c r="M183" s="2"/>
      <c r="N183" s="2"/>
      <c r="O183" s="2"/>
      <c r="P183" s="2"/>
    </row>
    <row r="184" spans="1:16" ht="12.75">
      <c r="A184" s="334" t="s">
        <v>4557</v>
      </c>
      <c r="B184" s="334" t="s">
        <v>1152</v>
      </c>
      <c r="C184" s="332" t="s">
        <v>1154</v>
      </c>
      <c r="D184" s="333" t="s">
        <v>1155</v>
      </c>
      <c r="E184" s="42"/>
      <c r="F184" s="9"/>
      <c r="G184" s="9"/>
      <c r="H184" s="9"/>
      <c r="I184" s="9"/>
      <c r="J184" s="9"/>
      <c r="K184" s="9"/>
      <c r="L184" s="9"/>
      <c r="M184" s="2"/>
      <c r="N184" s="2"/>
      <c r="O184" s="2"/>
      <c r="P184" s="2"/>
    </row>
    <row r="185" spans="1:16" ht="12.75">
      <c r="A185" s="331" t="s">
        <v>4579</v>
      </c>
      <c r="B185" s="331" t="s">
        <v>1160</v>
      </c>
      <c r="C185" s="332" t="s">
        <v>100</v>
      </c>
      <c r="D185" s="333" t="s">
        <v>1101</v>
      </c>
      <c r="E185" s="42"/>
      <c r="F185" s="9"/>
      <c r="G185" s="9"/>
      <c r="H185" s="9"/>
      <c r="I185" s="9"/>
      <c r="J185" s="9"/>
      <c r="K185" s="9"/>
      <c r="L185" s="9"/>
      <c r="M185" s="2"/>
      <c r="N185" s="2"/>
      <c r="O185" s="2"/>
      <c r="P185" s="2"/>
    </row>
    <row r="186" spans="1:16" ht="12.75">
      <c r="A186" s="335" t="s">
        <v>4557</v>
      </c>
      <c r="B186" s="334" t="s">
        <v>1164</v>
      </c>
      <c r="C186" s="332" t="s">
        <v>1166</v>
      </c>
      <c r="D186" s="350" t="s">
        <v>526</v>
      </c>
      <c r="E186" s="42"/>
      <c r="F186" s="9"/>
      <c r="G186" s="9"/>
      <c r="H186" s="9"/>
      <c r="I186" s="9"/>
      <c r="J186" s="9"/>
      <c r="K186" s="9"/>
      <c r="L186" s="9"/>
      <c r="M186" s="2"/>
      <c r="N186" s="2"/>
      <c r="O186" s="2"/>
      <c r="P186" s="2"/>
    </row>
    <row r="187" spans="1:16" ht="12.75">
      <c r="A187" s="331" t="s">
        <v>4557</v>
      </c>
      <c r="B187" s="331" t="s">
        <v>1169</v>
      </c>
      <c r="C187" s="332" t="s">
        <v>1171</v>
      </c>
      <c r="D187" s="333" t="s">
        <v>1172</v>
      </c>
      <c r="E187" s="42"/>
      <c r="F187" s="9"/>
      <c r="G187" s="9"/>
      <c r="H187" s="9"/>
      <c r="I187" s="9"/>
      <c r="J187" s="9"/>
      <c r="K187" s="9"/>
      <c r="L187" s="9"/>
      <c r="M187" s="2"/>
      <c r="N187" s="2"/>
      <c r="O187" s="2"/>
      <c r="P187" s="2"/>
    </row>
    <row r="188" spans="1:16" ht="12.75">
      <c r="A188" s="334" t="s">
        <v>4553</v>
      </c>
      <c r="B188" s="334" t="s">
        <v>1175</v>
      </c>
      <c r="C188" s="332" t="s">
        <v>1177</v>
      </c>
      <c r="D188" s="333" t="s">
        <v>1178</v>
      </c>
      <c r="E188" s="42"/>
      <c r="F188" s="9"/>
      <c r="G188" s="9"/>
      <c r="H188" s="9"/>
      <c r="I188" s="9"/>
      <c r="J188" s="9"/>
      <c r="K188" s="9"/>
      <c r="L188" s="9"/>
      <c r="M188" s="2"/>
      <c r="N188" s="2"/>
      <c r="O188" s="2"/>
      <c r="P188" s="2"/>
    </row>
    <row r="189" spans="1:16" ht="12.75">
      <c r="A189" s="339" t="s">
        <v>4562</v>
      </c>
      <c r="B189" s="331" t="s">
        <v>1181</v>
      </c>
      <c r="C189" s="332" t="s">
        <v>1166</v>
      </c>
      <c r="D189" s="333" t="s">
        <v>1182</v>
      </c>
      <c r="E189" s="42"/>
      <c r="F189" s="9"/>
      <c r="G189" s="9"/>
      <c r="H189" s="9"/>
      <c r="I189" s="9"/>
      <c r="J189" s="9"/>
      <c r="K189" s="9"/>
      <c r="L189" s="9"/>
      <c r="M189" s="2"/>
      <c r="N189" s="2"/>
      <c r="O189" s="2"/>
      <c r="P189" s="2"/>
    </row>
    <row r="190" spans="1:16" ht="12.75">
      <c r="A190" s="334" t="s">
        <v>4557</v>
      </c>
      <c r="B190" s="334" t="s">
        <v>597</v>
      </c>
      <c r="C190" s="332" t="s">
        <v>599</v>
      </c>
      <c r="D190" s="333" t="s">
        <v>601</v>
      </c>
      <c r="E190" s="42"/>
      <c r="F190" s="9"/>
      <c r="G190" s="9"/>
      <c r="H190" s="9"/>
      <c r="I190" s="9"/>
      <c r="J190" s="9"/>
      <c r="K190" s="9"/>
      <c r="L190" s="9"/>
      <c r="M190" s="2"/>
      <c r="N190" s="2"/>
      <c r="O190" s="2"/>
      <c r="P190" s="2"/>
    </row>
    <row r="191" spans="1:16" ht="12.75">
      <c r="A191" s="331" t="s">
        <v>4548</v>
      </c>
      <c r="B191" s="331" t="s">
        <v>1193</v>
      </c>
      <c r="C191" s="332" t="s">
        <v>1195</v>
      </c>
      <c r="D191" s="333" t="s">
        <v>1101</v>
      </c>
      <c r="E191" s="42"/>
      <c r="F191" s="9"/>
      <c r="G191" s="9"/>
      <c r="H191" s="9"/>
      <c r="I191" s="9"/>
      <c r="J191" s="9"/>
      <c r="K191" s="9"/>
      <c r="L191" s="9"/>
      <c r="M191" s="2"/>
      <c r="N191" s="2"/>
      <c r="O191" s="2"/>
      <c r="P191" s="2"/>
    </row>
    <row r="192" spans="1:16" ht="12.75">
      <c r="A192" s="334" t="s">
        <v>4546</v>
      </c>
      <c r="B192" s="334" t="s">
        <v>1198</v>
      </c>
      <c r="C192" s="332" t="s">
        <v>237</v>
      </c>
      <c r="D192" s="333" t="s">
        <v>1201</v>
      </c>
      <c r="E192" s="42"/>
      <c r="F192" s="9"/>
      <c r="G192" s="9"/>
      <c r="H192" s="9"/>
      <c r="I192" s="9"/>
      <c r="J192" s="9"/>
      <c r="K192" s="9"/>
      <c r="L192" s="9"/>
      <c r="M192" s="2"/>
      <c r="N192" s="2"/>
      <c r="O192" s="2"/>
      <c r="P192" s="2"/>
    </row>
    <row r="193" spans="1:16" ht="12.75">
      <c r="A193" s="334" t="s">
        <v>4578</v>
      </c>
      <c r="B193" s="334" t="s">
        <v>1210</v>
      </c>
      <c r="C193" s="332" t="s">
        <v>218</v>
      </c>
      <c r="D193" s="333" t="s">
        <v>1212</v>
      </c>
      <c r="E193" s="42"/>
      <c r="F193" s="9"/>
      <c r="G193" s="9"/>
      <c r="H193" s="9"/>
      <c r="I193" s="9"/>
      <c r="J193" s="9"/>
      <c r="K193" s="9"/>
      <c r="L193" s="9"/>
      <c r="M193" s="2"/>
      <c r="N193" s="2"/>
      <c r="O193" s="2"/>
      <c r="P193" s="2"/>
    </row>
    <row r="194" spans="1:16" ht="12.75">
      <c r="A194" s="334" t="s">
        <v>4560</v>
      </c>
      <c r="B194" s="334" t="s">
        <v>1216</v>
      </c>
      <c r="C194" s="332" t="s">
        <v>1218</v>
      </c>
      <c r="D194" s="333" t="s">
        <v>1219</v>
      </c>
      <c r="E194" s="42"/>
      <c r="F194" s="9"/>
      <c r="G194" s="9"/>
      <c r="H194" s="9"/>
      <c r="I194" s="9"/>
      <c r="J194" s="9"/>
      <c r="K194" s="9"/>
      <c r="L194" s="9"/>
      <c r="M194" s="2"/>
      <c r="N194" s="2"/>
      <c r="O194" s="2"/>
      <c r="P194" s="2"/>
    </row>
    <row r="195" spans="1:16" ht="12.75">
      <c r="A195" s="331" t="s">
        <v>4577</v>
      </c>
      <c r="B195" s="331" t="s">
        <v>1223</v>
      </c>
      <c r="C195" s="332" t="s">
        <v>1225</v>
      </c>
      <c r="D195" s="333" t="s">
        <v>1226</v>
      </c>
      <c r="E195" s="42"/>
      <c r="F195" s="9"/>
      <c r="G195" s="9"/>
      <c r="H195" s="9"/>
      <c r="I195" s="9"/>
      <c r="J195" s="9"/>
      <c r="K195" s="9"/>
      <c r="L195" s="9"/>
      <c r="M195" s="2"/>
      <c r="N195" s="2"/>
      <c r="O195" s="2"/>
      <c r="P195" s="2"/>
    </row>
    <row r="196" spans="1:16" ht="12.75">
      <c r="A196" s="335" t="s">
        <v>4546</v>
      </c>
      <c r="B196" s="334" t="s">
        <v>1228</v>
      </c>
      <c r="C196" s="332" t="s">
        <v>1230</v>
      </c>
      <c r="D196" s="333" t="s">
        <v>1231</v>
      </c>
      <c r="E196" s="42"/>
      <c r="F196" s="9"/>
      <c r="G196" s="9"/>
      <c r="H196" s="9"/>
      <c r="I196" s="9"/>
      <c r="J196" s="9"/>
      <c r="K196" s="9"/>
      <c r="L196" s="9"/>
      <c r="M196" s="2"/>
      <c r="N196" s="2"/>
      <c r="O196" s="2"/>
      <c r="P196" s="2"/>
    </row>
    <row r="197" spans="1:16" ht="12.75">
      <c r="A197" s="334" t="s">
        <v>4548</v>
      </c>
      <c r="B197" s="334" t="s">
        <v>1237</v>
      </c>
      <c r="C197" s="332" t="s">
        <v>1239</v>
      </c>
      <c r="D197" s="333" t="s">
        <v>1240</v>
      </c>
      <c r="E197" s="42"/>
      <c r="F197" s="9"/>
      <c r="G197" s="9"/>
      <c r="H197" s="9"/>
      <c r="I197" s="9"/>
      <c r="J197" s="9"/>
      <c r="K197" s="9"/>
      <c r="L197" s="9"/>
      <c r="M197" s="2"/>
      <c r="N197" s="2"/>
      <c r="O197" s="2"/>
      <c r="P197" s="2"/>
    </row>
    <row r="198" spans="1:16" ht="12.75">
      <c r="A198" s="331" t="s">
        <v>4560</v>
      </c>
      <c r="B198" s="331" t="s">
        <v>1243</v>
      </c>
      <c r="C198" s="332" t="s">
        <v>1245</v>
      </c>
      <c r="D198" s="333" t="s">
        <v>1247</v>
      </c>
      <c r="E198" s="42"/>
      <c r="F198" s="9"/>
      <c r="G198" s="9"/>
      <c r="H198" s="9"/>
      <c r="I198" s="9"/>
      <c r="J198" s="9"/>
      <c r="K198" s="9"/>
      <c r="L198" s="9"/>
      <c r="M198" s="2"/>
      <c r="N198" s="2"/>
      <c r="O198" s="2"/>
      <c r="P198" s="2"/>
    </row>
    <row r="199" spans="1:16" ht="12.75">
      <c r="A199" s="334" t="s">
        <v>4548</v>
      </c>
      <c r="B199" s="334" t="s">
        <v>1250</v>
      </c>
      <c r="C199" s="332" t="s">
        <v>1252</v>
      </c>
      <c r="D199" s="333" t="s">
        <v>1253</v>
      </c>
      <c r="E199" s="42"/>
      <c r="F199" s="9"/>
      <c r="G199" s="9"/>
      <c r="H199" s="9"/>
      <c r="I199" s="9"/>
      <c r="J199" s="9"/>
      <c r="K199" s="9"/>
      <c r="L199" s="9"/>
      <c r="M199" s="2"/>
      <c r="N199" s="2"/>
      <c r="O199" s="2"/>
      <c r="P199" s="2"/>
    </row>
    <row r="200" spans="1:16" ht="12.75">
      <c r="A200" s="331" t="s">
        <v>4550</v>
      </c>
      <c r="B200" s="331" t="s">
        <v>1256</v>
      </c>
      <c r="C200" s="332" t="s">
        <v>100</v>
      </c>
      <c r="D200" s="333" t="s">
        <v>1258</v>
      </c>
      <c r="E200" s="42"/>
      <c r="F200" s="9"/>
      <c r="G200" s="9"/>
      <c r="H200" s="9"/>
      <c r="I200" s="9"/>
      <c r="J200" s="9"/>
      <c r="K200" s="9"/>
      <c r="L200" s="9"/>
      <c r="M200" s="2"/>
      <c r="N200" s="2"/>
      <c r="O200" s="2"/>
      <c r="P200" s="2"/>
    </row>
    <row r="201" spans="1:16" ht="12.75">
      <c r="A201" s="334" t="s">
        <v>425</v>
      </c>
      <c r="B201" s="334" t="s">
        <v>1266</v>
      </c>
      <c r="C201" s="332" t="s">
        <v>218</v>
      </c>
      <c r="D201" s="333" t="s">
        <v>1267</v>
      </c>
      <c r="E201" s="42"/>
      <c r="F201" s="9"/>
      <c r="G201" s="9"/>
      <c r="H201" s="9"/>
      <c r="I201" s="9"/>
      <c r="J201" s="9"/>
      <c r="K201" s="9"/>
      <c r="L201" s="9"/>
      <c r="M201" s="2"/>
      <c r="N201" s="2"/>
      <c r="O201" s="2"/>
      <c r="P201" s="2"/>
    </row>
    <row r="202" spans="1:16" ht="12.75">
      <c r="A202" s="331" t="s">
        <v>4557</v>
      </c>
      <c r="B202" s="331" t="s">
        <v>1271</v>
      </c>
      <c r="C202" s="332" t="s">
        <v>1273</v>
      </c>
      <c r="D202" s="333" t="s">
        <v>1274</v>
      </c>
      <c r="E202" s="42"/>
      <c r="F202" s="9"/>
      <c r="G202" s="9"/>
      <c r="H202" s="9"/>
      <c r="I202" s="9"/>
      <c r="J202" s="9"/>
      <c r="K202" s="9"/>
      <c r="L202" s="9"/>
      <c r="M202" s="2"/>
      <c r="N202" s="2"/>
      <c r="O202" s="2"/>
      <c r="P202" s="2"/>
    </row>
    <row r="203" spans="1:16" ht="12.75">
      <c r="A203" s="334" t="s">
        <v>4576</v>
      </c>
      <c r="B203" s="334" t="s">
        <v>1277</v>
      </c>
      <c r="C203" s="332" t="s">
        <v>983</v>
      </c>
      <c r="D203" s="333" t="s">
        <v>1279</v>
      </c>
      <c r="E203" s="42"/>
      <c r="F203" s="9"/>
      <c r="G203" s="9"/>
      <c r="H203" s="9"/>
      <c r="I203" s="9"/>
      <c r="J203" s="9"/>
      <c r="K203" s="9"/>
      <c r="L203" s="9"/>
      <c r="M203" s="2"/>
      <c r="N203" s="2"/>
      <c r="O203" s="2"/>
      <c r="P203" s="2"/>
    </row>
    <row r="204" spans="1:16" ht="12.75">
      <c r="A204" s="331" t="s">
        <v>4562</v>
      </c>
      <c r="B204" s="331" t="s">
        <v>1283</v>
      </c>
      <c r="C204" s="332" t="s">
        <v>237</v>
      </c>
      <c r="D204" s="333" t="s">
        <v>1285</v>
      </c>
      <c r="E204" s="42"/>
      <c r="F204" s="9"/>
      <c r="G204" s="9"/>
      <c r="H204" s="9"/>
      <c r="I204" s="9"/>
      <c r="J204" s="9"/>
      <c r="K204" s="9"/>
      <c r="L204" s="9"/>
      <c r="M204" s="2"/>
      <c r="N204" s="2"/>
      <c r="O204" s="2"/>
      <c r="P204" s="2"/>
    </row>
    <row r="205" spans="1:16" ht="12.75">
      <c r="A205" s="334" t="s">
        <v>4553</v>
      </c>
      <c r="B205" s="334" t="s">
        <v>1288</v>
      </c>
      <c r="C205" s="332" t="s">
        <v>1290</v>
      </c>
      <c r="D205" s="333" t="s">
        <v>1291</v>
      </c>
      <c r="E205" s="42"/>
      <c r="F205" s="9"/>
      <c r="G205" s="9"/>
      <c r="H205" s="9"/>
      <c r="I205" s="9"/>
      <c r="J205" s="9"/>
      <c r="K205" s="9"/>
      <c r="L205" s="9"/>
      <c r="M205" s="2"/>
      <c r="N205" s="2"/>
      <c r="O205" s="2"/>
      <c r="P205" s="2"/>
    </row>
    <row r="206" spans="1:16" ht="12.75">
      <c r="A206" s="331" t="s">
        <v>4562</v>
      </c>
      <c r="B206" s="331" t="s">
        <v>1294</v>
      </c>
      <c r="C206" s="332" t="s">
        <v>732</v>
      </c>
      <c r="D206" s="333" t="s">
        <v>1296</v>
      </c>
      <c r="E206" s="42"/>
      <c r="F206" s="9"/>
      <c r="G206" s="9"/>
      <c r="H206" s="9"/>
      <c r="I206" s="9"/>
      <c r="J206" s="9"/>
      <c r="K206" s="9"/>
      <c r="L206" s="9"/>
      <c r="M206" s="2"/>
      <c r="N206" s="2"/>
      <c r="O206" s="2"/>
      <c r="P206" s="2"/>
    </row>
    <row r="207" spans="1:16" ht="12.75">
      <c r="A207" s="334" t="s">
        <v>4554</v>
      </c>
      <c r="B207" s="334" t="s">
        <v>1300</v>
      </c>
      <c r="C207" s="332" t="s">
        <v>1302</v>
      </c>
      <c r="D207" s="333" t="s">
        <v>1303</v>
      </c>
      <c r="E207" s="42"/>
      <c r="F207" s="9"/>
      <c r="G207" s="9"/>
      <c r="H207" s="9"/>
      <c r="I207" s="9"/>
      <c r="J207" s="9"/>
      <c r="K207" s="9"/>
      <c r="L207" s="9"/>
      <c r="M207" s="2"/>
      <c r="N207" s="2"/>
      <c r="O207" s="2"/>
      <c r="P207" s="2"/>
    </row>
    <row r="208" spans="1:16" ht="12.75">
      <c r="A208" s="331" t="s">
        <v>4545</v>
      </c>
      <c r="B208" s="331" t="s">
        <v>1306</v>
      </c>
      <c r="C208" s="332" t="s">
        <v>1308</v>
      </c>
      <c r="D208" s="333" t="s">
        <v>1309</v>
      </c>
      <c r="E208" s="42"/>
      <c r="F208" s="9"/>
      <c r="G208" s="9"/>
      <c r="H208" s="9"/>
      <c r="I208" s="9"/>
      <c r="J208" s="9"/>
      <c r="K208" s="9"/>
      <c r="L208" s="9"/>
      <c r="M208" s="2"/>
      <c r="N208" s="2"/>
      <c r="O208" s="2"/>
      <c r="P208" s="2"/>
    </row>
    <row r="209" spans="1:16" ht="12.75">
      <c r="A209" s="334" t="s">
        <v>4554</v>
      </c>
      <c r="B209" s="334" t="s">
        <v>1313</v>
      </c>
      <c r="C209" s="332" t="s">
        <v>1315</v>
      </c>
      <c r="D209" s="333" t="s">
        <v>1316</v>
      </c>
      <c r="E209" s="42"/>
      <c r="F209" s="9"/>
      <c r="G209" s="9"/>
      <c r="H209" s="9"/>
      <c r="I209" s="9"/>
      <c r="J209" s="9"/>
      <c r="K209" s="9"/>
      <c r="L209" s="9"/>
      <c r="M209" s="2"/>
      <c r="N209" s="2"/>
      <c r="O209" s="2"/>
      <c r="P209" s="2"/>
    </row>
    <row r="210" spans="1:16" ht="12.75">
      <c r="A210" s="331" t="s">
        <v>4560</v>
      </c>
      <c r="B210" s="331" t="s">
        <v>987</v>
      </c>
      <c r="C210" s="332" t="s">
        <v>989</v>
      </c>
      <c r="D210" s="333" t="s">
        <v>990</v>
      </c>
      <c r="E210" s="42"/>
      <c r="F210" s="9"/>
      <c r="G210" s="9"/>
      <c r="H210" s="9"/>
      <c r="I210" s="9"/>
      <c r="J210" s="9"/>
      <c r="K210" s="9"/>
      <c r="L210" s="9"/>
      <c r="M210" s="2"/>
      <c r="N210" s="2"/>
      <c r="O210" s="2"/>
      <c r="P210" s="2"/>
    </row>
    <row r="211" spans="1:16" ht="12.75">
      <c r="A211" s="334" t="s">
        <v>4551</v>
      </c>
      <c r="B211" s="334" t="s">
        <v>1321</v>
      </c>
      <c r="C211" s="332" t="s">
        <v>1010</v>
      </c>
      <c r="D211" s="333" t="s">
        <v>1011</v>
      </c>
      <c r="E211" s="42"/>
      <c r="F211" s="9"/>
      <c r="G211" s="9"/>
      <c r="H211" s="9"/>
      <c r="I211" s="9"/>
      <c r="J211" s="9"/>
      <c r="K211" s="9"/>
      <c r="L211" s="9"/>
      <c r="M211" s="2"/>
      <c r="N211" s="2"/>
      <c r="O211" s="2"/>
      <c r="P211" s="2"/>
    </row>
    <row r="212" spans="1:16" ht="12.75">
      <c r="A212" s="331" t="s">
        <v>4562</v>
      </c>
      <c r="B212" s="331" t="s">
        <v>342</v>
      </c>
      <c r="C212" s="332" t="s">
        <v>356</v>
      </c>
      <c r="D212" s="333" t="s">
        <v>105</v>
      </c>
      <c r="E212" s="42"/>
      <c r="F212" s="9"/>
      <c r="G212" s="9"/>
      <c r="H212" s="9"/>
      <c r="I212" s="9"/>
      <c r="J212" s="9"/>
      <c r="K212" s="9"/>
      <c r="L212" s="9"/>
      <c r="M212" s="2"/>
      <c r="N212" s="2"/>
      <c r="O212" s="2"/>
      <c r="P212" s="2"/>
    </row>
    <row r="213" spans="1:16" ht="12.75">
      <c r="A213" s="334" t="s">
        <v>4557</v>
      </c>
      <c r="B213" s="334" t="s">
        <v>1329</v>
      </c>
      <c r="C213" s="332" t="s">
        <v>1331</v>
      </c>
      <c r="D213" s="333" t="s">
        <v>1332</v>
      </c>
      <c r="E213" s="42"/>
      <c r="F213" s="9"/>
      <c r="G213" s="9"/>
      <c r="H213" s="9"/>
      <c r="I213" s="9"/>
      <c r="J213" s="9"/>
      <c r="K213" s="9"/>
      <c r="L213" s="9"/>
      <c r="M213" s="2"/>
      <c r="N213" s="2"/>
      <c r="O213" s="2"/>
      <c r="P213" s="2"/>
    </row>
    <row r="214" spans="1:16" ht="12.75">
      <c r="A214" s="331" t="s">
        <v>4545</v>
      </c>
      <c r="B214" s="331" t="s">
        <v>342</v>
      </c>
      <c r="C214" s="332" t="s">
        <v>223</v>
      </c>
      <c r="D214" s="333" t="s">
        <v>105</v>
      </c>
      <c r="E214" s="42"/>
      <c r="F214" s="9"/>
      <c r="G214" s="9"/>
      <c r="H214" s="9"/>
      <c r="I214" s="9"/>
      <c r="J214" s="9"/>
      <c r="K214" s="9"/>
      <c r="L214" s="9"/>
      <c r="M214" s="2"/>
      <c r="N214" s="2"/>
      <c r="O214" s="2"/>
      <c r="P214" s="2"/>
    </row>
    <row r="215" spans="1:16" ht="12.75">
      <c r="A215" s="334" t="s">
        <v>4551</v>
      </c>
      <c r="B215" s="334" t="s">
        <v>1338</v>
      </c>
      <c r="C215" s="332" t="s">
        <v>1340</v>
      </c>
      <c r="D215" s="333" t="s">
        <v>1341</v>
      </c>
      <c r="E215" s="42"/>
      <c r="F215" s="9"/>
      <c r="G215" s="9"/>
      <c r="H215" s="9"/>
      <c r="I215" s="9"/>
      <c r="J215" s="9"/>
      <c r="K215" s="9"/>
      <c r="L215" s="9"/>
      <c r="M215" s="2"/>
      <c r="N215" s="2"/>
      <c r="O215" s="2"/>
      <c r="P215" s="2"/>
    </row>
    <row r="216" spans="1:16" ht="12.75">
      <c r="A216" s="364" t="s">
        <v>4546</v>
      </c>
      <c r="B216" s="331" t="s">
        <v>1344</v>
      </c>
      <c r="C216" s="332" t="s">
        <v>218</v>
      </c>
      <c r="D216" s="333" t="s">
        <v>1346</v>
      </c>
      <c r="E216" s="42"/>
      <c r="F216" s="9"/>
      <c r="G216" s="9"/>
      <c r="H216" s="9"/>
      <c r="I216" s="9"/>
      <c r="J216" s="9"/>
      <c r="K216" s="9"/>
      <c r="L216" s="9"/>
      <c r="M216" s="2"/>
      <c r="N216" s="2"/>
      <c r="O216" s="2"/>
      <c r="P216" s="2"/>
    </row>
    <row r="217" spans="1:16" ht="12.75">
      <c r="A217" s="331" t="s">
        <v>1349</v>
      </c>
      <c r="B217" s="331" t="s">
        <v>1350</v>
      </c>
      <c r="C217" s="332" t="s">
        <v>726</v>
      </c>
      <c r="D217" s="333" t="s">
        <v>1352</v>
      </c>
      <c r="E217" s="42"/>
      <c r="F217" s="9"/>
      <c r="G217" s="9"/>
      <c r="H217" s="9"/>
      <c r="I217" s="9"/>
      <c r="J217" s="9"/>
      <c r="K217" s="9"/>
      <c r="L217" s="9"/>
      <c r="M217" s="2"/>
      <c r="N217" s="2"/>
      <c r="O217" s="2"/>
      <c r="P217" s="2"/>
    </row>
    <row r="218" spans="1:16" ht="12.75">
      <c r="A218" s="334" t="s">
        <v>4547</v>
      </c>
      <c r="B218" s="334" t="s">
        <v>79</v>
      </c>
      <c r="C218" s="332" t="s">
        <v>1357</v>
      </c>
      <c r="D218" s="333" t="s">
        <v>1101</v>
      </c>
      <c r="E218" s="42"/>
      <c r="F218" s="9"/>
      <c r="G218" s="9"/>
      <c r="H218" s="9"/>
      <c r="I218" s="9"/>
      <c r="J218" s="9"/>
      <c r="K218" s="9"/>
      <c r="L218" s="9"/>
      <c r="M218" s="2"/>
      <c r="N218" s="2"/>
      <c r="O218" s="2"/>
      <c r="P218" s="2"/>
    </row>
    <row r="219" spans="1:16" ht="12.75">
      <c r="A219" s="331" t="s">
        <v>4563</v>
      </c>
      <c r="B219" s="331" t="s">
        <v>1361</v>
      </c>
      <c r="C219" s="332" t="s">
        <v>1363</v>
      </c>
      <c r="D219" s="333" t="s">
        <v>1364</v>
      </c>
      <c r="E219" s="42"/>
      <c r="F219" s="9"/>
      <c r="G219" s="9"/>
      <c r="H219" s="9"/>
      <c r="I219" s="9"/>
      <c r="J219" s="9"/>
      <c r="K219" s="9"/>
      <c r="L219" s="9"/>
      <c r="M219" s="2"/>
      <c r="N219" s="2"/>
      <c r="O219" s="2"/>
      <c r="P219" s="2"/>
    </row>
    <row r="220" spans="1:16" ht="12.75">
      <c r="A220" s="334" t="s">
        <v>4557</v>
      </c>
      <c r="B220" s="334" t="s">
        <v>1367</v>
      </c>
      <c r="C220" s="332" t="s">
        <v>1369</v>
      </c>
      <c r="D220" s="333" t="s">
        <v>1370</v>
      </c>
      <c r="E220" s="42"/>
      <c r="F220" s="9"/>
      <c r="G220" s="9"/>
      <c r="H220" s="9"/>
      <c r="I220" s="9"/>
      <c r="J220" s="9"/>
      <c r="K220" s="9"/>
      <c r="L220" s="9"/>
      <c r="M220" s="2"/>
      <c r="N220" s="2"/>
      <c r="O220" s="2"/>
      <c r="P220" s="2"/>
    </row>
    <row r="221" spans="1:16" ht="12.75">
      <c r="A221" s="334" t="s">
        <v>4552</v>
      </c>
      <c r="B221" s="334" t="s">
        <v>1386</v>
      </c>
      <c r="C221" s="332" t="s">
        <v>1245</v>
      </c>
      <c r="D221" s="333" t="s">
        <v>1388</v>
      </c>
      <c r="E221" s="42"/>
      <c r="F221" s="9"/>
      <c r="G221" s="9"/>
      <c r="H221" s="9"/>
      <c r="I221" s="9"/>
      <c r="J221" s="9"/>
      <c r="K221" s="9"/>
      <c r="L221" s="9"/>
      <c r="M221" s="2"/>
      <c r="N221" s="2"/>
      <c r="O221" s="2"/>
      <c r="P221" s="2"/>
    </row>
    <row r="222" spans="1:16" ht="12.75">
      <c r="A222" s="334" t="s">
        <v>4560</v>
      </c>
      <c r="B222" s="334" t="s">
        <v>1395</v>
      </c>
      <c r="C222" s="332" t="s">
        <v>186</v>
      </c>
      <c r="D222" s="333" t="s">
        <v>1397</v>
      </c>
      <c r="E222" s="42"/>
      <c r="F222" s="9"/>
      <c r="G222" s="9"/>
      <c r="H222" s="9"/>
      <c r="I222" s="9"/>
      <c r="J222" s="9"/>
      <c r="K222" s="9"/>
      <c r="L222" s="9"/>
      <c r="M222" s="2"/>
      <c r="N222" s="2"/>
      <c r="O222" s="2"/>
      <c r="P222" s="2"/>
    </row>
    <row r="223" spans="1:16" ht="12.75">
      <c r="A223" s="331" t="s">
        <v>4545</v>
      </c>
      <c r="B223" s="331" t="s">
        <v>98</v>
      </c>
      <c r="C223" s="332" t="s">
        <v>100</v>
      </c>
      <c r="D223" s="333" t="s">
        <v>101</v>
      </c>
      <c r="E223" s="42"/>
      <c r="F223" s="9"/>
      <c r="G223" s="9"/>
      <c r="H223" s="9"/>
      <c r="I223" s="9"/>
      <c r="J223" s="9"/>
      <c r="K223" s="9"/>
      <c r="L223" s="9"/>
      <c r="M223" s="2"/>
      <c r="N223" s="2"/>
      <c r="O223" s="2"/>
      <c r="P223" s="2"/>
    </row>
    <row r="224" spans="1:16" ht="16.5">
      <c r="A224" s="365" t="s">
        <v>4554</v>
      </c>
      <c r="B224" s="338" t="s">
        <v>1402</v>
      </c>
      <c r="C224" s="332" t="s">
        <v>193</v>
      </c>
      <c r="D224" s="366" t="s">
        <v>1404</v>
      </c>
      <c r="E224" s="42"/>
      <c r="F224" s="9"/>
      <c r="G224" s="9"/>
      <c r="H224" s="9"/>
      <c r="I224" s="9"/>
      <c r="J224" s="9"/>
      <c r="K224" s="9"/>
      <c r="L224" s="9"/>
      <c r="M224" s="2"/>
      <c r="N224" s="2"/>
      <c r="O224" s="2"/>
      <c r="P224" s="2"/>
    </row>
    <row r="225" spans="1:16" ht="12.75">
      <c r="A225" s="331" t="s">
        <v>4550</v>
      </c>
      <c r="B225" s="331" t="s">
        <v>1408</v>
      </c>
      <c r="C225" s="332" t="s">
        <v>1410</v>
      </c>
      <c r="D225" s="333" t="s">
        <v>1412</v>
      </c>
      <c r="E225" s="42"/>
      <c r="F225" s="9"/>
      <c r="G225" s="9"/>
      <c r="H225" s="9"/>
      <c r="I225" s="9"/>
      <c r="J225" s="9"/>
      <c r="K225" s="9"/>
      <c r="L225" s="9"/>
      <c r="M225" s="2"/>
      <c r="N225" s="2"/>
      <c r="O225" s="2"/>
      <c r="P225" s="2"/>
    </row>
    <row r="226" spans="1:16" ht="12.75">
      <c r="A226" s="334" t="s">
        <v>4556</v>
      </c>
      <c r="B226" s="334" t="s">
        <v>1416</v>
      </c>
      <c r="C226" s="332" t="s">
        <v>237</v>
      </c>
      <c r="D226" s="333" t="s">
        <v>1418</v>
      </c>
      <c r="E226" s="42"/>
      <c r="F226" s="9"/>
      <c r="G226" s="9"/>
      <c r="H226" s="9"/>
      <c r="I226" s="9"/>
      <c r="J226" s="9"/>
      <c r="K226" s="9"/>
      <c r="L226" s="9"/>
      <c r="M226" s="2"/>
      <c r="N226" s="2"/>
      <c r="O226" s="2"/>
      <c r="P226" s="2"/>
    </row>
    <row r="227" spans="1:16" ht="12.75">
      <c r="A227" s="331" t="s">
        <v>4572</v>
      </c>
      <c r="B227" s="355" t="s">
        <v>1422</v>
      </c>
      <c r="C227" s="332" t="s">
        <v>269</v>
      </c>
      <c r="D227" s="333" t="s">
        <v>1424</v>
      </c>
      <c r="E227" s="42"/>
      <c r="F227" s="9"/>
      <c r="G227" s="9"/>
      <c r="H227" s="9"/>
      <c r="I227" s="9"/>
      <c r="J227" s="9"/>
      <c r="K227" s="9"/>
      <c r="L227" s="9"/>
      <c r="M227" s="2"/>
      <c r="N227" s="2"/>
      <c r="O227" s="2"/>
      <c r="P227" s="2"/>
    </row>
    <row r="228" spans="1:16" ht="12.75">
      <c r="A228" s="334" t="s">
        <v>4557</v>
      </c>
      <c r="B228" s="334" t="s">
        <v>1427</v>
      </c>
      <c r="C228" s="332" t="s">
        <v>1429</v>
      </c>
      <c r="D228" s="333" t="s">
        <v>1430</v>
      </c>
      <c r="E228" s="42"/>
      <c r="F228" s="9"/>
      <c r="G228" s="9"/>
      <c r="H228" s="9"/>
      <c r="I228" s="9"/>
      <c r="J228" s="9"/>
      <c r="K228" s="9"/>
      <c r="L228" s="9"/>
      <c r="M228" s="2"/>
      <c r="N228" s="2"/>
      <c r="O228" s="2"/>
      <c r="P228" s="2"/>
    </row>
    <row r="229" spans="1:16" ht="12.75">
      <c r="A229" s="331" t="s">
        <v>4562</v>
      </c>
      <c r="B229" s="331" t="s">
        <v>1434</v>
      </c>
      <c r="C229" s="332" t="s">
        <v>223</v>
      </c>
      <c r="D229" s="333" t="s">
        <v>180</v>
      </c>
      <c r="E229" s="42"/>
      <c r="F229" s="9"/>
      <c r="G229" s="9"/>
      <c r="H229" s="9"/>
      <c r="I229" s="9"/>
      <c r="J229" s="9"/>
      <c r="K229" s="9"/>
      <c r="L229" s="9"/>
      <c r="M229" s="2"/>
      <c r="N229" s="2"/>
      <c r="O229" s="2"/>
      <c r="P229" s="2"/>
    </row>
    <row r="230" spans="1:16" ht="12.75">
      <c r="A230" s="331" t="s">
        <v>4560</v>
      </c>
      <c r="B230" s="331" t="s">
        <v>1442</v>
      </c>
      <c r="C230" s="332" t="s">
        <v>1444</v>
      </c>
      <c r="D230" s="333" t="s">
        <v>1445</v>
      </c>
      <c r="E230" s="42"/>
      <c r="F230" s="9"/>
      <c r="G230" s="9"/>
      <c r="H230" s="9"/>
      <c r="I230" s="9"/>
      <c r="J230" s="9"/>
      <c r="K230" s="9"/>
      <c r="L230" s="9"/>
      <c r="M230" s="2"/>
      <c r="N230" s="2"/>
      <c r="O230" s="2"/>
      <c r="P230" s="2"/>
    </row>
    <row r="231" spans="1:16" ht="12.75">
      <c r="A231" s="334" t="s">
        <v>4559</v>
      </c>
      <c r="B231" s="334" t="s">
        <v>1449</v>
      </c>
      <c r="C231" s="332" t="s">
        <v>1451</v>
      </c>
      <c r="D231" s="333" t="s">
        <v>1452</v>
      </c>
      <c r="E231" s="42"/>
      <c r="F231" s="9"/>
      <c r="G231" s="9"/>
      <c r="H231" s="9"/>
      <c r="I231" s="9"/>
      <c r="J231" s="9"/>
      <c r="K231" s="9"/>
      <c r="L231" s="9"/>
      <c r="M231" s="2"/>
      <c r="N231" s="2"/>
      <c r="O231" s="2"/>
      <c r="P231" s="2"/>
    </row>
    <row r="232" spans="1:16" ht="12.75">
      <c r="A232" s="331" t="s">
        <v>4575</v>
      </c>
      <c r="B232" s="331" t="s">
        <v>1321</v>
      </c>
      <c r="C232" s="332" t="s">
        <v>1010</v>
      </c>
      <c r="D232" s="333" t="s">
        <v>1011</v>
      </c>
      <c r="E232" s="42"/>
      <c r="F232" s="9"/>
      <c r="G232" s="9"/>
      <c r="H232" s="9"/>
      <c r="I232" s="9"/>
      <c r="J232" s="9"/>
      <c r="K232" s="9"/>
      <c r="L232" s="9"/>
      <c r="M232" s="2"/>
      <c r="N232" s="2"/>
      <c r="O232" s="2"/>
      <c r="P232" s="2"/>
    </row>
    <row r="233" spans="1:16" ht="12.75">
      <c r="A233" s="334" t="s">
        <v>4554</v>
      </c>
      <c r="B233" s="334" t="s">
        <v>1459</v>
      </c>
      <c r="C233" s="332" t="s">
        <v>1461</v>
      </c>
      <c r="D233" s="333" t="s">
        <v>1462</v>
      </c>
      <c r="E233" s="42"/>
      <c r="F233" s="9"/>
      <c r="G233" s="9"/>
      <c r="H233" s="9"/>
      <c r="I233" s="9"/>
      <c r="J233" s="9"/>
      <c r="K233" s="9"/>
      <c r="L233" s="9"/>
      <c r="M233" s="2"/>
      <c r="N233" s="2"/>
      <c r="O233" s="2"/>
      <c r="P233" s="2"/>
    </row>
    <row r="234" spans="1:16" ht="12.75">
      <c r="A234" s="331" t="s">
        <v>4546</v>
      </c>
      <c r="B234" s="331" t="s">
        <v>1466</v>
      </c>
      <c r="C234" s="332" t="s">
        <v>1468</v>
      </c>
      <c r="D234" s="333" t="s">
        <v>1469</v>
      </c>
      <c r="E234" s="42"/>
      <c r="F234" s="9"/>
      <c r="G234" s="9"/>
      <c r="H234" s="9"/>
      <c r="I234" s="9"/>
      <c r="J234" s="9"/>
      <c r="K234" s="9"/>
      <c r="L234" s="9"/>
      <c r="M234" s="2"/>
      <c r="N234" s="2"/>
      <c r="O234" s="2"/>
      <c r="P234" s="2"/>
    </row>
    <row r="235" spans="1:16" ht="12.75">
      <c r="A235" s="334" t="s">
        <v>4553</v>
      </c>
      <c r="B235" s="334" t="s">
        <v>1107</v>
      </c>
      <c r="C235" s="332" t="s">
        <v>1472</v>
      </c>
      <c r="D235" s="333" t="s">
        <v>105</v>
      </c>
      <c r="E235" s="42"/>
      <c r="F235" s="9"/>
      <c r="G235" s="9"/>
      <c r="H235" s="9"/>
      <c r="I235" s="9"/>
      <c r="J235" s="9"/>
      <c r="K235" s="9"/>
      <c r="L235" s="9"/>
      <c r="M235" s="2"/>
      <c r="N235" s="2"/>
      <c r="O235" s="2"/>
      <c r="P235" s="2"/>
    </row>
    <row r="236" spans="1:16" ht="12.75">
      <c r="A236" s="331" t="s">
        <v>4554</v>
      </c>
      <c r="B236" s="331" t="s">
        <v>1313</v>
      </c>
      <c r="C236" s="332" t="s">
        <v>1315</v>
      </c>
      <c r="D236" s="333" t="s">
        <v>1316</v>
      </c>
      <c r="E236" s="42"/>
      <c r="F236" s="9"/>
      <c r="G236" s="9"/>
      <c r="H236" s="9"/>
      <c r="I236" s="9"/>
      <c r="J236" s="9"/>
      <c r="K236" s="9"/>
      <c r="L236" s="9"/>
      <c r="M236" s="2"/>
      <c r="N236" s="2"/>
      <c r="O236" s="2"/>
      <c r="P236" s="2"/>
    </row>
    <row r="237" spans="1:16" ht="12.75">
      <c r="A237" s="334" t="s">
        <v>4557</v>
      </c>
      <c r="B237" s="334" t="s">
        <v>1478</v>
      </c>
      <c r="C237" s="332" t="s">
        <v>218</v>
      </c>
      <c r="D237" s="333" t="s">
        <v>1480</v>
      </c>
      <c r="E237" s="42"/>
      <c r="F237" s="9"/>
      <c r="G237" s="9"/>
      <c r="H237" s="9"/>
      <c r="I237" s="9"/>
      <c r="J237" s="9"/>
      <c r="K237" s="9"/>
      <c r="L237" s="9"/>
      <c r="M237" s="2"/>
      <c r="N237" s="2"/>
      <c r="O237" s="2"/>
      <c r="P237" s="2"/>
    </row>
    <row r="238" spans="1:16" ht="12.75">
      <c r="A238" s="331" t="s">
        <v>4575</v>
      </c>
      <c r="B238" s="331" t="s">
        <v>1478</v>
      </c>
      <c r="C238" s="332" t="s">
        <v>218</v>
      </c>
      <c r="D238" s="333" t="s">
        <v>1480</v>
      </c>
      <c r="E238" s="42"/>
      <c r="F238" s="9"/>
      <c r="G238" s="9"/>
      <c r="H238" s="9"/>
      <c r="I238" s="9"/>
      <c r="J238" s="9"/>
      <c r="K238" s="9"/>
      <c r="L238" s="9"/>
      <c r="M238" s="2"/>
      <c r="N238" s="2"/>
      <c r="O238" s="2"/>
      <c r="P238" s="2"/>
    </row>
    <row r="239" spans="1:16" ht="12.75">
      <c r="A239" s="361" t="s">
        <v>4560</v>
      </c>
      <c r="B239" s="361" t="s">
        <v>1489</v>
      </c>
      <c r="C239" s="360" t="s">
        <v>1491</v>
      </c>
      <c r="D239" s="367" t="s">
        <v>1492</v>
      </c>
      <c r="E239" s="42"/>
      <c r="F239" s="9"/>
      <c r="G239" s="9"/>
      <c r="H239" s="9"/>
      <c r="I239" s="9"/>
      <c r="J239" s="9"/>
      <c r="K239" s="9"/>
      <c r="L239" s="9"/>
      <c r="M239" s="2"/>
      <c r="N239" s="2"/>
      <c r="O239" s="2"/>
      <c r="P239" s="2"/>
    </row>
    <row r="240" spans="1:16" ht="12.75">
      <c r="A240" s="334" t="s">
        <v>4553</v>
      </c>
      <c r="B240" s="334" t="s">
        <v>1496</v>
      </c>
      <c r="C240" s="332" t="s">
        <v>1498</v>
      </c>
      <c r="D240" s="333" t="s">
        <v>1499</v>
      </c>
      <c r="E240" s="42"/>
      <c r="F240" s="9"/>
      <c r="G240" s="9"/>
      <c r="H240" s="9"/>
      <c r="I240" s="9"/>
      <c r="J240" s="9"/>
      <c r="K240" s="9"/>
      <c r="L240" s="9"/>
      <c r="M240" s="2"/>
      <c r="N240" s="2"/>
      <c r="O240" s="2"/>
      <c r="P240" s="2"/>
    </row>
    <row r="241" spans="1:16" ht="12.75">
      <c r="A241" s="331" t="s">
        <v>4545</v>
      </c>
      <c r="B241" s="331" t="s">
        <v>1504</v>
      </c>
      <c r="C241" s="332" t="s">
        <v>1506</v>
      </c>
      <c r="D241" s="333" t="s">
        <v>1508</v>
      </c>
      <c r="E241" s="42"/>
      <c r="F241" s="9"/>
      <c r="G241" s="9"/>
      <c r="H241" s="9"/>
      <c r="I241" s="9"/>
      <c r="J241" s="9"/>
      <c r="K241" s="9"/>
      <c r="L241" s="9"/>
      <c r="M241" s="2"/>
      <c r="N241" s="2"/>
      <c r="O241" s="2"/>
      <c r="P241" s="2"/>
    </row>
    <row r="242" spans="1:16" ht="12.75">
      <c r="A242" s="334" t="s">
        <v>4554</v>
      </c>
      <c r="B242" s="334" t="s">
        <v>902</v>
      </c>
      <c r="C242" s="332" t="s">
        <v>59</v>
      </c>
      <c r="D242" s="333" t="s">
        <v>904</v>
      </c>
      <c r="E242" s="42"/>
      <c r="F242" s="9"/>
      <c r="G242" s="9"/>
      <c r="H242" s="9"/>
      <c r="I242" s="9"/>
      <c r="J242" s="9"/>
      <c r="K242" s="9"/>
      <c r="L242" s="9"/>
      <c r="M242" s="2"/>
      <c r="N242" s="2"/>
      <c r="O242" s="2"/>
      <c r="P242" s="2"/>
    </row>
    <row r="243" spans="1:16" ht="12.75">
      <c r="A243" s="331" t="s">
        <v>4546</v>
      </c>
      <c r="B243" s="331" t="s">
        <v>1514</v>
      </c>
      <c r="C243" s="332" t="s">
        <v>59</v>
      </c>
      <c r="D243" s="333" t="s">
        <v>1517</v>
      </c>
      <c r="E243" s="42"/>
      <c r="F243" s="9"/>
      <c r="G243" s="9"/>
      <c r="H243" s="9"/>
      <c r="I243" s="9"/>
      <c r="J243" s="9"/>
      <c r="K243" s="9"/>
      <c r="L243" s="9"/>
      <c r="M243" s="2"/>
      <c r="N243" s="2"/>
      <c r="O243" s="2"/>
      <c r="P243" s="2"/>
    </row>
    <row r="244" spans="1:16" ht="12.75">
      <c r="A244" s="331" t="s">
        <v>4553</v>
      </c>
      <c r="B244" s="331" t="s">
        <v>1523</v>
      </c>
      <c r="C244" s="332" t="s">
        <v>1525</v>
      </c>
      <c r="D244" s="333" t="s">
        <v>1526</v>
      </c>
      <c r="E244" s="42"/>
      <c r="F244" s="9"/>
      <c r="G244" s="9"/>
      <c r="H244" s="9"/>
      <c r="I244" s="9"/>
      <c r="J244" s="9"/>
      <c r="K244" s="9"/>
      <c r="L244" s="9"/>
      <c r="M244" s="2"/>
      <c r="N244" s="2"/>
      <c r="O244" s="2"/>
      <c r="P244" s="2"/>
    </row>
    <row r="245" spans="1:16" ht="12.75">
      <c r="A245" s="334" t="s">
        <v>4557</v>
      </c>
      <c r="B245" s="334" t="s">
        <v>1530</v>
      </c>
      <c r="C245" s="332" t="s">
        <v>1225</v>
      </c>
      <c r="D245" s="333" t="s">
        <v>1533</v>
      </c>
      <c r="E245" s="42"/>
      <c r="F245" s="9"/>
      <c r="G245" s="9"/>
      <c r="H245" s="9"/>
      <c r="I245" s="9"/>
      <c r="J245" s="9"/>
      <c r="K245" s="9"/>
      <c r="L245" s="9"/>
      <c r="M245" s="2"/>
      <c r="N245" s="2"/>
      <c r="O245" s="2"/>
      <c r="P245" s="2"/>
    </row>
    <row r="246" spans="1:16" ht="12.75">
      <c r="A246" s="331" t="s">
        <v>4554</v>
      </c>
      <c r="B246" s="331" t="s">
        <v>1107</v>
      </c>
      <c r="C246" s="332" t="s">
        <v>223</v>
      </c>
      <c r="D246" s="333" t="s">
        <v>105</v>
      </c>
      <c r="E246" s="42"/>
      <c r="F246" s="9"/>
      <c r="G246" s="9"/>
      <c r="H246" s="9"/>
      <c r="I246" s="9"/>
      <c r="J246" s="9"/>
      <c r="K246" s="9"/>
      <c r="L246" s="9"/>
      <c r="M246" s="2"/>
      <c r="N246" s="2"/>
      <c r="O246" s="2"/>
      <c r="P246" s="2"/>
    </row>
    <row r="247" spans="1:16" ht="12.75">
      <c r="A247" s="334" t="s">
        <v>4554</v>
      </c>
      <c r="B247" s="334" t="s">
        <v>1537</v>
      </c>
      <c r="C247" s="332" t="s">
        <v>1539</v>
      </c>
      <c r="D247" s="333" t="s">
        <v>1540</v>
      </c>
      <c r="E247" s="42"/>
      <c r="F247" s="9"/>
      <c r="G247" s="9"/>
      <c r="H247" s="9"/>
      <c r="I247" s="9"/>
      <c r="J247" s="9"/>
      <c r="K247" s="9"/>
      <c r="L247" s="9"/>
      <c r="M247" s="2"/>
      <c r="N247" s="2"/>
      <c r="O247" s="2"/>
      <c r="P247" s="2"/>
    </row>
    <row r="248" spans="1:16" ht="12.75">
      <c r="A248" s="331" t="s">
        <v>4562</v>
      </c>
      <c r="B248" s="331" t="s">
        <v>132</v>
      </c>
      <c r="C248" s="332" t="s">
        <v>134</v>
      </c>
      <c r="D248" s="333" t="s">
        <v>135</v>
      </c>
      <c r="E248" s="42"/>
      <c r="F248" s="9"/>
      <c r="G248" s="9"/>
      <c r="H248" s="9"/>
      <c r="I248" s="9"/>
      <c r="J248" s="9"/>
      <c r="K248" s="9"/>
      <c r="L248" s="9"/>
      <c r="M248" s="2"/>
      <c r="N248" s="2"/>
      <c r="O248" s="2"/>
      <c r="P248" s="2"/>
    </row>
    <row r="249" spans="1:16" ht="12.75">
      <c r="A249" s="334" t="s">
        <v>4562</v>
      </c>
      <c r="B249" s="334" t="s">
        <v>132</v>
      </c>
      <c r="C249" s="332" t="s">
        <v>134</v>
      </c>
      <c r="D249" s="333" t="s">
        <v>135</v>
      </c>
      <c r="E249" s="42"/>
      <c r="F249" s="9"/>
      <c r="G249" s="9"/>
      <c r="H249" s="9"/>
      <c r="I249" s="9"/>
      <c r="J249" s="9"/>
      <c r="K249" s="9"/>
      <c r="L249" s="9"/>
      <c r="M249" s="2"/>
      <c r="N249" s="2"/>
      <c r="O249" s="2"/>
      <c r="P249" s="2"/>
    </row>
    <row r="250" spans="1:16" ht="12.75">
      <c r="A250" s="331" t="s">
        <v>4562</v>
      </c>
      <c r="B250" s="331" t="s">
        <v>1547</v>
      </c>
      <c r="C250" s="332" t="s">
        <v>451</v>
      </c>
      <c r="D250" s="333" t="s">
        <v>87</v>
      </c>
      <c r="E250" s="42"/>
      <c r="F250" s="9"/>
      <c r="G250" s="9"/>
      <c r="H250" s="9"/>
      <c r="I250" s="9"/>
      <c r="J250" s="9"/>
      <c r="K250" s="9"/>
      <c r="L250" s="9"/>
      <c r="M250" s="2"/>
      <c r="N250" s="2"/>
      <c r="O250" s="2"/>
      <c r="P250" s="2"/>
    </row>
    <row r="251" spans="1:16" ht="12.75">
      <c r="A251" s="334" t="s">
        <v>4545</v>
      </c>
      <c r="B251" s="334" t="s">
        <v>1551</v>
      </c>
      <c r="C251" s="332" t="s">
        <v>1553</v>
      </c>
      <c r="D251" s="333" t="s">
        <v>438</v>
      </c>
      <c r="E251" s="42"/>
      <c r="F251" s="9"/>
      <c r="G251" s="9"/>
      <c r="H251" s="9"/>
      <c r="I251" s="9"/>
      <c r="J251" s="9"/>
      <c r="K251" s="9"/>
      <c r="L251" s="9"/>
      <c r="M251" s="2"/>
      <c r="N251" s="2"/>
      <c r="O251" s="2"/>
      <c r="P251" s="2"/>
    </row>
    <row r="252" spans="1:16" ht="12.75">
      <c r="A252" s="334" t="s">
        <v>4557</v>
      </c>
      <c r="B252" s="334" t="s">
        <v>1562</v>
      </c>
      <c r="C252" s="332" t="s">
        <v>1564</v>
      </c>
      <c r="D252" s="333" t="s">
        <v>1566</v>
      </c>
      <c r="E252" s="42"/>
      <c r="F252" s="9"/>
      <c r="G252" s="9"/>
      <c r="H252" s="9"/>
      <c r="I252" s="9"/>
      <c r="J252" s="9"/>
      <c r="K252" s="9"/>
      <c r="L252" s="9"/>
      <c r="M252" s="2"/>
      <c r="N252" s="2"/>
      <c r="O252" s="2"/>
      <c r="P252" s="2"/>
    </row>
    <row r="253" spans="1:16" ht="12.75">
      <c r="A253" s="331" t="s">
        <v>4562</v>
      </c>
      <c r="B253" s="331" t="s">
        <v>1569</v>
      </c>
      <c r="C253" s="332" t="s">
        <v>237</v>
      </c>
      <c r="D253" s="333" t="s">
        <v>1571</v>
      </c>
      <c r="E253" s="42"/>
      <c r="F253" s="9"/>
      <c r="G253" s="9"/>
      <c r="H253" s="9"/>
      <c r="I253" s="9"/>
      <c r="J253" s="9"/>
      <c r="K253" s="9"/>
      <c r="L253" s="9"/>
      <c r="M253" s="2"/>
      <c r="N253" s="2"/>
      <c r="O253" s="2"/>
      <c r="P253" s="2"/>
    </row>
    <row r="254" spans="1:16" ht="12.75">
      <c r="A254" s="334" t="s">
        <v>4553</v>
      </c>
      <c r="B254" s="334" t="s">
        <v>1574</v>
      </c>
      <c r="C254" s="332" t="s">
        <v>1576</v>
      </c>
      <c r="D254" s="333" t="s">
        <v>1577</v>
      </c>
      <c r="E254" s="42"/>
      <c r="F254" s="9"/>
      <c r="G254" s="9"/>
      <c r="H254" s="9"/>
      <c r="I254" s="9"/>
      <c r="J254" s="9"/>
      <c r="K254" s="9"/>
      <c r="L254" s="9"/>
      <c r="M254" s="2"/>
      <c r="N254" s="2"/>
      <c r="O254" s="2"/>
      <c r="P254" s="2"/>
    </row>
    <row r="255" spans="1:16" ht="12.75">
      <c r="A255" s="331" t="s">
        <v>4558</v>
      </c>
      <c r="B255" s="331" t="s">
        <v>1581</v>
      </c>
      <c r="C255" s="332" t="s">
        <v>1218</v>
      </c>
      <c r="D255" s="333" t="s">
        <v>1583</v>
      </c>
      <c r="E255" s="42"/>
      <c r="F255" s="9"/>
      <c r="G255" s="9"/>
      <c r="H255" s="9"/>
      <c r="I255" s="9"/>
      <c r="J255" s="9"/>
      <c r="K255" s="9"/>
      <c r="L255" s="9"/>
      <c r="M255" s="2"/>
      <c r="N255" s="2"/>
      <c r="O255" s="2"/>
      <c r="P255" s="2"/>
    </row>
    <row r="256" spans="1:16" ht="12.75">
      <c r="A256" s="331" t="s">
        <v>4546</v>
      </c>
      <c r="B256" s="331" t="s">
        <v>1588</v>
      </c>
      <c r="C256" s="332" t="s">
        <v>726</v>
      </c>
      <c r="D256" s="333" t="s">
        <v>1591</v>
      </c>
      <c r="E256" s="42"/>
      <c r="F256" s="9"/>
      <c r="G256" s="9"/>
      <c r="H256" s="9"/>
      <c r="I256" s="9"/>
      <c r="J256" s="9"/>
      <c r="K256" s="9"/>
      <c r="L256" s="9"/>
      <c r="M256" s="2"/>
      <c r="N256" s="2"/>
      <c r="O256" s="2"/>
      <c r="P256" s="2"/>
    </row>
    <row r="257" spans="1:16" ht="12.75">
      <c r="A257" s="334" t="s">
        <v>4548</v>
      </c>
      <c r="B257" s="334" t="s">
        <v>800</v>
      </c>
      <c r="C257" s="332" t="s">
        <v>1596</v>
      </c>
      <c r="D257" s="333" t="s">
        <v>1597</v>
      </c>
      <c r="E257" s="42"/>
      <c r="F257" s="9"/>
      <c r="G257" s="9"/>
      <c r="H257" s="9"/>
      <c r="I257" s="9"/>
      <c r="J257" s="9"/>
      <c r="K257" s="9"/>
      <c r="L257" s="9"/>
      <c r="M257" s="2"/>
      <c r="N257" s="2"/>
      <c r="O257" s="2"/>
      <c r="P257" s="2"/>
    </row>
    <row r="258" spans="1:16" ht="12.75">
      <c r="A258" s="331" t="s">
        <v>4554</v>
      </c>
      <c r="B258" s="331" t="s">
        <v>1601</v>
      </c>
      <c r="C258" s="332" t="s">
        <v>1603</v>
      </c>
      <c r="D258" s="333" t="s">
        <v>1604</v>
      </c>
      <c r="E258" s="42"/>
      <c r="F258" s="9"/>
      <c r="G258" s="9"/>
      <c r="H258" s="9"/>
      <c r="I258" s="9"/>
      <c r="J258" s="9"/>
      <c r="K258" s="9"/>
      <c r="L258" s="9"/>
      <c r="M258" s="2"/>
      <c r="N258" s="2"/>
      <c r="O258" s="2"/>
      <c r="P258" s="2"/>
    </row>
    <row r="259" spans="1:16" ht="12.75">
      <c r="A259" s="334" t="s">
        <v>4560</v>
      </c>
      <c r="B259" s="334" t="s">
        <v>57</v>
      </c>
      <c r="C259" s="332" t="s">
        <v>59</v>
      </c>
      <c r="D259" s="333" t="s">
        <v>60</v>
      </c>
      <c r="E259" s="42"/>
      <c r="F259" s="9"/>
      <c r="G259" s="9"/>
      <c r="H259" s="9"/>
      <c r="I259" s="9"/>
      <c r="J259" s="9"/>
      <c r="K259" s="9"/>
      <c r="L259" s="9"/>
      <c r="M259" s="2"/>
      <c r="N259" s="2"/>
      <c r="O259" s="2"/>
      <c r="P259" s="2"/>
    </row>
    <row r="260" spans="1:16" ht="12.75">
      <c r="A260" s="331" t="s">
        <v>4560</v>
      </c>
      <c r="B260" s="331" t="s">
        <v>1610</v>
      </c>
      <c r="C260" s="332" t="s">
        <v>134</v>
      </c>
      <c r="D260" s="333" t="s">
        <v>1612</v>
      </c>
      <c r="E260" s="42"/>
      <c r="F260" s="9"/>
      <c r="G260" s="9"/>
      <c r="H260" s="9"/>
      <c r="I260" s="9"/>
      <c r="J260" s="9"/>
      <c r="K260" s="9"/>
      <c r="L260" s="9"/>
      <c r="M260" s="2"/>
      <c r="N260" s="2"/>
      <c r="O260" s="2"/>
      <c r="P260" s="2"/>
    </row>
    <row r="261" spans="1:16" ht="12.75" customHeight="1">
      <c r="A261" s="334" t="s">
        <v>4545</v>
      </c>
      <c r="B261" s="334" t="s">
        <v>1615</v>
      </c>
      <c r="C261" s="332" t="s">
        <v>1616</v>
      </c>
      <c r="D261" s="333" t="s">
        <v>1617</v>
      </c>
      <c r="E261" s="42"/>
      <c r="F261" s="9"/>
      <c r="G261" s="9"/>
      <c r="H261" s="9"/>
      <c r="I261" s="9"/>
      <c r="J261" s="9"/>
      <c r="K261" s="9"/>
      <c r="L261" s="9"/>
      <c r="M261" s="2"/>
      <c r="N261" s="2"/>
      <c r="O261" s="2"/>
      <c r="P261" s="2"/>
    </row>
    <row r="262" spans="1:16" ht="12.75">
      <c r="A262" s="334" t="s">
        <v>4558</v>
      </c>
      <c r="B262" s="334" t="s">
        <v>1624</v>
      </c>
      <c r="C262" s="332" t="s">
        <v>1626</v>
      </c>
      <c r="D262" s="333" t="s">
        <v>1627</v>
      </c>
      <c r="E262" s="42"/>
      <c r="F262" s="9"/>
      <c r="G262" s="9"/>
      <c r="H262" s="9"/>
      <c r="I262" s="9"/>
      <c r="J262" s="9"/>
      <c r="K262" s="9"/>
      <c r="L262" s="9"/>
      <c r="M262" s="2"/>
      <c r="N262" s="2"/>
      <c r="O262" s="2"/>
      <c r="P262" s="2"/>
    </row>
    <row r="263" spans="1:16" ht="12.75">
      <c r="A263" s="334" t="s">
        <v>4562</v>
      </c>
      <c r="B263" s="334" t="s">
        <v>1631</v>
      </c>
      <c r="C263" s="332" t="s">
        <v>269</v>
      </c>
      <c r="D263" s="333" t="s">
        <v>1632</v>
      </c>
      <c r="E263" s="42"/>
      <c r="F263" s="9"/>
      <c r="G263" s="9"/>
      <c r="H263" s="9"/>
      <c r="I263" s="9"/>
      <c r="J263" s="9"/>
      <c r="K263" s="9"/>
      <c r="L263" s="9"/>
      <c r="M263" s="2"/>
      <c r="N263" s="2"/>
      <c r="O263" s="2"/>
      <c r="P263" s="2"/>
    </row>
    <row r="264" spans="1:16" ht="12.75">
      <c r="A264" s="334" t="s">
        <v>4546</v>
      </c>
      <c r="B264" s="334" t="s">
        <v>1637</v>
      </c>
      <c r="C264" s="332" t="s">
        <v>237</v>
      </c>
      <c r="D264" s="333" t="s">
        <v>1639</v>
      </c>
      <c r="E264" s="42"/>
      <c r="F264" s="9"/>
      <c r="G264" s="9"/>
      <c r="H264" s="9"/>
      <c r="I264" s="9"/>
      <c r="J264" s="9"/>
      <c r="K264" s="9"/>
      <c r="L264" s="9"/>
      <c r="M264" s="2"/>
      <c r="N264" s="2"/>
      <c r="O264" s="2"/>
      <c r="P264" s="2"/>
    </row>
    <row r="265" spans="1:16" ht="12.75">
      <c r="A265" s="331" t="s">
        <v>4554</v>
      </c>
      <c r="B265" s="331" t="s">
        <v>1642</v>
      </c>
      <c r="C265" s="332" t="s">
        <v>218</v>
      </c>
      <c r="D265" s="333">
        <v>703360107</v>
      </c>
      <c r="E265" s="42"/>
      <c r="F265" s="9"/>
      <c r="G265" s="9"/>
      <c r="H265" s="9"/>
      <c r="I265" s="9"/>
      <c r="J265" s="9"/>
      <c r="K265" s="9"/>
      <c r="L265" s="9"/>
      <c r="M265" s="2"/>
      <c r="N265" s="2"/>
      <c r="O265" s="2"/>
      <c r="P265" s="2"/>
    </row>
    <row r="266" spans="1:16" ht="12.75">
      <c r="A266" s="331" t="s">
        <v>4557</v>
      </c>
      <c r="B266" s="331" t="s">
        <v>1649</v>
      </c>
      <c r="C266" s="332" t="s">
        <v>677</v>
      </c>
      <c r="D266" s="333" t="s">
        <v>1652</v>
      </c>
      <c r="E266" s="42"/>
      <c r="F266" s="9"/>
      <c r="G266" s="9"/>
      <c r="H266" s="9"/>
      <c r="I266" s="9"/>
      <c r="J266" s="9"/>
      <c r="K266" s="9"/>
      <c r="L266" s="9"/>
      <c r="M266" s="2"/>
      <c r="N266" s="2"/>
      <c r="O266" s="2"/>
      <c r="P266" s="2"/>
    </row>
    <row r="267" spans="1:16" ht="12.75">
      <c r="A267" s="334" t="s">
        <v>4546</v>
      </c>
      <c r="B267" s="334" t="s">
        <v>1655</v>
      </c>
      <c r="C267" s="332" t="s">
        <v>1657</v>
      </c>
      <c r="D267" s="333" t="s">
        <v>1658</v>
      </c>
      <c r="E267" s="42"/>
      <c r="F267" s="9"/>
      <c r="G267" s="9"/>
      <c r="H267" s="9"/>
      <c r="I267" s="9"/>
      <c r="J267" s="9"/>
      <c r="K267" s="9"/>
      <c r="L267" s="9"/>
      <c r="M267" s="2"/>
      <c r="N267" s="2"/>
      <c r="O267" s="2"/>
      <c r="P267" s="2"/>
    </row>
    <row r="268" spans="1:16" ht="12.75">
      <c r="A268" s="331" t="s">
        <v>4558</v>
      </c>
      <c r="B268" s="331" t="s">
        <v>1662</v>
      </c>
      <c r="C268" s="332" t="s">
        <v>1664</v>
      </c>
      <c r="D268" s="333" t="s">
        <v>1665</v>
      </c>
      <c r="E268" s="42"/>
      <c r="F268" s="9"/>
      <c r="G268" s="9"/>
      <c r="H268" s="9"/>
      <c r="I268" s="9"/>
      <c r="J268" s="9"/>
      <c r="K268" s="9"/>
      <c r="L268" s="9"/>
      <c r="M268" s="2"/>
      <c r="N268" s="2"/>
      <c r="O268" s="2"/>
      <c r="P268" s="2"/>
    </row>
    <row r="269" spans="1:16" ht="12.75">
      <c r="A269" s="334" t="s">
        <v>4559</v>
      </c>
      <c r="B269" s="334" t="s">
        <v>1668</v>
      </c>
      <c r="C269" s="332" t="s">
        <v>237</v>
      </c>
      <c r="D269" s="333" t="s">
        <v>1670</v>
      </c>
      <c r="E269" s="42"/>
      <c r="F269" s="9"/>
      <c r="G269" s="9"/>
      <c r="H269" s="9"/>
      <c r="I269" s="9"/>
      <c r="J269" s="9"/>
      <c r="K269" s="9"/>
      <c r="L269" s="9"/>
      <c r="M269" s="2"/>
      <c r="N269" s="2"/>
      <c r="O269" s="2"/>
      <c r="P269" s="2"/>
    </row>
    <row r="270" spans="1:16" ht="12.75">
      <c r="A270" s="339" t="s">
        <v>4546</v>
      </c>
      <c r="B270" s="331" t="s">
        <v>1673</v>
      </c>
      <c r="C270" s="332" t="s">
        <v>437</v>
      </c>
      <c r="D270" s="333" t="s">
        <v>1676</v>
      </c>
      <c r="E270" s="42"/>
      <c r="F270" s="9"/>
      <c r="G270" s="9"/>
      <c r="H270" s="9"/>
      <c r="I270" s="9"/>
      <c r="J270" s="9"/>
      <c r="K270" s="9"/>
      <c r="L270" s="9"/>
      <c r="M270" s="2"/>
      <c r="N270" s="2"/>
      <c r="O270" s="2"/>
      <c r="P270" s="2"/>
    </row>
    <row r="271" spans="1:16" ht="12.75">
      <c r="A271" s="334" t="s">
        <v>4554</v>
      </c>
      <c r="B271" s="334" t="s">
        <v>1679</v>
      </c>
      <c r="C271" s="332" t="s">
        <v>245</v>
      </c>
      <c r="D271" s="333" t="s">
        <v>1681</v>
      </c>
      <c r="E271" s="42"/>
      <c r="F271" s="9"/>
      <c r="G271" s="9"/>
      <c r="H271" s="9"/>
      <c r="I271" s="9"/>
      <c r="J271" s="9"/>
      <c r="K271" s="9"/>
      <c r="L271" s="9"/>
      <c r="M271" s="2"/>
      <c r="N271" s="2"/>
      <c r="O271" s="2"/>
      <c r="P271" s="2"/>
    </row>
    <row r="272" spans="1:16" ht="12.75">
      <c r="A272" s="331" t="s">
        <v>4560</v>
      </c>
      <c r="B272" s="331" t="s">
        <v>1684</v>
      </c>
      <c r="C272" s="332" t="s">
        <v>1686</v>
      </c>
      <c r="D272" s="333" t="s">
        <v>924</v>
      </c>
      <c r="E272" s="42"/>
      <c r="F272" s="9"/>
      <c r="G272" s="9"/>
      <c r="H272" s="9"/>
      <c r="I272" s="9"/>
      <c r="J272" s="9"/>
      <c r="K272" s="9"/>
      <c r="L272" s="9"/>
      <c r="M272" s="2"/>
      <c r="N272" s="2"/>
      <c r="O272" s="2"/>
      <c r="P272" s="2"/>
    </row>
    <row r="273" spans="1:16" ht="12.75">
      <c r="A273" s="334" t="s">
        <v>4545</v>
      </c>
      <c r="B273" s="334" t="s">
        <v>711</v>
      </c>
      <c r="C273" s="332" t="s">
        <v>713</v>
      </c>
      <c r="D273" s="333" t="s">
        <v>714</v>
      </c>
      <c r="E273" s="42"/>
      <c r="F273" s="9"/>
      <c r="G273" s="9"/>
      <c r="H273" s="9"/>
      <c r="I273" s="9"/>
      <c r="J273" s="9"/>
      <c r="K273" s="9"/>
      <c r="L273" s="9"/>
      <c r="M273" s="2"/>
      <c r="N273" s="2"/>
      <c r="O273" s="2"/>
      <c r="P273" s="2"/>
    </row>
    <row r="274" spans="1:16" ht="12.75">
      <c r="A274" s="331" t="s">
        <v>4548</v>
      </c>
      <c r="B274" s="331" t="s">
        <v>1693</v>
      </c>
      <c r="C274" s="332" t="s">
        <v>237</v>
      </c>
      <c r="D274" s="333" t="s">
        <v>1696</v>
      </c>
      <c r="E274" s="42"/>
      <c r="F274" s="9"/>
      <c r="G274" s="9"/>
      <c r="H274" s="9"/>
      <c r="I274" s="9"/>
      <c r="J274" s="9"/>
      <c r="K274" s="9"/>
      <c r="L274" s="9"/>
      <c r="M274" s="2"/>
      <c r="N274" s="2"/>
      <c r="O274" s="2"/>
      <c r="P274" s="2"/>
    </row>
    <row r="275" spans="1:16" ht="12.75">
      <c r="A275" s="335" t="s">
        <v>4562</v>
      </c>
      <c r="B275" s="334" t="s">
        <v>1700</v>
      </c>
      <c r="C275" s="332" t="s">
        <v>726</v>
      </c>
      <c r="D275" s="333" t="s">
        <v>1702</v>
      </c>
      <c r="E275" s="42"/>
      <c r="F275" s="9"/>
      <c r="G275" s="9"/>
      <c r="H275" s="9"/>
      <c r="I275" s="9"/>
      <c r="J275" s="9"/>
      <c r="K275" s="9"/>
      <c r="L275" s="9"/>
      <c r="M275" s="2"/>
      <c r="N275" s="2"/>
      <c r="O275" s="2"/>
      <c r="P275" s="2"/>
    </row>
    <row r="276" spans="1:16" ht="12.75">
      <c r="A276" s="331" t="s">
        <v>4547</v>
      </c>
      <c r="B276" s="331" t="s">
        <v>1693</v>
      </c>
      <c r="C276" s="332" t="s">
        <v>237</v>
      </c>
      <c r="D276" s="333" t="s">
        <v>1696</v>
      </c>
      <c r="E276" s="42"/>
      <c r="F276" s="9"/>
      <c r="G276" s="9"/>
      <c r="H276" s="9"/>
      <c r="I276" s="9"/>
      <c r="J276" s="9"/>
      <c r="K276" s="9"/>
      <c r="L276" s="9"/>
      <c r="M276" s="2"/>
      <c r="N276" s="2"/>
      <c r="O276" s="2"/>
      <c r="P276" s="2"/>
    </row>
    <row r="277" spans="1:16" ht="15">
      <c r="A277" s="334" t="s">
        <v>4554</v>
      </c>
      <c r="B277" s="334" t="s">
        <v>1707</v>
      </c>
      <c r="C277" s="332" t="s">
        <v>599</v>
      </c>
      <c r="D277" s="368" t="s">
        <v>1710</v>
      </c>
      <c r="E277" s="42"/>
      <c r="F277" s="9"/>
      <c r="G277" s="9"/>
      <c r="H277" s="9"/>
      <c r="I277" s="9"/>
      <c r="J277" s="9"/>
      <c r="K277" s="9"/>
      <c r="L277" s="9"/>
      <c r="M277" s="2"/>
      <c r="N277" s="2"/>
      <c r="O277" s="2"/>
      <c r="P277" s="2"/>
    </row>
    <row r="278" spans="1:16" ht="12.75">
      <c r="A278" s="331" t="s">
        <v>4562</v>
      </c>
      <c r="B278" s="331" t="s">
        <v>1713</v>
      </c>
      <c r="C278" s="332" t="s">
        <v>1715</v>
      </c>
      <c r="D278" s="333" t="s">
        <v>1716</v>
      </c>
      <c r="E278" s="42"/>
      <c r="F278" s="9"/>
      <c r="G278" s="9"/>
      <c r="H278" s="9"/>
      <c r="I278" s="9"/>
      <c r="J278" s="9"/>
      <c r="K278" s="9"/>
      <c r="L278" s="2"/>
      <c r="M278" s="2"/>
      <c r="N278" s="2"/>
      <c r="O278" s="2"/>
      <c r="P278" s="2"/>
    </row>
    <row r="279" spans="1:16" ht="12.75">
      <c r="A279" s="334" t="s">
        <v>4562</v>
      </c>
      <c r="B279" s="334" t="s">
        <v>1720</v>
      </c>
      <c r="C279" s="332" t="s">
        <v>218</v>
      </c>
      <c r="D279" s="369" t="s">
        <v>1722</v>
      </c>
      <c r="E279" s="42"/>
      <c r="F279" s="9"/>
      <c r="G279" s="9"/>
      <c r="H279" s="9"/>
      <c r="I279" s="9"/>
      <c r="J279" s="9"/>
      <c r="K279" s="9"/>
      <c r="L279" s="9"/>
      <c r="M279" s="2"/>
      <c r="N279" s="2"/>
      <c r="O279" s="2"/>
      <c r="P279" s="2"/>
    </row>
    <row r="280" spans="1:16" ht="12.75">
      <c r="A280" s="331" t="s">
        <v>4545</v>
      </c>
      <c r="B280" s="331" t="s">
        <v>1725</v>
      </c>
      <c r="C280" s="332" t="s">
        <v>599</v>
      </c>
      <c r="D280" s="333" t="s">
        <v>1727</v>
      </c>
      <c r="E280" s="42"/>
      <c r="F280" s="9"/>
      <c r="G280" s="9"/>
      <c r="H280" s="9"/>
      <c r="I280" s="9"/>
      <c r="J280" s="9"/>
      <c r="K280" s="9"/>
      <c r="L280" s="9"/>
      <c r="M280" s="2"/>
      <c r="N280" s="2"/>
      <c r="O280" s="2"/>
      <c r="P280" s="2"/>
    </row>
    <row r="281" spans="1:16" ht="12.75">
      <c r="A281" s="334" t="s">
        <v>4562</v>
      </c>
      <c r="B281" s="334" t="s">
        <v>1730</v>
      </c>
      <c r="C281" s="332" t="s">
        <v>59</v>
      </c>
      <c r="D281" s="333" t="s">
        <v>1732</v>
      </c>
      <c r="E281" s="42"/>
      <c r="F281" s="9"/>
      <c r="G281" s="9"/>
      <c r="H281" s="9"/>
      <c r="I281" s="9"/>
      <c r="J281" s="9"/>
      <c r="K281" s="9"/>
      <c r="L281" s="9"/>
      <c r="M281" s="2"/>
      <c r="N281" s="2"/>
      <c r="O281" s="2"/>
      <c r="P281" s="2"/>
    </row>
    <row r="282" spans="1:16" ht="12.75">
      <c r="A282" s="331" t="s">
        <v>4562</v>
      </c>
      <c r="B282" s="331" t="s">
        <v>1735</v>
      </c>
      <c r="C282" s="332" t="s">
        <v>237</v>
      </c>
      <c r="D282" s="333" t="s">
        <v>1424</v>
      </c>
      <c r="E282" s="42"/>
      <c r="F282" s="9"/>
      <c r="G282" s="9"/>
      <c r="H282" s="9"/>
      <c r="I282" s="9"/>
      <c r="J282" s="9"/>
      <c r="K282" s="9"/>
      <c r="L282" s="9"/>
      <c r="M282" s="2"/>
      <c r="N282" s="2"/>
      <c r="O282" s="2"/>
      <c r="P282" s="2"/>
    </row>
    <row r="283" spans="1:16" ht="12.75">
      <c r="A283" s="334" t="s">
        <v>4560</v>
      </c>
      <c r="B283" s="334" t="s">
        <v>1065</v>
      </c>
      <c r="C283" s="332" t="s">
        <v>1067</v>
      </c>
      <c r="D283" s="333" t="s">
        <v>1068</v>
      </c>
      <c r="E283" s="42"/>
      <c r="F283" s="9"/>
      <c r="G283" s="9"/>
      <c r="H283" s="9"/>
      <c r="I283" s="9"/>
      <c r="J283" s="9"/>
      <c r="K283" s="9"/>
      <c r="L283" s="9"/>
      <c r="M283" s="2"/>
      <c r="N283" s="2"/>
      <c r="O283" s="2"/>
      <c r="P283" s="2"/>
    </row>
    <row r="284" spans="1:16" ht="12.75">
      <c r="A284" s="331" t="s">
        <v>4560</v>
      </c>
      <c r="B284" s="331" t="s">
        <v>1743</v>
      </c>
      <c r="C284" s="332" t="s">
        <v>59</v>
      </c>
      <c r="D284" s="333" t="s">
        <v>1745</v>
      </c>
      <c r="E284" s="42"/>
      <c r="F284" s="9"/>
      <c r="G284" s="9"/>
      <c r="H284" s="9"/>
      <c r="I284" s="9"/>
      <c r="J284" s="9"/>
      <c r="K284" s="9"/>
      <c r="L284" s="9"/>
      <c r="M284" s="2"/>
      <c r="N284" s="2"/>
      <c r="O284" s="2"/>
      <c r="P284" s="2"/>
    </row>
    <row r="285" spans="1:16" ht="12.75">
      <c r="A285" s="334" t="s">
        <v>4557</v>
      </c>
      <c r="B285" s="334" t="s">
        <v>1748</v>
      </c>
      <c r="C285" s="332" t="s">
        <v>677</v>
      </c>
      <c r="D285" s="333" t="s">
        <v>1750</v>
      </c>
      <c r="E285" s="42"/>
      <c r="F285" s="9"/>
      <c r="G285" s="9"/>
      <c r="H285" s="9"/>
      <c r="I285" s="9"/>
      <c r="J285" s="9"/>
      <c r="K285" s="9"/>
      <c r="L285" s="9"/>
      <c r="M285" s="2"/>
      <c r="N285" s="2"/>
      <c r="O285" s="2"/>
      <c r="P285" s="2"/>
    </row>
    <row r="286" spans="1:16" ht="12.75">
      <c r="A286" s="334" t="s">
        <v>4573</v>
      </c>
      <c r="B286" s="334" t="s">
        <v>1757</v>
      </c>
      <c r="C286" s="332" t="s">
        <v>1010</v>
      </c>
      <c r="D286" s="333" t="s">
        <v>1759</v>
      </c>
      <c r="E286" s="42"/>
      <c r="F286" s="9"/>
      <c r="G286" s="9"/>
      <c r="H286" s="9"/>
      <c r="I286" s="9"/>
      <c r="J286" s="9"/>
      <c r="K286" s="9"/>
      <c r="L286" s="9"/>
      <c r="M286" s="2"/>
      <c r="N286" s="2"/>
      <c r="O286" s="2"/>
      <c r="P286" s="2"/>
    </row>
    <row r="287" spans="1:16" ht="12.75">
      <c r="A287" s="331" t="s">
        <v>4562</v>
      </c>
      <c r="B287" s="331" t="s">
        <v>1762</v>
      </c>
      <c r="C287" s="332" t="s">
        <v>1764</v>
      </c>
      <c r="D287" s="333" t="s">
        <v>1765</v>
      </c>
      <c r="E287" s="42"/>
      <c r="F287" s="9"/>
      <c r="G287" s="9"/>
      <c r="H287" s="9"/>
      <c r="I287" s="9"/>
      <c r="J287" s="9"/>
      <c r="K287" s="9"/>
      <c r="L287" s="9"/>
      <c r="M287" s="2"/>
      <c r="N287" s="2"/>
      <c r="O287" s="2"/>
      <c r="P287" s="2"/>
    </row>
    <row r="288" spans="1:16" ht="12.75">
      <c r="A288" s="334" t="s">
        <v>4560</v>
      </c>
      <c r="B288" s="370" t="s">
        <v>806</v>
      </c>
      <c r="C288" s="356" t="s">
        <v>356</v>
      </c>
      <c r="D288" s="333" t="s">
        <v>808</v>
      </c>
      <c r="E288" s="42"/>
      <c r="F288" s="9"/>
      <c r="G288" s="9"/>
      <c r="H288" s="9"/>
      <c r="I288" s="9"/>
      <c r="J288" s="9"/>
      <c r="K288" s="9"/>
      <c r="L288" s="9"/>
      <c r="M288" s="2"/>
      <c r="N288" s="2"/>
      <c r="O288" s="2"/>
      <c r="P288" s="2"/>
    </row>
    <row r="289" spans="1:16" ht="12.75">
      <c r="A289" s="331" t="s">
        <v>4569</v>
      </c>
      <c r="B289" s="331" t="s">
        <v>1771</v>
      </c>
      <c r="C289" s="332" t="s">
        <v>1773</v>
      </c>
      <c r="D289" s="333" t="s">
        <v>1774</v>
      </c>
      <c r="E289" s="42"/>
      <c r="F289" s="9"/>
      <c r="G289" s="9"/>
      <c r="H289" s="9"/>
      <c r="I289" s="9"/>
      <c r="J289" s="9"/>
      <c r="K289" s="9"/>
      <c r="L289" s="9"/>
      <c r="M289" s="2"/>
      <c r="N289" s="2"/>
      <c r="O289" s="2"/>
      <c r="P289" s="2"/>
    </row>
    <row r="290" spans="1:16" ht="12.75">
      <c r="A290" s="334" t="s">
        <v>4562</v>
      </c>
      <c r="B290" s="334" t="s">
        <v>342</v>
      </c>
      <c r="C290" s="332" t="s">
        <v>14</v>
      </c>
      <c r="D290" s="333" t="s">
        <v>105</v>
      </c>
      <c r="E290" s="42"/>
      <c r="F290" s="9"/>
      <c r="G290" s="9"/>
      <c r="H290" s="9"/>
      <c r="I290" s="9"/>
      <c r="J290" s="9"/>
      <c r="K290" s="9"/>
      <c r="L290" s="9"/>
      <c r="M290" s="2"/>
      <c r="N290" s="2"/>
      <c r="O290" s="2"/>
      <c r="P290" s="2"/>
    </row>
    <row r="291" spans="1:16" ht="12.75">
      <c r="A291" s="331" t="s">
        <v>4562</v>
      </c>
      <c r="B291" s="331" t="s">
        <v>1779</v>
      </c>
      <c r="C291" s="332" t="s">
        <v>1781</v>
      </c>
      <c r="D291" s="371" t="s">
        <v>1782</v>
      </c>
      <c r="E291" s="42"/>
      <c r="F291" s="9"/>
      <c r="G291" s="9"/>
      <c r="H291" s="9"/>
      <c r="I291" s="9"/>
      <c r="J291" s="9"/>
      <c r="K291" s="9"/>
      <c r="L291" s="9"/>
      <c r="M291" s="2"/>
      <c r="N291" s="2"/>
      <c r="O291" s="2"/>
      <c r="P291" s="2"/>
    </row>
    <row r="292" spans="1:16" ht="12.75">
      <c r="A292" s="334" t="s">
        <v>4560</v>
      </c>
      <c r="B292" s="334" t="s">
        <v>243</v>
      </c>
      <c r="C292" s="332" t="s">
        <v>245</v>
      </c>
      <c r="D292" s="333" t="s">
        <v>246</v>
      </c>
      <c r="E292" s="42"/>
      <c r="F292" s="9"/>
      <c r="G292" s="9"/>
      <c r="H292" s="9"/>
      <c r="I292" s="9"/>
      <c r="J292" s="9"/>
      <c r="K292" s="9"/>
      <c r="L292" s="9"/>
      <c r="M292" s="2"/>
      <c r="N292" s="2"/>
      <c r="O292" s="2"/>
      <c r="P292" s="2"/>
    </row>
    <row r="293" spans="1:16" ht="12.75">
      <c r="A293" s="331" t="s">
        <v>4557</v>
      </c>
      <c r="B293" s="331" t="s">
        <v>1329</v>
      </c>
      <c r="C293" s="332" t="s">
        <v>1331</v>
      </c>
      <c r="D293" s="333" t="s">
        <v>1332</v>
      </c>
      <c r="E293" s="42"/>
      <c r="F293" s="9"/>
      <c r="G293" s="9"/>
      <c r="H293" s="9"/>
      <c r="I293" s="9"/>
      <c r="J293" s="9"/>
      <c r="K293" s="9"/>
      <c r="L293" s="9"/>
      <c r="M293" s="2"/>
      <c r="N293" s="2"/>
      <c r="O293" s="2"/>
      <c r="P293" s="2"/>
    </row>
    <row r="294" spans="1:16" ht="12.75">
      <c r="A294" s="334" t="s">
        <v>4554</v>
      </c>
      <c r="B294" s="334" t="s">
        <v>1707</v>
      </c>
      <c r="C294" s="332" t="s">
        <v>599</v>
      </c>
      <c r="D294" s="333" t="s">
        <v>1710</v>
      </c>
      <c r="E294" s="42"/>
      <c r="F294" s="9"/>
      <c r="G294" s="9"/>
      <c r="H294" s="9"/>
      <c r="I294" s="9"/>
      <c r="J294" s="9"/>
      <c r="K294" s="9"/>
      <c r="L294" s="9"/>
      <c r="M294" s="2"/>
      <c r="N294" s="2"/>
      <c r="O294" s="2"/>
      <c r="P294" s="2"/>
    </row>
    <row r="295" spans="1:16" ht="12.75">
      <c r="A295" s="331" t="s">
        <v>4562</v>
      </c>
      <c r="B295" s="331" t="s">
        <v>1107</v>
      </c>
      <c r="C295" s="332" t="s">
        <v>1793</v>
      </c>
      <c r="D295" s="333" t="s">
        <v>105</v>
      </c>
      <c r="E295" s="42"/>
      <c r="F295" s="9"/>
      <c r="G295" s="9"/>
      <c r="H295" s="9"/>
      <c r="I295" s="9"/>
      <c r="J295" s="9"/>
      <c r="K295" s="9"/>
      <c r="L295" s="9"/>
      <c r="M295" s="2"/>
      <c r="N295" s="2"/>
      <c r="O295" s="2"/>
      <c r="P295" s="2"/>
    </row>
    <row r="296" spans="1:16" ht="12.75">
      <c r="A296" s="334" t="s">
        <v>4554</v>
      </c>
      <c r="B296" s="334" t="s">
        <v>1796</v>
      </c>
      <c r="C296" s="332" t="s">
        <v>193</v>
      </c>
      <c r="D296" s="333" t="s">
        <v>1798</v>
      </c>
      <c r="E296" s="42"/>
      <c r="F296" s="9"/>
      <c r="G296" s="9"/>
      <c r="H296" s="9"/>
      <c r="I296" s="9"/>
      <c r="J296" s="9"/>
      <c r="K296" s="9"/>
      <c r="L296" s="9"/>
      <c r="M296" s="2"/>
      <c r="N296" s="2"/>
      <c r="O296" s="2"/>
      <c r="P296" s="2"/>
    </row>
    <row r="297" spans="1:16" ht="12.75">
      <c r="A297" s="344" t="s">
        <v>4546</v>
      </c>
      <c r="B297" s="331" t="s">
        <v>1801</v>
      </c>
      <c r="C297" s="332" t="s">
        <v>1803</v>
      </c>
      <c r="D297" s="333" t="s">
        <v>1805</v>
      </c>
      <c r="E297" s="42"/>
      <c r="F297" s="9"/>
      <c r="G297" s="9"/>
      <c r="H297" s="9"/>
      <c r="I297" s="9"/>
      <c r="J297" s="9"/>
      <c r="K297" s="9"/>
      <c r="L297" s="9"/>
      <c r="M297" s="2"/>
      <c r="N297" s="2"/>
      <c r="O297" s="2"/>
      <c r="P297" s="2"/>
    </row>
    <row r="298" spans="1:16" ht="15">
      <c r="A298" s="334" t="s">
        <v>4545</v>
      </c>
      <c r="B298" s="334" t="s">
        <v>1808</v>
      </c>
      <c r="C298" s="332" t="s">
        <v>1810</v>
      </c>
      <c r="D298" s="372" t="s">
        <v>1812</v>
      </c>
      <c r="E298" s="42"/>
      <c r="F298" s="9"/>
      <c r="G298" s="9"/>
      <c r="H298" s="9"/>
      <c r="I298" s="9"/>
      <c r="J298" s="9"/>
      <c r="K298" s="9"/>
      <c r="L298" s="9"/>
      <c r="M298" s="2"/>
      <c r="N298" s="2"/>
      <c r="O298" s="2"/>
      <c r="P298" s="2"/>
    </row>
    <row r="299" spans="1:16" ht="12.75">
      <c r="A299" s="331" t="s">
        <v>4554</v>
      </c>
      <c r="B299" s="331" t="s">
        <v>1815</v>
      </c>
      <c r="C299" s="332" t="s">
        <v>218</v>
      </c>
      <c r="D299" s="333" t="s">
        <v>1817</v>
      </c>
      <c r="E299" s="42"/>
      <c r="F299" s="9"/>
      <c r="G299" s="9"/>
      <c r="H299" s="9"/>
      <c r="I299" s="9"/>
      <c r="J299" s="9"/>
      <c r="K299" s="9"/>
      <c r="L299" s="9"/>
      <c r="M299" s="2"/>
      <c r="N299" s="2"/>
      <c r="O299" s="2"/>
      <c r="P299" s="2"/>
    </row>
    <row r="300" spans="1:16" ht="12.75">
      <c r="A300" s="334" t="s">
        <v>4554</v>
      </c>
      <c r="B300" s="334" t="s">
        <v>1820</v>
      </c>
      <c r="C300" s="332" t="s">
        <v>65</v>
      </c>
      <c r="D300" s="333" t="s">
        <v>1822</v>
      </c>
      <c r="E300" s="42"/>
      <c r="F300" s="9"/>
      <c r="G300" s="9"/>
      <c r="H300" s="9"/>
      <c r="I300" s="9"/>
      <c r="J300" s="9"/>
      <c r="K300" s="9"/>
      <c r="L300" s="9"/>
      <c r="M300" s="2"/>
      <c r="N300" s="2"/>
      <c r="O300" s="2"/>
      <c r="P300" s="2"/>
    </row>
    <row r="301" spans="1:16" ht="12.75">
      <c r="A301" s="334" t="s">
        <v>4554</v>
      </c>
      <c r="B301" s="334" t="s">
        <v>700</v>
      </c>
      <c r="C301" s="332" t="s">
        <v>451</v>
      </c>
      <c r="D301" s="333" t="s">
        <v>87</v>
      </c>
      <c r="E301" s="42"/>
      <c r="F301" s="9"/>
      <c r="G301" s="9"/>
      <c r="H301" s="9"/>
      <c r="I301" s="9"/>
      <c r="J301" s="9"/>
      <c r="K301" s="9"/>
      <c r="L301" s="9"/>
      <c r="M301" s="2"/>
      <c r="N301" s="2"/>
      <c r="O301" s="2"/>
      <c r="P301" s="2"/>
    </row>
    <row r="302" spans="1:16" ht="12.75">
      <c r="A302" s="344" t="s">
        <v>4554</v>
      </c>
      <c r="B302" s="331" t="s">
        <v>1833</v>
      </c>
      <c r="C302" s="332" t="s">
        <v>269</v>
      </c>
      <c r="D302" s="333" t="s">
        <v>1836</v>
      </c>
      <c r="E302" s="42"/>
      <c r="F302" s="9"/>
      <c r="G302" s="9"/>
      <c r="H302" s="9"/>
      <c r="I302" s="9"/>
      <c r="J302" s="9"/>
      <c r="K302" s="9"/>
      <c r="L302" s="9"/>
      <c r="M302" s="2"/>
      <c r="N302" s="2"/>
      <c r="O302" s="2"/>
      <c r="P302" s="2"/>
    </row>
    <row r="303" spans="1:16">
      <c r="A303" s="334" t="s">
        <v>4545</v>
      </c>
      <c r="B303" s="334" t="s">
        <v>1839</v>
      </c>
      <c r="C303" s="332" t="s">
        <v>356</v>
      </c>
      <c r="D303" s="347" t="s">
        <v>1842</v>
      </c>
      <c r="E303" s="42"/>
      <c r="F303" s="9"/>
      <c r="G303" s="9"/>
      <c r="H303" s="9"/>
      <c r="I303" s="9"/>
      <c r="J303" s="9"/>
      <c r="K303" s="9"/>
      <c r="L303" s="9"/>
      <c r="M303" s="2"/>
      <c r="N303" s="2"/>
      <c r="O303" s="2"/>
      <c r="P303" s="2"/>
    </row>
    <row r="304" spans="1:16" ht="12.75">
      <c r="A304" s="331" t="s">
        <v>4546</v>
      </c>
      <c r="B304" s="331" t="s">
        <v>1845</v>
      </c>
      <c r="C304" s="332" t="s">
        <v>1498</v>
      </c>
      <c r="D304" s="333" t="s">
        <v>1847</v>
      </c>
      <c r="E304" s="42"/>
      <c r="F304" s="9"/>
      <c r="G304" s="9"/>
      <c r="H304" s="9"/>
      <c r="I304" s="9"/>
      <c r="J304" s="9"/>
      <c r="K304" s="9"/>
      <c r="L304" s="9"/>
      <c r="M304" s="2"/>
      <c r="N304" s="2"/>
      <c r="O304" s="2"/>
      <c r="P304" s="2"/>
    </row>
    <row r="305" spans="1:16" ht="12.75">
      <c r="A305" s="335" t="s">
        <v>4571</v>
      </c>
      <c r="B305" s="334" t="s">
        <v>1850</v>
      </c>
      <c r="C305" s="332" t="s">
        <v>1852</v>
      </c>
      <c r="D305" s="333" t="s">
        <v>1854</v>
      </c>
      <c r="E305" s="42"/>
      <c r="F305" s="9"/>
      <c r="G305" s="9"/>
      <c r="H305" s="9"/>
      <c r="I305" s="9"/>
      <c r="J305" s="9"/>
      <c r="K305" s="9"/>
      <c r="L305" s="9"/>
      <c r="M305" s="2"/>
      <c r="N305" s="2"/>
      <c r="O305" s="2"/>
      <c r="P305" s="2"/>
    </row>
    <row r="306" spans="1:16" ht="12.75">
      <c r="A306" s="331" t="s">
        <v>4560</v>
      </c>
      <c r="B306" s="331" t="s">
        <v>700</v>
      </c>
      <c r="C306" s="332" t="s">
        <v>451</v>
      </c>
      <c r="D306" s="333" t="s">
        <v>87</v>
      </c>
      <c r="E306" s="42"/>
      <c r="F306" s="9"/>
      <c r="G306" s="9"/>
      <c r="H306" s="9"/>
      <c r="I306" s="9"/>
      <c r="J306" s="9"/>
      <c r="K306" s="9"/>
      <c r="L306" s="9"/>
      <c r="M306" s="2"/>
      <c r="N306" s="2"/>
      <c r="O306" s="2"/>
      <c r="P306" s="2"/>
    </row>
    <row r="307" spans="1:16" ht="12.75">
      <c r="A307" s="331" t="s">
        <v>4559</v>
      </c>
      <c r="B307" s="331" t="s">
        <v>116</v>
      </c>
      <c r="C307" s="332" t="s">
        <v>1410</v>
      </c>
      <c r="D307" s="333" t="s">
        <v>1864</v>
      </c>
      <c r="E307" s="42"/>
      <c r="F307" s="9"/>
      <c r="G307" s="9"/>
      <c r="H307" s="9"/>
      <c r="I307" s="9"/>
      <c r="J307" s="9"/>
      <c r="K307" s="9"/>
      <c r="L307" s="9"/>
      <c r="M307" s="2"/>
      <c r="N307" s="2"/>
      <c r="O307" s="2"/>
      <c r="P307" s="2"/>
    </row>
    <row r="308" spans="1:16" ht="12.75">
      <c r="A308" s="334" t="s">
        <v>4545</v>
      </c>
      <c r="B308" s="334" t="s">
        <v>1867</v>
      </c>
      <c r="C308" s="332" t="s">
        <v>218</v>
      </c>
      <c r="D308" s="333" t="s">
        <v>1869</v>
      </c>
      <c r="E308" s="42"/>
      <c r="F308" s="9"/>
      <c r="G308" s="9"/>
      <c r="H308" s="9"/>
      <c r="I308" s="9"/>
      <c r="J308" s="9"/>
      <c r="K308" s="9"/>
      <c r="L308" s="9"/>
      <c r="M308" s="2"/>
      <c r="N308" s="2"/>
      <c r="O308" s="2"/>
      <c r="P308" s="2"/>
    </row>
    <row r="309" spans="1:16" ht="12.75">
      <c r="A309" s="334" t="s">
        <v>4562</v>
      </c>
      <c r="B309" s="334" t="s">
        <v>1874</v>
      </c>
      <c r="C309" s="332" t="s">
        <v>1876</v>
      </c>
      <c r="D309" s="339" t="s">
        <v>1877</v>
      </c>
      <c r="E309" s="42"/>
      <c r="F309" s="9"/>
      <c r="G309" s="9"/>
      <c r="H309" s="9"/>
      <c r="I309" s="9"/>
      <c r="J309" s="9"/>
      <c r="K309" s="9"/>
      <c r="L309" s="9"/>
      <c r="M309" s="2"/>
      <c r="N309" s="2"/>
      <c r="O309" s="2"/>
      <c r="P309" s="2"/>
    </row>
    <row r="310" spans="1:16" ht="12.75">
      <c r="A310" s="331" t="s">
        <v>4554</v>
      </c>
      <c r="B310" s="331" t="s">
        <v>1879</v>
      </c>
      <c r="C310" s="332" t="s">
        <v>1881</v>
      </c>
      <c r="D310" s="333" t="s">
        <v>1882</v>
      </c>
      <c r="E310" s="42"/>
      <c r="F310" s="9"/>
      <c r="G310" s="9"/>
      <c r="H310" s="9"/>
      <c r="I310" s="9"/>
      <c r="J310" s="9"/>
      <c r="K310" s="9"/>
      <c r="L310" s="9"/>
      <c r="M310" s="2"/>
      <c r="N310" s="2"/>
      <c r="O310" s="2"/>
      <c r="P310" s="2"/>
    </row>
    <row r="311" spans="1:16" ht="5.25" customHeight="1">
      <c r="A311" s="374"/>
      <c r="B311" s="374"/>
      <c r="C311" s="351"/>
      <c r="D311" s="343"/>
      <c r="E311" s="42"/>
      <c r="F311" s="9"/>
      <c r="G311" s="9"/>
      <c r="H311" s="9"/>
      <c r="I311" s="9"/>
      <c r="J311" s="9"/>
      <c r="K311" s="9"/>
      <c r="L311" s="9"/>
      <c r="M311" s="2"/>
      <c r="N311" s="2"/>
      <c r="O311" s="2"/>
      <c r="P311" s="2"/>
    </row>
    <row r="312" spans="1:16" ht="12.75">
      <c r="A312" s="334" t="s">
        <v>4548</v>
      </c>
      <c r="B312" s="334" t="s">
        <v>1890</v>
      </c>
      <c r="C312" s="332" t="s">
        <v>1410</v>
      </c>
      <c r="D312" s="333" t="s">
        <v>1892</v>
      </c>
      <c r="E312" s="42"/>
      <c r="F312" s="9"/>
      <c r="G312" s="9"/>
      <c r="H312" s="9"/>
      <c r="I312" s="9"/>
      <c r="J312" s="9"/>
      <c r="K312" s="9"/>
      <c r="L312" s="9"/>
      <c r="M312" s="2"/>
      <c r="N312" s="2"/>
      <c r="O312" s="2"/>
      <c r="P312" s="2"/>
    </row>
    <row r="313" spans="1:16" ht="12.75">
      <c r="A313" s="331" t="s">
        <v>4560</v>
      </c>
      <c r="B313" s="331" t="s">
        <v>1895</v>
      </c>
      <c r="C313" s="332" t="s">
        <v>887</v>
      </c>
      <c r="D313" s="333" t="s">
        <v>1296</v>
      </c>
      <c r="E313" s="42"/>
      <c r="F313" s="9"/>
      <c r="G313" s="9"/>
      <c r="H313" s="9"/>
      <c r="I313" s="9"/>
      <c r="J313" s="9"/>
      <c r="K313" s="9"/>
      <c r="L313" s="9"/>
      <c r="M313" s="2"/>
      <c r="N313" s="2"/>
      <c r="O313" s="2"/>
      <c r="P313" s="2"/>
    </row>
    <row r="314" spans="1:16" ht="12.75">
      <c r="A314" s="334" t="s">
        <v>4569</v>
      </c>
      <c r="B314" s="334" t="s">
        <v>1900</v>
      </c>
      <c r="C314" s="332" t="s">
        <v>1902</v>
      </c>
      <c r="D314" s="333" t="s">
        <v>1903</v>
      </c>
      <c r="E314" s="42"/>
      <c r="F314" s="9"/>
      <c r="G314" s="9"/>
      <c r="H314" s="9"/>
      <c r="I314" s="9"/>
      <c r="J314" s="9"/>
      <c r="K314" s="9"/>
      <c r="L314" s="9"/>
      <c r="M314" s="2"/>
      <c r="N314" s="2"/>
      <c r="O314" s="2"/>
      <c r="P314" s="2"/>
    </row>
    <row r="315" spans="1:16" ht="12.75">
      <c r="A315" s="331" t="s">
        <v>4550</v>
      </c>
      <c r="B315" s="331" t="s">
        <v>1906</v>
      </c>
      <c r="C315" s="332" t="s">
        <v>1908</v>
      </c>
      <c r="D315" s="333" t="s">
        <v>1909</v>
      </c>
      <c r="E315" s="42"/>
      <c r="F315" s="9"/>
      <c r="G315" s="9"/>
      <c r="H315" s="9"/>
      <c r="I315" s="9"/>
      <c r="J315" s="9"/>
      <c r="K315" s="9"/>
      <c r="L315" s="9"/>
      <c r="M315" s="2"/>
      <c r="N315" s="2"/>
      <c r="O315" s="2"/>
      <c r="P315" s="2"/>
    </row>
    <row r="316" spans="1:16" ht="12.75">
      <c r="A316" s="334" t="s">
        <v>4563</v>
      </c>
      <c r="B316" s="334" t="s">
        <v>1361</v>
      </c>
      <c r="C316" s="332" t="s">
        <v>1363</v>
      </c>
      <c r="D316" s="333" t="s">
        <v>1364</v>
      </c>
      <c r="E316" s="42"/>
      <c r="F316" s="9"/>
      <c r="G316" s="9"/>
      <c r="H316" s="9"/>
      <c r="I316" s="9"/>
      <c r="J316" s="9"/>
      <c r="K316" s="9"/>
      <c r="L316" s="9"/>
      <c r="M316" s="2"/>
      <c r="N316" s="2"/>
      <c r="O316" s="2"/>
      <c r="P316" s="2"/>
    </row>
    <row r="317" spans="1:16" ht="12.75">
      <c r="A317" s="334" t="s">
        <v>4548</v>
      </c>
      <c r="B317" s="334" t="s">
        <v>1237</v>
      </c>
      <c r="C317" s="332" t="s">
        <v>1239</v>
      </c>
      <c r="D317" s="333" t="s">
        <v>1240</v>
      </c>
      <c r="E317" s="42"/>
      <c r="F317" s="9"/>
      <c r="G317" s="9"/>
      <c r="H317" s="9"/>
      <c r="I317" s="9"/>
      <c r="J317" s="9"/>
      <c r="K317" s="9"/>
      <c r="L317" s="9"/>
      <c r="M317" s="2"/>
      <c r="N317" s="2"/>
      <c r="O317" s="2"/>
      <c r="P317" s="2"/>
    </row>
    <row r="318" spans="1:16" ht="12.75">
      <c r="A318" s="334" t="s">
        <v>4562</v>
      </c>
      <c r="B318" s="334" t="s">
        <v>993</v>
      </c>
      <c r="C318" s="332" t="s">
        <v>269</v>
      </c>
      <c r="D318" s="333" t="s">
        <v>995</v>
      </c>
      <c r="E318" s="42"/>
      <c r="F318" s="9"/>
      <c r="G318" s="9"/>
      <c r="H318" s="9"/>
      <c r="I318" s="9"/>
      <c r="J318" s="9"/>
      <c r="K318" s="9"/>
      <c r="L318" s="9"/>
      <c r="M318" s="2"/>
      <c r="N318" s="2"/>
      <c r="O318" s="2"/>
      <c r="P318" s="2"/>
    </row>
    <row r="319" spans="1:16" ht="12.75">
      <c r="A319" s="334" t="s">
        <v>4557</v>
      </c>
      <c r="B319" s="334" t="s">
        <v>1152</v>
      </c>
      <c r="C319" s="332" t="s">
        <v>1154</v>
      </c>
      <c r="D319" s="333" t="s">
        <v>1155</v>
      </c>
      <c r="E319" s="42"/>
      <c r="F319" s="9"/>
      <c r="G319" s="9"/>
      <c r="H319" s="9"/>
      <c r="I319" s="9"/>
      <c r="J319" s="9"/>
      <c r="K319" s="9"/>
      <c r="L319" s="9"/>
      <c r="M319" s="2"/>
      <c r="N319" s="2"/>
      <c r="O319" s="2"/>
      <c r="P319" s="2"/>
    </row>
    <row r="320" spans="1:16" ht="12.75">
      <c r="A320" s="331" t="s">
        <v>4562</v>
      </c>
      <c r="B320" s="331" t="s">
        <v>342</v>
      </c>
      <c r="C320" s="332" t="s">
        <v>356</v>
      </c>
      <c r="D320" s="333" t="s">
        <v>105</v>
      </c>
      <c r="E320" s="42"/>
      <c r="F320" s="9"/>
      <c r="G320" s="9"/>
      <c r="H320" s="9"/>
      <c r="I320" s="9"/>
      <c r="J320" s="9"/>
      <c r="K320" s="9"/>
      <c r="L320" s="9"/>
      <c r="M320" s="2"/>
      <c r="N320" s="2"/>
      <c r="O320" s="2"/>
      <c r="P320" s="2"/>
    </row>
    <row r="321" spans="1:16" ht="12.75">
      <c r="A321" s="331" t="s">
        <v>4562</v>
      </c>
      <c r="B321" s="331" t="s">
        <v>342</v>
      </c>
      <c r="C321" s="332" t="s">
        <v>356</v>
      </c>
      <c r="D321" s="333" t="s">
        <v>105</v>
      </c>
      <c r="E321" s="42"/>
      <c r="F321" s="9"/>
      <c r="G321" s="9"/>
      <c r="H321" s="9"/>
      <c r="I321" s="9"/>
      <c r="J321" s="9"/>
      <c r="K321" s="9"/>
      <c r="L321" s="9"/>
      <c r="M321" s="2"/>
      <c r="N321" s="2"/>
      <c r="O321" s="2"/>
      <c r="P321" s="2"/>
    </row>
    <row r="322" spans="1:16" ht="12.75">
      <c r="A322" s="334" t="s">
        <v>2894</v>
      </c>
      <c r="B322" s="334" t="s">
        <v>517</v>
      </c>
      <c r="C322" s="332"/>
      <c r="D322" s="333" t="s">
        <v>519</v>
      </c>
      <c r="E322" s="42"/>
      <c r="F322" s="9"/>
      <c r="G322" s="9"/>
      <c r="H322" s="9"/>
      <c r="I322" s="9"/>
      <c r="J322" s="9"/>
      <c r="K322" s="9"/>
      <c r="L322" s="9"/>
      <c r="M322" s="2"/>
      <c r="N322" s="2"/>
      <c r="O322" s="2"/>
      <c r="P322" s="2"/>
    </row>
    <row r="323" spans="1:16" ht="12.75">
      <c r="A323" s="331" t="s">
        <v>4554</v>
      </c>
      <c r="B323" s="331" t="s">
        <v>1913</v>
      </c>
      <c r="C323" s="332" t="s">
        <v>1915</v>
      </c>
      <c r="D323" s="333" t="s">
        <v>1916</v>
      </c>
      <c r="E323" s="42"/>
      <c r="F323" s="9"/>
      <c r="G323" s="9"/>
      <c r="H323" s="9"/>
      <c r="I323" s="9"/>
      <c r="J323" s="9"/>
      <c r="K323" s="9"/>
      <c r="L323" s="9"/>
      <c r="M323" s="2"/>
      <c r="N323" s="2"/>
      <c r="O323" s="2"/>
      <c r="P323" s="2"/>
    </row>
    <row r="324" spans="1:16" ht="12.75">
      <c r="A324" s="334" t="s">
        <v>4551</v>
      </c>
      <c r="B324" s="334" t="s">
        <v>178</v>
      </c>
      <c r="C324" s="332" t="s">
        <v>179</v>
      </c>
      <c r="D324" s="333" t="s">
        <v>180</v>
      </c>
      <c r="E324" s="42"/>
      <c r="F324" s="9"/>
      <c r="G324" s="9"/>
      <c r="H324" s="9"/>
      <c r="I324" s="9"/>
      <c r="J324" s="9"/>
      <c r="K324" s="9"/>
      <c r="L324" s="9"/>
      <c r="M324" s="2"/>
      <c r="N324" s="2"/>
      <c r="O324" s="2"/>
      <c r="P324" s="2"/>
    </row>
    <row r="325" spans="1:16" ht="15">
      <c r="A325" s="334" t="s">
        <v>4562</v>
      </c>
      <c r="B325" s="334" t="s">
        <v>342</v>
      </c>
      <c r="C325" s="332" t="s">
        <v>179</v>
      </c>
      <c r="D325" s="375" t="s">
        <v>105</v>
      </c>
      <c r="E325" s="42"/>
      <c r="F325" s="9"/>
      <c r="G325" s="9"/>
      <c r="H325" s="9"/>
      <c r="I325" s="9"/>
      <c r="J325" s="9"/>
      <c r="K325" s="9"/>
      <c r="L325" s="9"/>
      <c r="M325" s="2"/>
      <c r="N325" s="2"/>
      <c r="O325" s="2"/>
      <c r="P325" s="2"/>
    </row>
    <row r="326" spans="1:16" ht="12.75">
      <c r="A326" s="331" t="s">
        <v>4557</v>
      </c>
      <c r="B326" s="331" t="s">
        <v>1925</v>
      </c>
      <c r="C326" s="332" t="s">
        <v>599</v>
      </c>
      <c r="D326" s="333" t="s">
        <v>1927</v>
      </c>
      <c r="E326" s="42"/>
      <c r="F326" s="9"/>
      <c r="G326" s="9"/>
      <c r="H326" s="9"/>
      <c r="I326" s="9"/>
      <c r="J326" s="9"/>
      <c r="K326" s="9"/>
      <c r="L326" s="9"/>
      <c r="M326" s="2"/>
      <c r="N326" s="2"/>
      <c r="O326" s="2"/>
      <c r="P326" s="2"/>
    </row>
    <row r="327" spans="1:16" ht="12.75">
      <c r="A327" s="334" t="s">
        <v>4553</v>
      </c>
      <c r="B327" s="334" t="s">
        <v>1930</v>
      </c>
      <c r="C327" s="332" t="s">
        <v>65</v>
      </c>
      <c r="D327" s="333" t="s">
        <v>1933</v>
      </c>
      <c r="E327" s="42"/>
      <c r="F327" s="9"/>
      <c r="G327" s="9"/>
      <c r="H327" s="9"/>
      <c r="I327" s="9"/>
      <c r="J327" s="9"/>
      <c r="K327" s="9"/>
      <c r="L327" s="9"/>
      <c r="M327" s="2"/>
      <c r="N327" s="2"/>
      <c r="O327" s="2"/>
      <c r="P327" s="2"/>
    </row>
    <row r="328" spans="1:16" ht="12.75">
      <c r="A328" s="331" t="s">
        <v>4557</v>
      </c>
      <c r="B328" s="331" t="s">
        <v>1936</v>
      </c>
      <c r="C328" s="332" t="s">
        <v>599</v>
      </c>
      <c r="D328" s="333" t="s">
        <v>1927</v>
      </c>
      <c r="E328" s="42"/>
      <c r="F328" s="9"/>
      <c r="G328" s="9"/>
      <c r="H328" s="9"/>
      <c r="I328" s="9"/>
      <c r="J328" s="9"/>
      <c r="K328" s="9"/>
      <c r="L328" s="9"/>
      <c r="M328" s="2"/>
      <c r="N328" s="2"/>
      <c r="O328" s="2"/>
      <c r="P328" s="2"/>
    </row>
    <row r="329" spans="1:16" ht="12.75">
      <c r="A329" s="334" t="s">
        <v>4557</v>
      </c>
      <c r="B329" s="334" t="s">
        <v>823</v>
      </c>
      <c r="C329" s="332" t="s">
        <v>269</v>
      </c>
      <c r="D329" s="333" t="s">
        <v>824</v>
      </c>
      <c r="E329" s="42"/>
      <c r="F329" s="9"/>
      <c r="G329" s="9"/>
      <c r="H329" s="9"/>
      <c r="I329" s="9"/>
      <c r="J329" s="9"/>
      <c r="K329" s="9"/>
      <c r="L329" s="9"/>
      <c r="M329" s="2"/>
      <c r="N329" s="2"/>
      <c r="O329" s="2"/>
      <c r="P329" s="2"/>
    </row>
    <row r="330" spans="1:16" ht="12.75">
      <c r="A330" s="331" t="s">
        <v>4552</v>
      </c>
      <c r="B330" s="331" t="s">
        <v>1386</v>
      </c>
      <c r="C330" s="332" t="s">
        <v>218</v>
      </c>
      <c r="D330" s="333" t="s">
        <v>1942</v>
      </c>
      <c r="E330" s="42"/>
      <c r="F330" s="9"/>
      <c r="G330" s="9"/>
      <c r="H330" s="9"/>
      <c r="I330" s="9"/>
      <c r="J330" s="9"/>
      <c r="K330" s="9"/>
      <c r="L330" s="9"/>
      <c r="M330" s="2"/>
      <c r="N330" s="2"/>
      <c r="O330" s="2"/>
      <c r="P330" s="2"/>
    </row>
    <row r="331" spans="1:16" ht="12.75">
      <c r="A331" s="334" t="s">
        <v>4546</v>
      </c>
      <c r="B331" s="334" t="s">
        <v>1945</v>
      </c>
      <c r="C331" s="332" t="s">
        <v>1947</v>
      </c>
      <c r="D331" s="333" t="s">
        <v>1750</v>
      </c>
      <c r="E331" s="42"/>
      <c r="F331" s="9"/>
      <c r="G331" s="9"/>
      <c r="H331" s="9"/>
      <c r="I331" s="9"/>
      <c r="J331" s="9"/>
      <c r="K331" s="9"/>
      <c r="L331" s="9"/>
      <c r="M331" s="2"/>
      <c r="N331" s="2"/>
      <c r="O331" s="2"/>
      <c r="P331" s="2"/>
    </row>
    <row r="332" spans="1:16" ht="12.75">
      <c r="A332" s="331" t="s">
        <v>4560</v>
      </c>
      <c r="B332" s="331" t="s">
        <v>1950</v>
      </c>
      <c r="C332" s="332" t="s">
        <v>218</v>
      </c>
      <c r="D332" s="333" t="s">
        <v>1952</v>
      </c>
      <c r="E332" s="42"/>
      <c r="F332" s="9"/>
      <c r="G332" s="9"/>
      <c r="H332" s="9"/>
      <c r="I332" s="9"/>
      <c r="J332" s="9"/>
      <c r="K332" s="9"/>
      <c r="L332" s="9"/>
      <c r="M332" s="2"/>
      <c r="N332" s="2"/>
      <c r="O332" s="2"/>
      <c r="P332" s="2"/>
    </row>
    <row r="333" spans="1:16" ht="12.75">
      <c r="A333" s="334" t="s">
        <v>4550</v>
      </c>
      <c r="B333" s="376" t="s">
        <v>1955</v>
      </c>
      <c r="C333" s="333" t="s">
        <v>134</v>
      </c>
      <c r="D333" s="333" t="s">
        <v>135</v>
      </c>
      <c r="E333" s="42"/>
      <c r="F333" s="9"/>
      <c r="G333" s="9"/>
      <c r="H333" s="9"/>
      <c r="I333" s="9"/>
      <c r="J333" s="9"/>
      <c r="K333" s="9"/>
      <c r="L333" s="9"/>
      <c r="M333" s="2"/>
      <c r="N333" s="2"/>
      <c r="O333" s="2"/>
      <c r="P333" s="2"/>
    </row>
    <row r="334" spans="1:16" ht="12.75">
      <c r="A334" s="334" t="s">
        <v>4546</v>
      </c>
      <c r="B334" s="334" t="s">
        <v>1963</v>
      </c>
      <c r="C334" s="332" t="s">
        <v>218</v>
      </c>
      <c r="D334" s="333" t="s">
        <v>1966</v>
      </c>
      <c r="E334" s="42"/>
      <c r="F334" s="9"/>
      <c r="G334" s="9"/>
      <c r="H334" s="9"/>
      <c r="I334" s="9"/>
      <c r="J334" s="9"/>
      <c r="K334" s="9"/>
      <c r="L334" s="9"/>
      <c r="M334" s="2"/>
      <c r="N334" s="2"/>
      <c r="O334" s="2"/>
      <c r="P334" s="2"/>
    </row>
    <row r="335" spans="1:16" ht="12.75">
      <c r="A335" s="377" t="s">
        <v>4551</v>
      </c>
      <c r="B335" s="331" t="s">
        <v>1969</v>
      </c>
      <c r="C335" s="332" t="s">
        <v>1971</v>
      </c>
      <c r="D335" s="333" t="s">
        <v>1972</v>
      </c>
      <c r="E335" s="42"/>
      <c r="F335" s="9"/>
      <c r="G335" s="9"/>
      <c r="H335" s="9"/>
      <c r="I335" s="9"/>
      <c r="J335" s="9"/>
      <c r="K335" s="9"/>
      <c r="L335" s="9"/>
      <c r="M335" s="2"/>
      <c r="N335" s="2"/>
      <c r="O335" s="2"/>
      <c r="P335" s="2"/>
    </row>
    <row r="336" spans="1:16" ht="12.75">
      <c r="A336" s="334" t="s">
        <v>4551</v>
      </c>
      <c r="B336" s="334" t="s">
        <v>1975</v>
      </c>
      <c r="C336" s="332" t="s">
        <v>1686</v>
      </c>
      <c r="D336" s="333" t="s">
        <v>1977</v>
      </c>
      <c r="E336" s="42"/>
      <c r="F336" s="9"/>
      <c r="G336" s="9"/>
      <c r="H336" s="9"/>
      <c r="I336" s="9"/>
      <c r="J336" s="9"/>
      <c r="K336" s="9"/>
      <c r="L336" s="9"/>
      <c r="M336" s="2"/>
      <c r="N336" s="2"/>
      <c r="O336" s="2"/>
      <c r="P336" s="2"/>
    </row>
    <row r="337" spans="1:16" ht="15.75" customHeight="1">
      <c r="A337" s="339" t="s">
        <v>4546</v>
      </c>
      <c r="B337" s="331" t="s">
        <v>1981</v>
      </c>
      <c r="C337" s="332" t="s">
        <v>916</v>
      </c>
      <c r="D337" s="358" t="s">
        <v>1983</v>
      </c>
      <c r="E337" s="42"/>
      <c r="F337" s="9"/>
      <c r="G337" s="9"/>
      <c r="H337" s="9"/>
      <c r="I337" s="9"/>
      <c r="J337" s="9"/>
      <c r="K337" s="9"/>
      <c r="L337" s="9"/>
      <c r="M337" s="2"/>
      <c r="N337" s="2"/>
      <c r="O337" s="2"/>
      <c r="P337" s="2"/>
    </row>
    <row r="338" spans="1:16" ht="12.75">
      <c r="A338" s="378" t="s">
        <v>4545</v>
      </c>
      <c r="B338" s="334" t="s">
        <v>1986</v>
      </c>
      <c r="C338" s="332" t="s">
        <v>100</v>
      </c>
      <c r="D338" s="333" t="s">
        <v>1988</v>
      </c>
      <c r="E338" s="42"/>
      <c r="F338" s="9"/>
      <c r="G338" s="9"/>
      <c r="H338" s="9"/>
      <c r="I338" s="9"/>
      <c r="J338" s="9"/>
      <c r="K338" s="9"/>
      <c r="L338" s="9"/>
      <c r="M338" s="2"/>
      <c r="N338" s="2"/>
      <c r="O338" s="2"/>
      <c r="P338" s="2"/>
    </row>
    <row r="339" spans="1:16" ht="15" customHeight="1">
      <c r="A339" s="331" t="s">
        <v>4562</v>
      </c>
      <c r="B339" s="379" t="s">
        <v>1992</v>
      </c>
      <c r="C339" s="332" t="s">
        <v>1994</v>
      </c>
      <c r="D339" s="333" t="s">
        <v>1995</v>
      </c>
      <c r="E339" s="42"/>
      <c r="F339" s="9"/>
      <c r="G339" s="9"/>
      <c r="H339" s="9"/>
      <c r="I339" s="9"/>
      <c r="J339" s="9"/>
      <c r="K339" s="9"/>
      <c r="L339" s="9"/>
      <c r="M339" s="2"/>
      <c r="N339" s="2"/>
      <c r="O339" s="2"/>
      <c r="P339" s="2"/>
    </row>
    <row r="340" spans="1:16" ht="12.75">
      <c r="A340" s="380" t="s">
        <v>4551</v>
      </c>
      <c r="B340" s="334" t="s">
        <v>1999</v>
      </c>
      <c r="C340" s="332" t="s">
        <v>2001</v>
      </c>
      <c r="D340" s="333" t="s">
        <v>1892</v>
      </c>
      <c r="E340" s="42"/>
      <c r="F340" s="9"/>
      <c r="G340" s="9"/>
      <c r="H340" s="9"/>
      <c r="I340" s="9"/>
      <c r="J340" s="9"/>
      <c r="K340" s="9"/>
      <c r="L340" s="9"/>
      <c r="M340" s="2"/>
      <c r="N340" s="2"/>
      <c r="O340" s="2"/>
      <c r="P340" s="2"/>
    </row>
    <row r="341" spans="1:16" ht="12.75">
      <c r="A341" s="331" t="s">
        <v>4562</v>
      </c>
      <c r="B341" s="331" t="s">
        <v>2004</v>
      </c>
      <c r="C341" s="332" t="s">
        <v>504</v>
      </c>
      <c r="D341" s="333" t="s">
        <v>2006</v>
      </c>
      <c r="E341" s="42"/>
      <c r="F341" s="9"/>
      <c r="G341" s="9"/>
      <c r="H341" s="9"/>
      <c r="I341" s="9"/>
      <c r="J341" s="9"/>
      <c r="K341" s="9"/>
      <c r="L341" s="9"/>
      <c r="M341" s="2"/>
      <c r="N341" s="2"/>
      <c r="O341" s="2"/>
      <c r="P341" s="2"/>
    </row>
    <row r="342" spans="1:16" ht="12.75">
      <c r="A342" s="334" t="s">
        <v>4554</v>
      </c>
      <c r="B342" s="334" t="s">
        <v>2010</v>
      </c>
      <c r="C342" s="332" t="s">
        <v>1429</v>
      </c>
      <c r="D342" s="333" t="s">
        <v>1892</v>
      </c>
      <c r="E342" s="42"/>
      <c r="F342" s="9"/>
      <c r="G342" s="9"/>
      <c r="H342" s="9"/>
      <c r="I342" s="9"/>
      <c r="J342" s="9"/>
      <c r="K342" s="9"/>
      <c r="L342" s="9"/>
      <c r="M342" s="2"/>
      <c r="N342" s="2"/>
      <c r="O342" s="2"/>
      <c r="P342" s="2"/>
    </row>
    <row r="343" spans="1:16" ht="12.75">
      <c r="A343" s="331" t="s">
        <v>4557</v>
      </c>
      <c r="B343" s="331" t="s">
        <v>2015</v>
      </c>
      <c r="C343" s="332" t="s">
        <v>2017</v>
      </c>
      <c r="D343" s="333" t="s">
        <v>2018</v>
      </c>
      <c r="E343" s="42"/>
      <c r="F343" s="9"/>
      <c r="G343" s="9"/>
      <c r="H343" s="9"/>
      <c r="I343" s="9"/>
      <c r="J343" s="9"/>
      <c r="K343" s="9"/>
      <c r="L343" s="9"/>
      <c r="M343" s="2"/>
      <c r="N343" s="2"/>
      <c r="O343" s="2"/>
      <c r="P343" s="2"/>
    </row>
    <row r="344" spans="1:16" ht="12.75">
      <c r="A344" s="334" t="s">
        <v>4557</v>
      </c>
      <c r="B344" s="334" t="s">
        <v>2021</v>
      </c>
      <c r="C344" s="332" t="s">
        <v>1793</v>
      </c>
      <c r="D344" s="333" t="s">
        <v>2023</v>
      </c>
      <c r="E344" s="42"/>
      <c r="F344" s="9"/>
      <c r="G344" s="9"/>
      <c r="H344" s="9"/>
      <c r="I344" s="9"/>
      <c r="J344" s="9"/>
      <c r="K344" s="9"/>
      <c r="L344" s="9"/>
      <c r="M344" s="2"/>
      <c r="N344" s="2"/>
      <c r="O344" s="2"/>
      <c r="P344" s="2"/>
    </row>
    <row r="345" spans="1:16" ht="12.75">
      <c r="A345" s="331" t="s">
        <v>4562</v>
      </c>
      <c r="B345" s="331" t="s">
        <v>342</v>
      </c>
      <c r="C345" s="332"/>
      <c r="D345" s="333" t="s">
        <v>2027</v>
      </c>
      <c r="E345" s="42"/>
      <c r="F345" s="9"/>
      <c r="G345" s="9"/>
      <c r="H345" s="9"/>
      <c r="I345" s="9"/>
      <c r="J345" s="9"/>
      <c r="K345" s="9"/>
      <c r="L345" s="9"/>
      <c r="M345" s="2"/>
      <c r="N345" s="2"/>
      <c r="O345" s="2"/>
      <c r="P345" s="2"/>
    </row>
    <row r="346" spans="1:16" ht="12.75">
      <c r="A346" s="334" t="s">
        <v>4562</v>
      </c>
      <c r="B346" s="334" t="s">
        <v>2030</v>
      </c>
      <c r="C346" s="332" t="s">
        <v>65</v>
      </c>
      <c r="D346" s="333" t="s">
        <v>2032</v>
      </c>
      <c r="E346" s="42"/>
      <c r="F346" s="9"/>
      <c r="G346" s="9"/>
      <c r="H346" s="9"/>
      <c r="I346" s="9"/>
      <c r="J346" s="9"/>
      <c r="K346" s="9"/>
      <c r="L346" s="9"/>
      <c r="M346" s="2"/>
      <c r="N346" s="2"/>
      <c r="O346" s="2"/>
      <c r="P346" s="2"/>
    </row>
    <row r="347" spans="1:16" ht="12.75">
      <c r="A347" s="331" t="s">
        <v>4562</v>
      </c>
      <c r="B347" s="331" t="s">
        <v>1132</v>
      </c>
      <c r="C347" s="332" t="s">
        <v>858</v>
      </c>
      <c r="D347" s="333" t="s">
        <v>180</v>
      </c>
      <c r="E347" s="42"/>
      <c r="F347" s="9"/>
      <c r="G347" s="9"/>
      <c r="H347" s="9"/>
      <c r="I347" s="9"/>
      <c r="J347" s="9"/>
      <c r="K347" s="9"/>
      <c r="L347" s="9"/>
      <c r="M347" s="2"/>
      <c r="N347" s="2"/>
      <c r="O347" s="2"/>
      <c r="P347" s="2"/>
    </row>
    <row r="348" spans="1:16" ht="12.75">
      <c r="A348" s="334" t="s">
        <v>4560</v>
      </c>
      <c r="B348" s="334" t="s">
        <v>2039</v>
      </c>
      <c r="C348" s="332" t="s">
        <v>59</v>
      </c>
      <c r="D348" s="333" t="s">
        <v>612</v>
      </c>
      <c r="E348" s="42"/>
      <c r="F348" s="9"/>
      <c r="G348" s="9"/>
      <c r="H348" s="9"/>
      <c r="I348" s="9"/>
      <c r="J348" s="9"/>
      <c r="K348" s="9"/>
      <c r="L348" s="9"/>
      <c r="M348" s="2"/>
      <c r="N348" s="2"/>
      <c r="O348" s="2"/>
      <c r="P348" s="2"/>
    </row>
    <row r="349" spans="1:16" ht="12.75">
      <c r="A349" s="331" t="s">
        <v>4562</v>
      </c>
      <c r="B349" s="331" t="s">
        <v>1107</v>
      </c>
      <c r="C349" s="332" t="s">
        <v>14</v>
      </c>
      <c r="D349" s="333" t="s">
        <v>105</v>
      </c>
      <c r="E349" s="42"/>
      <c r="F349" s="9"/>
      <c r="G349" s="9"/>
      <c r="H349" s="9"/>
      <c r="I349" s="9"/>
      <c r="J349" s="9"/>
      <c r="K349" s="9"/>
      <c r="L349" s="9"/>
      <c r="M349" s="2"/>
      <c r="N349" s="2"/>
      <c r="O349" s="2"/>
      <c r="P349" s="2"/>
    </row>
    <row r="350" spans="1:16" ht="12.75">
      <c r="A350" s="334" t="s">
        <v>4569</v>
      </c>
      <c r="B350" s="334" t="s">
        <v>2046</v>
      </c>
      <c r="C350" s="332" t="s">
        <v>218</v>
      </c>
      <c r="D350" s="333" t="s">
        <v>1903</v>
      </c>
      <c r="E350" s="42"/>
      <c r="F350" s="9"/>
      <c r="G350" s="9"/>
      <c r="H350" s="9"/>
      <c r="I350" s="9"/>
      <c r="J350" s="9"/>
      <c r="K350" s="9"/>
      <c r="L350" s="9"/>
      <c r="M350" s="2"/>
      <c r="N350" s="2"/>
      <c r="O350" s="2"/>
      <c r="P350" s="2"/>
    </row>
    <row r="351" spans="1:16" ht="12.75">
      <c r="A351" s="331" t="s">
        <v>4560</v>
      </c>
      <c r="B351" s="331" t="s">
        <v>2050</v>
      </c>
      <c r="C351" s="332" t="s">
        <v>964</v>
      </c>
      <c r="D351" s="333" t="s">
        <v>2052</v>
      </c>
      <c r="E351" s="42"/>
      <c r="F351" s="9"/>
      <c r="G351" s="9"/>
      <c r="H351" s="9"/>
      <c r="I351" s="9"/>
      <c r="J351" s="9"/>
      <c r="K351" s="9"/>
      <c r="L351" s="9"/>
      <c r="M351" s="2"/>
      <c r="N351" s="2"/>
      <c r="O351" s="2"/>
      <c r="P351" s="2"/>
    </row>
    <row r="352" spans="1:16" ht="12.75">
      <c r="A352" s="334" t="s">
        <v>4558</v>
      </c>
      <c r="B352" s="334" t="s">
        <v>2055</v>
      </c>
      <c r="C352" s="332" t="s">
        <v>237</v>
      </c>
      <c r="D352" s="333" t="s">
        <v>2057</v>
      </c>
      <c r="E352" s="42"/>
      <c r="F352" s="9"/>
      <c r="G352" s="9"/>
      <c r="H352" s="9"/>
      <c r="I352" s="9"/>
      <c r="J352" s="9"/>
      <c r="K352" s="9"/>
      <c r="L352" s="9"/>
      <c r="M352" s="2"/>
      <c r="N352" s="2"/>
      <c r="O352" s="2"/>
      <c r="P352" s="2"/>
    </row>
    <row r="353" spans="1:16" ht="12.75">
      <c r="A353" s="331" t="s">
        <v>4572</v>
      </c>
      <c r="B353" s="331" t="s">
        <v>2060</v>
      </c>
      <c r="C353" s="332" t="s">
        <v>2062</v>
      </c>
      <c r="D353" s="369" t="s">
        <v>2063</v>
      </c>
      <c r="E353" s="42"/>
      <c r="F353" s="9"/>
      <c r="G353" s="9"/>
      <c r="H353" s="9"/>
      <c r="I353" s="9"/>
      <c r="J353" s="9"/>
      <c r="K353" s="9"/>
      <c r="L353" s="9"/>
      <c r="M353" s="2"/>
      <c r="N353" s="2"/>
      <c r="O353" s="2"/>
      <c r="P353" s="2"/>
    </row>
    <row r="354" spans="1:16" ht="12.75">
      <c r="A354" s="334" t="s">
        <v>4554</v>
      </c>
      <c r="B354" s="334" t="s">
        <v>2066</v>
      </c>
      <c r="C354" s="332" t="s">
        <v>269</v>
      </c>
      <c r="D354" s="333" t="s">
        <v>2068</v>
      </c>
      <c r="E354" s="42"/>
      <c r="F354" s="9"/>
      <c r="G354" s="9"/>
      <c r="H354" s="9"/>
      <c r="I354" s="9"/>
      <c r="J354" s="9"/>
      <c r="K354" s="9"/>
      <c r="L354" s="9"/>
      <c r="M354" s="2"/>
      <c r="N354" s="2"/>
      <c r="O354" s="2"/>
      <c r="P354" s="2"/>
    </row>
    <row r="355" spans="1:16" ht="12.75">
      <c r="A355" s="331" t="s">
        <v>4569</v>
      </c>
      <c r="B355" s="331" t="s">
        <v>493</v>
      </c>
      <c r="C355" s="332" t="s">
        <v>2073</v>
      </c>
      <c r="D355" s="333" t="s">
        <v>496</v>
      </c>
      <c r="E355" s="42"/>
      <c r="F355" s="9"/>
      <c r="G355" s="9"/>
      <c r="H355" s="9"/>
      <c r="I355" s="9"/>
      <c r="J355" s="9"/>
      <c r="K355" s="9"/>
      <c r="L355" s="9"/>
      <c r="M355" s="2"/>
      <c r="N355" s="2"/>
      <c r="O355" s="2"/>
      <c r="P355" s="2"/>
    </row>
    <row r="356" spans="1:16" ht="12.75">
      <c r="A356" s="334" t="s">
        <v>4557</v>
      </c>
      <c r="B356" s="334" t="s">
        <v>2084</v>
      </c>
      <c r="C356" s="332" t="s">
        <v>2086</v>
      </c>
      <c r="D356" s="333" t="s">
        <v>2087</v>
      </c>
      <c r="E356" s="42"/>
      <c r="F356" s="9"/>
      <c r="G356" s="9"/>
      <c r="H356" s="9"/>
      <c r="I356" s="9"/>
      <c r="J356" s="9"/>
      <c r="K356" s="9"/>
      <c r="L356" s="9"/>
      <c r="M356" s="2"/>
      <c r="N356" s="2"/>
      <c r="O356" s="2"/>
      <c r="P356" s="2"/>
    </row>
    <row r="357" spans="1:16" ht="12.75">
      <c r="A357" s="331" t="s">
        <v>4560</v>
      </c>
      <c r="B357" s="331" t="s">
        <v>2090</v>
      </c>
      <c r="C357" s="332" t="s">
        <v>2092</v>
      </c>
      <c r="D357" s="333" t="s">
        <v>2093</v>
      </c>
      <c r="E357" s="42"/>
      <c r="F357" s="9"/>
      <c r="G357" s="9"/>
      <c r="H357" s="9"/>
      <c r="I357" s="9"/>
      <c r="J357" s="9"/>
      <c r="K357" s="9"/>
      <c r="L357" s="9"/>
      <c r="M357" s="2"/>
      <c r="N357" s="2"/>
      <c r="O357" s="2"/>
      <c r="P357" s="2"/>
    </row>
    <row r="358" spans="1:16" ht="12.75">
      <c r="A358" s="334" t="s">
        <v>4550</v>
      </c>
      <c r="B358" s="334" t="s">
        <v>2096</v>
      </c>
      <c r="C358" s="332" t="s">
        <v>2073</v>
      </c>
      <c r="D358" s="333" t="s">
        <v>2098</v>
      </c>
      <c r="E358" s="42"/>
      <c r="F358" s="9"/>
      <c r="G358" s="9"/>
      <c r="H358" s="9"/>
      <c r="I358" s="9"/>
      <c r="J358" s="9"/>
      <c r="K358" s="9"/>
      <c r="L358" s="9"/>
      <c r="M358" s="2"/>
      <c r="N358" s="2"/>
      <c r="O358" s="2"/>
      <c r="P358" s="2"/>
    </row>
    <row r="359" spans="1:16" ht="12.75">
      <c r="A359" s="331" t="s">
        <v>4572</v>
      </c>
      <c r="B359" s="331" t="s">
        <v>2101</v>
      </c>
      <c r="C359" s="332" t="s">
        <v>218</v>
      </c>
      <c r="D359" s="333" t="s">
        <v>2103</v>
      </c>
      <c r="E359" s="42"/>
      <c r="F359" s="9"/>
      <c r="G359" s="9"/>
      <c r="H359" s="9"/>
      <c r="I359" s="9"/>
      <c r="J359" s="9"/>
      <c r="K359" s="9"/>
      <c r="L359" s="9"/>
      <c r="M359" s="2"/>
      <c r="N359" s="2"/>
      <c r="O359" s="2"/>
      <c r="P359" s="2"/>
    </row>
    <row r="360" spans="1:16" ht="12.75">
      <c r="A360" s="334" t="s">
        <v>4562</v>
      </c>
      <c r="B360" s="334" t="s">
        <v>2106</v>
      </c>
      <c r="C360" s="332" t="s">
        <v>2108</v>
      </c>
      <c r="D360" s="333" t="s">
        <v>2109</v>
      </c>
      <c r="E360" s="42"/>
      <c r="F360" s="9"/>
      <c r="G360" s="9"/>
      <c r="H360" s="9"/>
      <c r="I360" s="9"/>
      <c r="J360" s="9"/>
      <c r="K360" s="9"/>
      <c r="L360" s="9"/>
      <c r="M360" s="2"/>
      <c r="N360" s="2"/>
      <c r="O360" s="2"/>
      <c r="P360" s="2"/>
    </row>
    <row r="361" spans="1:16" ht="12.75">
      <c r="A361" s="331" t="s">
        <v>4560</v>
      </c>
      <c r="B361" s="331" t="s">
        <v>2113</v>
      </c>
      <c r="C361" s="332" t="s">
        <v>2114</v>
      </c>
      <c r="D361" s="333" t="s">
        <v>2115</v>
      </c>
      <c r="E361" s="42"/>
      <c r="F361" s="9"/>
      <c r="G361" s="9"/>
      <c r="H361" s="9"/>
      <c r="I361" s="9"/>
      <c r="J361" s="9"/>
      <c r="K361" s="9"/>
      <c r="L361" s="9"/>
      <c r="M361" s="2"/>
      <c r="N361" s="2"/>
      <c r="O361" s="2"/>
      <c r="P361" s="2"/>
    </row>
    <row r="362" spans="1:16" ht="12.75">
      <c r="A362" s="331" t="s">
        <v>201</v>
      </c>
      <c r="B362" s="331" t="s">
        <v>2123</v>
      </c>
      <c r="C362" s="332" t="s">
        <v>134</v>
      </c>
      <c r="D362" s="333" t="s">
        <v>2125</v>
      </c>
      <c r="E362" s="42"/>
      <c r="F362" s="9"/>
      <c r="G362" s="9"/>
      <c r="H362" s="9"/>
      <c r="I362" s="9"/>
      <c r="J362" s="9"/>
      <c r="K362" s="9"/>
      <c r="L362" s="9"/>
      <c r="M362" s="2"/>
      <c r="N362" s="2"/>
      <c r="O362" s="2"/>
      <c r="P362" s="2"/>
    </row>
    <row r="363" spans="1:16" ht="12.75">
      <c r="A363" s="334" t="s">
        <v>4548</v>
      </c>
      <c r="B363" s="334" t="s">
        <v>2129</v>
      </c>
      <c r="C363" s="332" t="s">
        <v>223</v>
      </c>
      <c r="D363" s="333" t="s">
        <v>2131</v>
      </c>
      <c r="E363" s="42"/>
      <c r="F363" s="9"/>
      <c r="G363" s="9"/>
      <c r="H363" s="9"/>
      <c r="I363" s="9"/>
      <c r="J363" s="9"/>
      <c r="K363" s="9"/>
      <c r="L363" s="9"/>
      <c r="M363" s="2"/>
      <c r="N363" s="2"/>
      <c r="O363" s="2"/>
      <c r="P363" s="2"/>
    </row>
    <row r="364" spans="1:16" ht="12.75">
      <c r="A364" s="331" t="s">
        <v>4560</v>
      </c>
      <c r="B364" s="331" t="s">
        <v>1547</v>
      </c>
      <c r="C364" s="332" t="s">
        <v>451</v>
      </c>
      <c r="D364" s="333" t="s">
        <v>87</v>
      </c>
      <c r="E364" s="42"/>
      <c r="F364" s="9"/>
      <c r="G364" s="9"/>
      <c r="H364" s="9"/>
      <c r="I364" s="9"/>
      <c r="J364" s="9"/>
      <c r="K364" s="9"/>
      <c r="L364" s="9"/>
      <c r="M364" s="2"/>
      <c r="N364" s="2"/>
      <c r="O364" s="2"/>
      <c r="P364" s="2"/>
    </row>
    <row r="365" spans="1:16" ht="12.75">
      <c r="A365" s="334" t="s">
        <v>4560</v>
      </c>
      <c r="B365" s="334" t="s">
        <v>2135</v>
      </c>
      <c r="C365" s="332" t="s">
        <v>2137</v>
      </c>
      <c r="D365" s="333" t="s">
        <v>2138</v>
      </c>
      <c r="E365" s="42"/>
      <c r="F365" s="9"/>
      <c r="G365" s="9"/>
      <c r="H365" s="9"/>
      <c r="I365" s="9"/>
      <c r="J365" s="9"/>
      <c r="K365" s="9"/>
      <c r="L365" s="9"/>
      <c r="M365" s="2"/>
      <c r="N365" s="2"/>
      <c r="O365" s="2"/>
      <c r="P365" s="2"/>
    </row>
    <row r="366" spans="1:16" ht="12.75">
      <c r="A366" s="334" t="s">
        <v>4545</v>
      </c>
      <c r="B366" s="334" t="s">
        <v>1826</v>
      </c>
      <c r="C366" s="332" t="s">
        <v>218</v>
      </c>
      <c r="D366" s="333" t="s">
        <v>1942</v>
      </c>
      <c r="E366" s="42"/>
      <c r="F366" s="9"/>
      <c r="G366" s="9"/>
      <c r="H366" s="9"/>
      <c r="I366" s="9"/>
      <c r="J366" s="9"/>
      <c r="K366" s="9"/>
      <c r="L366" s="9"/>
      <c r="M366" s="2"/>
      <c r="N366" s="2"/>
      <c r="O366" s="2"/>
      <c r="P366" s="2"/>
    </row>
    <row r="367" spans="1:16" ht="12.75">
      <c r="A367" s="331" t="s">
        <v>4553</v>
      </c>
      <c r="B367" s="331" t="s">
        <v>1574</v>
      </c>
      <c r="C367" s="332" t="s">
        <v>2141</v>
      </c>
      <c r="D367" s="333" t="s">
        <v>496</v>
      </c>
      <c r="E367" s="42"/>
      <c r="F367" s="9"/>
      <c r="G367" s="9"/>
      <c r="H367" s="9"/>
      <c r="I367" s="9"/>
      <c r="J367" s="9"/>
      <c r="K367" s="9"/>
      <c r="L367" s="9"/>
      <c r="M367" s="2"/>
      <c r="N367" s="2"/>
      <c r="O367" s="2"/>
      <c r="P367" s="2"/>
    </row>
    <row r="368" spans="1:16" ht="12.75">
      <c r="A368" s="331" t="s">
        <v>4596</v>
      </c>
      <c r="B368" s="331" t="s">
        <v>2150</v>
      </c>
      <c r="C368" s="332" t="s">
        <v>237</v>
      </c>
      <c r="D368" s="333" t="s">
        <v>2152</v>
      </c>
      <c r="E368" s="42"/>
      <c r="F368" s="9"/>
      <c r="G368" s="9"/>
      <c r="H368" s="9"/>
      <c r="I368" s="9"/>
      <c r="J368" s="9"/>
      <c r="K368" s="9"/>
      <c r="L368" s="9"/>
      <c r="M368" s="2"/>
      <c r="N368" s="2"/>
      <c r="O368" s="2"/>
      <c r="P368" s="2"/>
    </row>
    <row r="369" spans="1:16" ht="12.75">
      <c r="A369" s="381" t="s">
        <v>4562</v>
      </c>
      <c r="B369" s="381" t="s">
        <v>897</v>
      </c>
      <c r="C369" s="351" t="s">
        <v>59</v>
      </c>
      <c r="D369" s="343" t="s">
        <v>898</v>
      </c>
      <c r="E369" s="42"/>
      <c r="F369" s="9"/>
      <c r="G369" s="9"/>
      <c r="H369" s="9"/>
      <c r="I369" s="9"/>
      <c r="J369" s="9"/>
      <c r="K369" s="9"/>
      <c r="L369" s="9"/>
      <c r="M369" s="2"/>
      <c r="N369" s="2"/>
      <c r="O369" s="2"/>
      <c r="P369" s="2"/>
    </row>
    <row r="370" spans="1:16" ht="12.75">
      <c r="A370" s="334" t="s">
        <v>4562</v>
      </c>
      <c r="B370" s="334" t="s">
        <v>2160</v>
      </c>
      <c r="C370" s="332" t="s">
        <v>2162</v>
      </c>
      <c r="D370" s="333" t="s">
        <v>2006</v>
      </c>
      <c r="E370" s="42"/>
      <c r="F370" s="9"/>
      <c r="G370" s="9"/>
      <c r="H370" s="9"/>
      <c r="I370" s="9"/>
      <c r="J370" s="9"/>
      <c r="K370" s="9"/>
      <c r="L370" s="9"/>
      <c r="M370" s="2"/>
      <c r="N370" s="2"/>
      <c r="O370" s="2"/>
      <c r="P370" s="2"/>
    </row>
    <row r="371" spans="1:16" ht="12.75">
      <c r="A371" s="334" t="s">
        <v>4548</v>
      </c>
      <c r="B371" s="334" t="s">
        <v>2170</v>
      </c>
      <c r="C371" s="332" t="s">
        <v>59</v>
      </c>
      <c r="D371" s="333" t="s">
        <v>2172</v>
      </c>
      <c r="E371" s="42"/>
      <c r="F371" s="9"/>
      <c r="G371" s="9"/>
      <c r="H371" s="9"/>
      <c r="I371" s="9"/>
      <c r="J371" s="9"/>
      <c r="K371" s="9"/>
      <c r="L371" s="9"/>
      <c r="M371" s="2"/>
      <c r="N371" s="2"/>
      <c r="O371" s="2"/>
      <c r="P371" s="2"/>
    </row>
    <row r="372" spans="1:16" ht="12.75">
      <c r="A372" s="331" t="s">
        <v>4560</v>
      </c>
      <c r="B372" s="331" t="s">
        <v>2175</v>
      </c>
      <c r="C372" s="332" t="s">
        <v>2176</v>
      </c>
      <c r="D372" s="333" t="s">
        <v>180</v>
      </c>
      <c r="E372" s="42"/>
      <c r="F372" s="9"/>
      <c r="G372" s="9"/>
      <c r="H372" s="9"/>
      <c r="I372" s="9"/>
      <c r="J372" s="9"/>
      <c r="K372" s="9"/>
      <c r="L372" s="9"/>
      <c r="M372" s="2"/>
      <c r="N372" s="2"/>
      <c r="O372" s="2"/>
      <c r="P372" s="2"/>
    </row>
    <row r="373" spans="1:16" ht="12.75">
      <c r="A373" s="334" t="s">
        <v>4564</v>
      </c>
      <c r="B373" s="334" t="s">
        <v>2180</v>
      </c>
      <c r="C373" s="332" t="s">
        <v>2176</v>
      </c>
      <c r="D373" s="333" t="s">
        <v>180</v>
      </c>
      <c r="E373" s="42"/>
      <c r="F373" s="9"/>
      <c r="G373" s="9"/>
      <c r="H373" s="9"/>
      <c r="I373" s="9"/>
      <c r="J373" s="9"/>
      <c r="K373" s="9"/>
      <c r="L373" s="9"/>
      <c r="M373" s="2"/>
      <c r="N373" s="2"/>
      <c r="O373" s="2"/>
      <c r="P373" s="2"/>
    </row>
    <row r="374" spans="1:16" ht="12.75">
      <c r="A374" s="331" t="s">
        <v>4584</v>
      </c>
      <c r="B374" s="331" t="s">
        <v>2185</v>
      </c>
      <c r="C374" s="332" t="s">
        <v>59</v>
      </c>
      <c r="D374" s="333" t="s">
        <v>2187</v>
      </c>
      <c r="E374" s="42"/>
      <c r="F374" s="9"/>
      <c r="G374" s="9"/>
      <c r="H374" s="9"/>
      <c r="I374" s="9"/>
      <c r="J374" s="9"/>
      <c r="K374" s="9"/>
      <c r="L374" s="9"/>
      <c r="M374" s="2"/>
      <c r="N374" s="2"/>
      <c r="O374" s="2"/>
      <c r="P374" s="2"/>
    </row>
    <row r="375" spans="1:16" ht="12.75">
      <c r="A375" s="334" t="s">
        <v>4562</v>
      </c>
      <c r="B375" s="334" t="s">
        <v>2190</v>
      </c>
      <c r="C375" s="332" t="s">
        <v>2108</v>
      </c>
      <c r="D375" s="333" t="s">
        <v>2109</v>
      </c>
      <c r="E375" s="42"/>
      <c r="F375" s="9"/>
      <c r="G375" s="9"/>
      <c r="H375" s="9"/>
      <c r="I375" s="9"/>
      <c r="J375" s="9"/>
      <c r="K375" s="9"/>
      <c r="L375" s="9"/>
      <c r="M375" s="2"/>
      <c r="N375" s="2"/>
      <c r="O375" s="2"/>
      <c r="P375" s="2"/>
    </row>
    <row r="376" spans="1:16" ht="12.75">
      <c r="A376" s="334" t="s">
        <v>4560</v>
      </c>
      <c r="B376" s="334" t="s">
        <v>2199</v>
      </c>
      <c r="C376" s="351" t="s">
        <v>218</v>
      </c>
      <c r="D376" s="333" t="s">
        <v>2200</v>
      </c>
      <c r="E376" s="42"/>
      <c r="F376" s="9"/>
      <c r="G376" s="9"/>
      <c r="H376" s="9"/>
      <c r="I376" s="9"/>
      <c r="J376" s="9"/>
      <c r="K376" s="9"/>
      <c r="L376" s="9"/>
      <c r="M376" s="2"/>
      <c r="N376" s="2"/>
      <c r="O376" s="2"/>
      <c r="P376" s="2"/>
    </row>
    <row r="377" spans="1:16">
      <c r="A377" s="331" t="s">
        <v>4565</v>
      </c>
      <c r="B377" s="331" t="s">
        <v>2204</v>
      </c>
      <c r="C377" s="332" t="s">
        <v>14</v>
      </c>
      <c r="D377" s="382" t="s">
        <v>2206</v>
      </c>
      <c r="E377" s="42"/>
      <c r="F377" s="9"/>
      <c r="G377" s="9"/>
      <c r="H377" s="9"/>
      <c r="I377" s="9"/>
      <c r="J377" s="9"/>
      <c r="K377" s="9"/>
      <c r="L377" s="9"/>
      <c r="M377" s="2"/>
      <c r="N377" s="2"/>
      <c r="O377" s="2"/>
      <c r="P377" s="2"/>
    </row>
    <row r="378" spans="1:16" ht="12.75">
      <c r="A378" s="334" t="s">
        <v>4560</v>
      </c>
      <c r="B378" s="334" t="s">
        <v>2210</v>
      </c>
      <c r="C378" s="332" t="s">
        <v>59</v>
      </c>
      <c r="D378" s="333" t="s">
        <v>2212</v>
      </c>
      <c r="E378" s="42"/>
      <c r="F378" s="9"/>
      <c r="G378" s="9"/>
      <c r="H378" s="9"/>
      <c r="I378" s="9"/>
      <c r="J378" s="9"/>
      <c r="K378" s="9"/>
      <c r="L378" s="9"/>
      <c r="M378" s="2"/>
      <c r="N378" s="2"/>
      <c r="O378" s="2"/>
      <c r="P378" s="2"/>
    </row>
    <row r="379" spans="1:16" ht="12.75">
      <c r="A379" s="331" t="s">
        <v>4560</v>
      </c>
      <c r="B379" s="331" t="s">
        <v>2215</v>
      </c>
      <c r="C379" s="332" t="s">
        <v>218</v>
      </c>
      <c r="D379" s="333" t="s">
        <v>2216</v>
      </c>
      <c r="E379" s="42"/>
      <c r="F379" s="9"/>
      <c r="G379" s="9"/>
      <c r="H379" s="9"/>
      <c r="I379" s="9"/>
      <c r="J379" s="9"/>
      <c r="K379" s="9"/>
      <c r="L379" s="9"/>
      <c r="M379" s="2"/>
      <c r="N379" s="2"/>
      <c r="O379" s="2"/>
      <c r="P379" s="2"/>
    </row>
    <row r="380" spans="1:16" ht="12.75">
      <c r="A380" s="334" t="s">
        <v>4560</v>
      </c>
      <c r="B380" s="334" t="s">
        <v>2219</v>
      </c>
      <c r="C380" s="332" t="s">
        <v>763</v>
      </c>
      <c r="D380" s="333" t="s">
        <v>2221</v>
      </c>
      <c r="E380" s="42"/>
      <c r="F380" s="9"/>
      <c r="G380" s="9"/>
      <c r="H380" s="9"/>
      <c r="I380" s="9"/>
      <c r="J380" s="9"/>
      <c r="K380" s="9"/>
      <c r="L380" s="9"/>
      <c r="M380" s="2"/>
      <c r="N380" s="2"/>
      <c r="O380" s="2"/>
      <c r="P380" s="2"/>
    </row>
    <row r="381" spans="1:16" ht="12.75">
      <c r="A381" s="331" t="s">
        <v>4553</v>
      </c>
      <c r="B381" s="331" t="s">
        <v>2226</v>
      </c>
      <c r="C381" s="332" t="s">
        <v>2228</v>
      </c>
      <c r="D381" s="333" t="s">
        <v>2230</v>
      </c>
      <c r="E381" s="42"/>
      <c r="F381" s="9"/>
      <c r="G381" s="9"/>
      <c r="H381" s="9"/>
      <c r="I381" s="9"/>
      <c r="J381" s="9"/>
      <c r="K381" s="9"/>
      <c r="L381" s="9"/>
      <c r="M381" s="2"/>
      <c r="N381" s="2"/>
      <c r="O381" s="2"/>
      <c r="P381" s="2"/>
    </row>
    <row r="382" spans="1:16" ht="12.75">
      <c r="A382" s="331" t="s">
        <v>4562</v>
      </c>
      <c r="B382" s="331" t="s">
        <v>2236</v>
      </c>
      <c r="C382" s="332" t="s">
        <v>763</v>
      </c>
      <c r="D382" s="333" t="s">
        <v>2239</v>
      </c>
      <c r="E382" s="42"/>
      <c r="F382" s="9"/>
      <c r="G382" s="9"/>
      <c r="H382" s="9"/>
      <c r="I382" s="9"/>
      <c r="J382" s="9"/>
      <c r="K382" s="9"/>
      <c r="L382" s="9"/>
      <c r="M382" s="2"/>
      <c r="N382" s="2"/>
      <c r="O382" s="2"/>
      <c r="P382" s="2"/>
    </row>
    <row r="383" spans="1:16" ht="12.75">
      <c r="A383" s="334" t="s">
        <v>4562</v>
      </c>
      <c r="B383" s="334" t="s">
        <v>2241</v>
      </c>
      <c r="C383" s="332" t="s">
        <v>1429</v>
      </c>
      <c r="D383" s="333" t="s">
        <v>2243</v>
      </c>
      <c r="E383" s="42"/>
      <c r="F383" s="9"/>
      <c r="G383" s="9"/>
      <c r="H383" s="9"/>
      <c r="I383" s="9"/>
      <c r="J383" s="9"/>
      <c r="K383" s="9"/>
      <c r="L383" s="9"/>
      <c r="M383" s="2"/>
      <c r="N383" s="2"/>
      <c r="O383" s="2"/>
      <c r="P383" s="2"/>
    </row>
    <row r="384" spans="1:16" ht="12.75">
      <c r="A384" s="331" t="s">
        <v>2245</v>
      </c>
      <c r="B384" s="331" t="s">
        <v>2246</v>
      </c>
      <c r="C384" s="332" t="s">
        <v>2247</v>
      </c>
      <c r="D384" s="333" t="s">
        <v>2249</v>
      </c>
      <c r="E384" s="42"/>
      <c r="F384" s="9"/>
      <c r="G384" s="9"/>
      <c r="H384" s="9"/>
      <c r="I384" s="9"/>
      <c r="J384" s="9"/>
      <c r="K384" s="9"/>
      <c r="L384" s="9"/>
      <c r="M384" s="2"/>
      <c r="N384" s="2"/>
      <c r="O384" s="2"/>
      <c r="P384" s="2"/>
    </row>
    <row r="385" spans="1:16" ht="12.75">
      <c r="A385" s="331" t="s">
        <v>4560</v>
      </c>
      <c r="B385" s="331" t="s">
        <v>2256</v>
      </c>
      <c r="C385" s="332" t="s">
        <v>887</v>
      </c>
      <c r="D385" s="333" t="s">
        <v>2212</v>
      </c>
      <c r="E385" s="42"/>
      <c r="F385" s="9"/>
      <c r="G385" s="9"/>
      <c r="H385" s="9"/>
      <c r="I385" s="9"/>
      <c r="J385" s="9"/>
      <c r="K385" s="9"/>
      <c r="L385" s="9"/>
      <c r="M385" s="2"/>
      <c r="N385" s="2"/>
      <c r="O385" s="2"/>
      <c r="P385" s="2"/>
    </row>
    <row r="386" spans="1:16" ht="12.75">
      <c r="A386" s="334" t="s">
        <v>4597</v>
      </c>
      <c r="B386" s="334" t="s">
        <v>2261</v>
      </c>
      <c r="C386" s="332" t="s">
        <v>1218</v>
      </c>
      <c r="D386" s="333" t="s">
        <v>2263</v>
      </c>
      <c r="E386" s="42"/>
      <c r="F386" s="9"/>
      <c r="G386" s="9"/>
      <c r="H386" s="9"/>
      <c r="I386" s="9"/>
      <c r="J386" s="9"/>
      <c r="K386" s="9"/>
      <c r="L386" s="9"/>
      <c r="M386" s="2"/>
      <c r="N386" s="2"/>
      <c r="O386" s="2"/>
      <c r="P386" s="2"/>
    </row>
    <row r="387" spans="1:16" ht="12.75">
      <c r="A387" s="331" t="s">
        <v>4545</v>
      </c>
      <c r="B387" s="331" t="s">
        <v>2266</v>
      </c>
      <c r="C387" s="332" t="s">
        <v>2017</v>
      </c>
      <c r="D387" s="333" t="s">
        <v>2268</v>
      </c>
      <c r="E387" s="42"/>
      <c r="F387" s="9"/>
      <c r="G387" s="9"/>
      <c r="H387" s="9"/>
      <c r="I387" s="9"/>
      <c r="J387" s="9"/>
      <c r="K387" s="9"/>
      <c r="L387" s="9"/>
      <c r="M387" s="2"/>
      <c r="N387" s="2"/>
      <c r="O387" s="2"/>
      <c r="P387" s="2"/>
    </row>
    <row r="388" spans="1:16" ht="12.75">
      <c r="A388" s="334" t="s">
        <v>4585</v>
      </c>
      <c r="B388" s="334" t="s">
        <v>2272</v>
      </c>
      <c r="C388" s="332" t="s">
        <v>14</v>
      </c>
      <c r="D388" s="333" t="s">
        <v>105</v>
      </c>
      <c r="E388" s="42"/>
      <c r="F388" s="9"/>
      <c r="G388" s="9"/>
      <c r="H388" s="9"/>
      <c r="I388" s="9"/>
      <c r="J388" s="9"/>
      <c r="K388" s="9"/>
      <c r="L388" s="9"/>
      <c r="M388" s="2"/>
      <c r="N388" s="2"/>
      <c r="O388" s="2"/>
      <c r="P388" s="2"/>
    </row>
    <row r="389" spans="1:16" ht="12.75">
      <c r="A389" s="331" t="s">
        <v>2275</v>
      </c>
      <c r="B389" s="383" t="s">
        <v>1485</v>
      </c>
      <c r="C389" s="332" t="s">
        <v>1218</v>
      </c>
      <c r="D389" s="333" t="s">
        <v>2277</v>
      </c>
      <c r="E389" s="42"/>
      <c r="F389" s="9"/>
      <c r="G389" s="9"/>
      <c r="H389" s="9"/>
      <c r="I389" s="9"/>
      <c r="J389" s="9"/>
      <c r="K389" s="9"/>
      <c r="L389" s="9"/>
      <c r="M389" s="2"/>
      <c r="N389" s="2"/>
      <c r="O389" s="2"/>
      <c r="P389" s="2"/>
    </row>
    <row r="390" spans="1:16" ht="12.75">
      <c r="A390" s="331" t="s">
        <v>4553</v>
      </c>
      <c r="B390" s="331" t="s">
        <v>2281</v>
      </c>
      <c r="C390" s="332" t="s">
        <v>2283</v>
      </c>
      <c r="D390" s="333" t="s">
        <v>2284</v>
      </c>
      <c r="E390" s="42"/>
      <c r="F390" s="9"/>
      <c r="G390" s="9"/>
      <c r="H390" s="9"/>
      <c r="I390" s="9"/>
      <c r="J390" s="9"/>
      <c r="K390" s="9"/>
      <c r="L390" s="9"/>
      <c r="M390" s="2"/>
      <c r="N390" s="2"/>
      <c r="O390" s="2"/>
      <c r="P390" s="2"/>
    </row>
    <row r="391" spans="1:16" ht="12.75">
      <c r="A391" s="334" t="s">
        <v>4545</v>
      </c>
      <c r="B391" s="334" t="s">
        <v>2287</v>
      </c>
      <c r="C391" s="332" t="s">
        <v>1357</v>
      </c>
      <c r="D391" s="333" t="s">
        <v>1988</v>
      </c>
      <c r="E391" s="42"/>
      <c r="F391" s="9"/>
      <c r="G391" s="9"/>
      <c r="H391" s="9"/>
      <c r="I391" s="9"/>
      <c r="J391" s="9"/>
      <c r="K391" s="9"/>
      <c r="L391" s="9"/>
      <c r="M391" s="2"/>
      <c r="N391" s="2"/>
      <c r="O391" s="2"/>
      <c r="P391" s="2"/>
    </row>
    <row r="392" spans="1:16" ht="12.75">
      <c r="A392" s="338" t="s">
        <v>2293</v>
      </c>
      <c r="B392" s="334" t="s">
        <v>2290</v>
      </c>
      <c r="C392" s="332" t="s">
        <v>223</v>
      </c>
      <c r="D392" s="333" t="s">
        <v>2295</v>
      </c>
      <c r="E392" s="42"/>
      <c r="F392" s="9"/>
      <c r="G392" s="9"/>
      <c r="H392" s="9"/>
      <c r="I392" s="9"/>
      <c r="J392" s="9"/>
      <c r="K392" s="9"/>
      <c r="L392" s="9"/>
      <c r="M392" s="2"/>
      <c r="N392" s="2"/>
      <c r="O392" s="2"/>
      <c r="P392" s="2"/>
    </row>
    <row r="393" spans="1:16" ht="12.75">
      <c r="A393" s="331" t="s">
        <v>4598</v>
      </c>
      <c r="B393" s="331" t="s">
        <v>2290</v>
      </c>
      <c r="C393" s="332" t="s">
        <v>223</v>
      </c>
      <c r="D393" s="333" t="s">
        <v>2295</v>
      </c>
      <c r="E393" s="42"/>
      <c r="F393" s="9"/>
      <c r="G393" s="9"/>
      <c r="H393" s="9"/>
      <c r="I393" s="9"/>
      <c r="J393" s="9"/>
      <c r="K393" s="9"/>
      <c r="L393" s="9"/>
      <c r="M393" s="2"/>
      <c r="N393" s="2"/>
      <c r="O393" s="2"/>
      <c r="P393" s="2"/>
    </row>
    <row r="394" spans="1:16" ht="12.75">
      <c r="A394" s="331" t="s">
        <v>4545</v>
      </c>
      <c r="B394" s="331" t="s">
        <v>2303</v>
      </c>
      <c r="C394" s="332" t="s">
        <v>495</v>
      </c>
      <c r="D394" s="333" t="s">
        <v>496</v>
      </c>
      <c r="E394" s="42"/>
      <c r="F394" s="9"/>
      <c r="G394" s="9"/>
      <c r="H394" s="9"/>
      <c r="I394" s="9"/>
      <c r="J394" s="9"/>
      <c r="K394" s="9"/>
      <c r="L394" s="9"/>
      <c r="M394" s="2"/>
      <c r="N394" s="2"/>
      <c r="O394" s="2"/>
      <c r="P394" s="2"/>
    </row>
    <row r="395" spans="1:16" ht="12.75">
      <c r="A395" s="334" t="s">
        <v>4562</v>
      </c>
      <c r="B395" s="334" t="s">
        <v>2303</v>
      </c>
      <c r="C395" s="332" t="s">
        <v>495</v>
      </c>
      <c r="D395" s="333" t="s">
        <v>496</v>
      </c>
      <c r="E395" s="42"/>
      <c r="F395" s="9"/>
      <c r="G395" s="9"/>
      <c r="H395" s="9"/>
      <c r="I395" s="9"/>
      <c r="J395" s="9"/>
      <c r="K395" s="9"/>
      <c r="L395" s="9"/>
      <c r="M395" s="2"/>
      <c r="N395" s="2"/>
      <c r="O395" s="2"/>
      <c r="P395" s="2"/>
    </row>
    <row r="396" spans="1:16" ht="12.75">
      <c r="A396" s="331" t="s">
        <v>4553</v>
      </c>
      <c r="B396" s="331" t="s">
        <v>2309</v>
      </c>
      <c r="C396" s="332" t="s">
        <v>2311</v>
      </c>
      <c r="D396" s="333" t="s">
        <v>2312</v>
      </c>
      <c r="E396" s="42"/>
      <c r="F396" s="9"/>
      <c r="G396" s="9"/>
      <c r="H396" s="9"/>
      <c r="I396" s="9"/>
      <c r="J396" s="9"/>
      <c r="K396" s="9"/>
      <c r="L396" s="9"/>
      <c r="M396" s="2"/>
      <c r="N396" s="2"/>
      <c r="O396" s="2"/>
      <c r="P396" s="2"/>
    </row>
    <row r="397" spans="1:16" ht="12.75">
      <c r="A397" s="334" t="s">
        <v>4549</v>
      </c>
      <c r="B397" s="334" t="s">
        <v>2316</v>
      </c>
      <c r="C397" s="332" t="s">
        <v>65</v>
      </c>
      <c r="D397" s="333" t="s">
        <v>2318</v>
      </c>
      <c r="E397" s="42"/>
      <c r="F397" s="9"/>
      <c r="G397" s="9"/>
      <c r="H397" s="9"/>
      <c r="I397" s="9"/>
      <c r="J397" s="9"/>
      <c r="K397" s="9"/>
      <c r="L397" s="9"/>
      <c r="M397" s="2"/>
      <c r="N397" s="2"/>
      <c r="O397" s="2"/>
      <c r="P397" s="2"/>
    </row>
    <row r="398" spans="1:16" ht="12.75">
      <c r="A398" s="331" t="s">
        <v>4553</v>
      </c>
      <c r="B398" s="331" t="s">
        <v>2321</v>
      </c>
      <c r="C398" s="332" t="s">
        <v>2323</v>
      </c>
      <c r="D398" s="333" t="s">
        <v>2324</v>
      </c>
      <c r="E398" s="42"/>
      <c r="F398" s="9"/>
      <c r="G398" s="9"/>
      <c r="H398" s="9"/>
      <c r="I398" s="9"/>
      <c r="J398" s="9"/>
      <c r="K398" s="9"/>
      <c r="L398" s="9"/>
      <c r="M398" s="2"/>
      <c r="N398" s="2"/>
      <c r="O398" s="2"/>
      <c r="P398" s="2"/>
    </row>
    <row r="399" spans="1:16" ht="15">
      <c r="A399" s="338" t="s">
        <v>4554</v>
      </c>
      <c r="B399" s="334" t="s">
        <v>2327</v>
      </c>
      <c r="C399" s="332" t="s">
        <v>218</v>
      </c>
      <c r="D399" s="384" t="s">
        <v>2330</v>
      </c>
      <c r="E399" s="42"/>
      <c r="F399" s="9"/>
      <c r="G399" s="9"/>
      <c r="H399" s="9"/>
      <c r="I399" s="9"/>
      <c r="J399" s="9"/>
      <c r="K399" s="9"/>
      <c r="L399" s="9"/>
      <c r="M399" s="2"/>
      <c r="N399" s="2"/>
      <c r="O399" s="2"/>
      <c r="P399" s="2"/>
    </row>
    <row r="400" spans="1:16" ht="16.5">
      <c r="A400" s="331" t="s">
        <v>4562</v>
      </c>
      <c r="B400" s="331" t="s">
        <v>2333</v>
      </c>
      <c r="C400" s="332" t="s">
        <v>269</v>
      </c>
      <c r="D400" s="385" t="s">
        <v>2336</v>
      </c>
      <c r="E400" s="42"/>
      <c r="F400" s="9"/>
      <c r="G400" s="9"/>
      <c r="H400" s="9"/>
      <c r="I400" s="9"/>
      <c r="J400" s="9"/>
      <c r="K400" s="9"/>
      <c r="L400" s="9"/>
      <c r="M400" s="2"/>
      <c r="N400" s="2"/>
      <c r="O400" s="2"/>
      <c r="P400" s="2"/>
    </row>
    <row r="401" spans="1:16" ht="12.75">
      <c r="A401" s="334" t="s">
        <v>4555</v>
      </c>
      <c r="B401" s="334" t="s">
        <v>2340</v>
      </c>
      <c r="C401" s="332" t="s">
        <v>2342</v>
      </c>
      <c r="D401" s="333" t="s">
        <v>978</v>
      </c>
      <c r="E401" s="42"/>
      <c r="F401" s="9"/>
      <c r="G401" s="9"/>
      <c r="H401" s="9"/>
      <c r="I401" s="9"/>
      <c r="J401" s="9"/>
      <c r="K401" s="9"/>
      <c r="L401" s="9"/>
      <c r="M401" s="2"/>
      <c r="N401" s="2"/>
      <c r="O401" s="2"/>
      <c r="P401" s="2"/>
    </row>
    <row r="402" spans="1:16" ht="12.75">
      <c r="A402" s="331" t="s">
        <v>4551</v>
      </c>
      <c r="B402" s="331" t="s">
        <v>2346</v>
      </c>
      <c r="C402" s="332" t="s">
        <v>237</v>
      </c>
      <c r="D402" s="333" t="s">
        <v>2348</v>
      </c>
      <c r="E402" s="42"/>
      <c r="F402" s="9"/>
      <c r="G402" s="9"/>
      <c r="H402" s="9"/>
      <c r="I402" s="9"/>
      <c r="J402" s="9"/>
      <c r="K402" s="9"/>
      <c r="L402" s="9"/>
      <c r="M402" s="2"/>
      <c r="N402" s="2"/>
      <c r="O402" s="2"/>
      <c r="P402" s="2"/>
    </row>
    <row r="403" spans="1:16" ht="12.75">
      <c r="A403" s="334" t="s">
        <v>4562</v>
      </c>
      <c r="B403" s="334" t="s">
        <v>199</v>
      </c>
      <c r="C403" s="332" t="s">
        <v>732</v>
      </c>
      <c r="D403" s="333" t="s">
        <v>2352</v>
      </c>
      <c r="E403" s="42"/>
      <c r="F403" s="9"/>
      <c r="G403" s="9"/>
      <c r="H403" s="9"/>
      <c r="I403" s="9"/>
      <c r="J403" s="9"/>
      <c r="K403" s="9"/>
      <c r="L403" s="9"/>
      <c r="M403" s="2"/>
      <c r="N403" s="2"/>
      <c r="O403" s="2"/>
      <c r="P403" s="2"/>
    </row>
    <row r="404" spans="1:16" ht="12.75">
      <c r="A404" s="331" t="s">
        <v>4554</v>
      </c>
      <c r="B404" s="331" t="s">
        <v>420</v>
      </c>
      <c r="C404" s="332" t="s">
        <v>562</v>
      </c>
      <c r="D404" s="333" t="s">
        <v>422</v>
      </c>
      <c r="E404" s="42"/>
      <c r="F404" s="9"/>
      <c r="G404" s="9"/>
      <c r="H404" s="9"/>
      <c r="I404" s="9"/>
      <c r="J404" s="9"/>
      <c r="K404" s="9"/>
      <c r="L404" s="9"/>
      <c r="M404" s="2"/>
      <c r="N404" s="2"/>
      <c r="O404" s="2"/>
      <c r="P404" s="2"/>
    </row>
    <row r="405" spans="1:16" ht="12.75">
      <c r="A405" s="334" t="s">
        <v>4554</v>
      </c>
      <c r="B405" s="334" t="s">
        <v>2359</v>
      </c>
      <c r="C405" s="332" t="s">
        <v>1225</v>
      </c>
      <c r="D405" s="333" t="s">
        <v>2361</v>
      </c>
      <c r="E405" s="42"/>
      <c r="F405" s="9"/>
      <c r="G405" s="9"/>
      <c r="H405" s="9"/>
      <c r="I405" s="9"/>
      <c r="J405" s="9"/>
      <c r="K405" s="9"/>
      <c r="L405" s="9"/>
      <c r="M405" s="2"/>
      <c r="N405" s="2"/>
      <c r="O405" s="2"/>
      <c r="P405" s="2"/>
    </row>
    <row r="406" spans="1:16" ht="12.75">
      <c r="A406" s="331" t="s">
        <v>4554</v>
      </c>
      <c r="B406" s="331" t="s">
        <v>2364</v>
      </c>
      <c r="C406" s="332" t="s">
        <v>218</v>
      </c>
      <c r="D406" s="333" t="s">
        <v>2366</v>
      </c>
      <c r="E406" s="42"/>
      <c r="F406" s="9"/>
      <c r="G406" s="9"/>
      <c r="H406" s="9"/>
      <c r="I406" s="9"/>
      <c r="J406" s="9"/>
      <c r="K406" s="9"/>
      <c r="L406" s="9"/>
      <c r="M406" s="2"/>
      <c r="N406" s="2"/>
      <c r="O406" s="2"/>
      <c r="P406" s="2"/>
    </row>
    <row r="407" spans="1:16" ht="12.75">
      <c r="A407" s="334" t="s">
        <v>4554</v>
      </c>
      <c r="B407" s="334" t="s">
        <v>2369</v>
      </c>
      <c r="C407" s="332" t="s">
        <v>1225</v>
      </c>
      <c r="D407" s="333" t="s">
        <v>2371</v>
      </c>
      <c r="E407" s="42"/>
      <c r="F407" s="9"/>
      <c r="G407" s="9"/>
      <c r="H407" s="9"/>
      <c r="I407" s="9"/>
      <c r="J407" s="9"/>
      <c r="K407" s="9"/>
      <c r="L407" s="9"/>
      <c r="M407" s="2"/>
      <c r="N407" s="2"/>
      <c r="O407" s="2"/>
      <c r="P407" s="2"/>
    </row>
    <row r="408" spans="1:16" ht="12.75">
      <c r="A408" s="334" t="s">
        <v>4550</v>
      </c>
      <c r="B408" s="334" t="s">
        <v>2378</v>
      </c>
      <c r="C408" s="351" t="s">
        <v>218</v>
      </c>
      <c r="D408" s="333" t="s">
        <v>2379</v>
      </c>
      <c r="E408" s="42"/>
      <c r="F408" s="9"/>
      <c r="G408" s="9"/>
      <c r="H408" s="9"/>
      <c r="I408" s="9"/>
      <c r="J408" s="9"/>
      <c r="K408" s="9"/>
      <c r="L408" s="9"/>
      <c r="M408" s="2"/>
      <c r="N408" s="2"/>
      <c r="O408" s="2"/>
      <c r="P408" s="2"/>
    </row>
    <row r="409" spans="1:16" ht="12.75">
      <c r="A409" s="331" t="s">
        <v>4554</v>
      </c>
      <c r="B409" s="383" t="s">
        <v>2390</v>
      </c>
      <c r="C409" s="332" t="s">
        <v>269</v>
      </c>
      <c r="D409" s="333" t="s">
        <v>2277</v>
      </c>
      <c r="E409" s="42"/>
      <c r="F409" s="9"/>
      <c r="G409" s="9"/>
      <c r="H409" s="9"/>
      <c r="I409" s="9"/>
      <c r="J409" s="9"/>
      <c r="K409" s="9"/>
      <c r="L409" s="9"/>
      <c r="M409" s="2"/>
      <c r="N409" s="2"/>
      <c r="O409" s="2"/>
      <c r="P409" s="2"/>
    </row>
    <row r="410" spans="1:16" ht="12.75">
      <c r="A410" s="334" t="s">
        <v>4562</v>
      </c>
      <c r="B410" s="334" t="s">
        <v>2394</v>
      </c>
      <c r="C410" s="332" t="s">
        <v>2396</v>
      </c>
      <c r="D410" s="333" t="s">
        <v>2397</v>
      </c>
      <c r="E410" s="42"/>
      <c r="F410" s="9"/>
      <c r="G410" s="9"/>
      <c r="H410" s="9"/>
      <c r="I410" s="9"/>
      <c r="J410" s="9"/>
      <c r="K410" s="9"/>
      <c r="L410" s="9"/>
      <c r="M410" s="2"/>
      <c r="N410" s="2"/>
      <c r="O410" s="2"/>
      <c r="P410" s="2"/>
    </row>
    <row r="411" spans="1:16" ht="12.75">
      <c r="A411" s="331" t="s">
        <v>4554</v>
      </c>
      <c r="B411" s="331" t="s">
        <v>2400</v>
      </c>
      <c r="C411" s="332" t="s">
        <v>1994</v>
      </c>
      <c r="D411" s="333" t="s">
        <v>2402</v>
      </c>
      <c r="E411" s="42"/>
      <c r="F411" s="9"/>
      <c r="G411" s="9"/>
      <c r="H411" s="9"/>
      <c r="I411" s="9"/>
      <c r="J411" s="9"/>
      <c r="K411" s="9"/>
      <c r="L411" s="9"/>
      <c r="M411" s="2"/>
      <c r="N411" s="2"/>
      <c r="O411" s="2"/>
      <c r="P411" s="2"/>
    </row>
    <row r="412" spans="1:16" ht="12.75">
      <c r="A412" s="334" t="s">
        <v>4545</v>
      </c>
      <c r="B412" s="334" t="s">
        <v>1620</v>
      </c>
      <c r="C412" s="332" t="s">
        <v>1793</v>
      </c>
      <c r="D412" s="333" t="s">
        <v>180</v>
      </c>
      <c r="E412" s="42"/>
      <c r="F412" s="9"/>
      <c r="G412" s="9"/>
      <c r="H412" s="9"/>
      <c r="I412" s="9"/>
      <c r="J412" s="9"/>
      <c r="K412" s="9"/>
      <c r="L412" s="9"/>
      <c r="M412" s="2"/>
      <c r="N412" s="2"/>
      <c r="O412" s="2"/>
      <c r="P412" s="2"/>
    </row>
    <row r="413" spans="1:16" ht="12.75">
      <c r="A413" s="331" t="s">
        <v>4562</v>
      </c>
      <c r="B413" s="331" t="s">
        <v>2409</v>
      </c>
      <c r="C413" s="332" t="s">
        <v>59</v>
      </c>
      <c r="D413" s="333" t="s">
        <v>2411</v>
      </c>
      <c r="E413" s="42"/>
      <c r="F413" s="9"/>
      <c r="G413" s="9"/>
      <c r="H413" s="9"/>
      <c r="I413" s="9"/>
      <c r="J413" s="9"/>
      <c r="K413" s="9"/>
      <c r="L413" s="9"/>
      <c r="M413" s="2"/>
      <c r="N413" s="2"/>
      <c r="O413" s="2"/>
      <c r="P413" s="2"/>
    </row>
    <row r="414" spans="1:16" ht="12.75">
      <c r="A414" s="334" t="s">
        <v>4545</v>
      </c>
      <c r="B414" s="334" t="s">
        <v>2414</v>
      </c>
      <c r="C414" s="332" t="s">
        <v>1472</v>
      </c>
      <c r="D414" s="369" t="s">
        <v>2416</v>
      </c>
      <c r="E414" s="42"/>
      <c r="F414" s="9"/>
      <c r="G414" s="9"/>
      <c r="H414" s="9"/>
      <c r="I414" s="9"/>
      <c r="J414" s="9"/>
      <c r="K414" s="9"/>
      <c r="L414" s="9"/>
      <c r="M414" s="2"/>
      <c r="N414" s="2"/>
      <c r="O414" s="2"/>
      <c r="P414" s="2"/>
    </row>
    <row r="415" spans="1:16" ht="12.75">
      <c r="A415" s="331" t="s">
        <v>4560</v>
      </c>
      <c r="B415" s="331" t="s">
        <v>2210</v>
      </c>
      <c r="C415" s="332" t="s">
        <v>59</v>
      </c>
      <c r="D415" s="333" t="s">
        <v>2212</v>
      </c>
      <c r="E415" s="42"/>
      <c r="F415" s="9"/>
      <c r="G415" s="9"/>
      <c r="H415" s="9"/>
      <c r="I415" s="9"/>
      <c r="J415" s="9"/>
      <c r="K415" s="9"/>
      <c r="L415" s="9"/>
      <c r="M415" s="2"/>
      <c r="N415" s="2"/>
      <c r="O415" s="2"/>
      <c r="P415" s="2"/>
    </row>
    <row r="416" spans="1:16" ht="12.75">
      <c r="A416" s="334" t="s">
        <v>4560</v>
      </c>
      <c r="B416" s="334" t="s">
        <v>2215</v>
      </c>
      <c r="C416" s="332" t="s">
        <v>218</v>
      </c>
      <c r="D416" s="333" t="s">
        <v>2216</v>
      </c>
      <c r="E416" s="42"/>
      <c r="F416" s="9"/>
      <c r="G416" s="9"/>
      <c r="H416" s="9"/>
      <c r="I416" s="9"/>
      <c r="J416" s="9"/>
      <c r="K416" s="9"/>
      <c r="L416" s="9"/>
      <c r="M416" s="2"/>
      <c r="N416" s="2"/>
      <c r="O416" s="2"/>
      <c r="P416" s="2"/>
    </row>
    <row r="417" spans="1:16" ht="12.75">
      <c r="A417" s="331" t="s">
        <v>4560</v>
      </c>
      <c r="B417" s="331" t="s">
        <v>2219</v>
      </c>
      <c r="C417" s="332" t="s">
        <v>763</v>
      </c>
      <c r="D417" s="333" t="s">
        <v>2221</v>
      </c>
      <c r="E417" s="42"/>
      <c r="F417" s="9"/>
      <c r="G417" s="9"/>
      <c r="H417" s="9"/>
      <c r="I417" s="9"/>
      <c r="J417" s="9"/>
      <c r="K417" s="9"/>
      <c r="L417" s="9"/>
      <c r="M417" s="2"/>
      <c r="N417" s="2"/>
      <c r="O417" s="2"/>
      <c r="P417" s="2"/>
    </row>
    <row r="418" spans="1:16" ht="12.75">
      <c r="A418" s="331" t="s">
        <v>4562</v>
      </c>
      <c r="B418" s="331" t="s">
        <v>2236</v>
      </c>
      <c r="C418" s="332" t="s">
        <v>763</v>
      </c>
      <c r="D418" s="333" t="s">
        <v>2239</v>
      </c>
      <c r="E418" s="42"/>
      <c r="F418" s="9"/>
      <c r="G418" s="9"/>
      <c r="H418" s="9"/>
      <c r="I418" s="9"/>
      <c r="J418" s="9"/>
      <c r="K418" s="9"/>
      <c r="L418" s="9"/>
      <c r="M418" s="2"/>
      <c r="N418" s="2"/>
      <c r="O418" s="2"/>
      <c r="P418" s="2"/>
    </row>
    <row r="419" spans="1:16" ht="12.75">
      <c r="A419" s="334" t="s">
        <v>4562</v>
      </c>
      <c r="B419" s="334" t="s">
        <v>2241</v>
      </c>
      <c r="C419" s="332" t="s">
        <v>1429</v>
      </c>
      <c r="D419" s="333" t="s">
        <v>2243</v>
      </c>
      <c r="E419" s="42"/>
      <c r="F419" s="9"/>
      <c r="G419" s="9"/>
      <c r="H419" s="9"/>
      <c r="I419" s="9"/>
      <c r="J419" s="9"/>
      <c r="K419" s="9"/>
      <c r="L419" s="9"/>
      <c r="M419" s="2"/>
      <c r="N419" s="2"/>
      <c r="O419" s="2"/>
      <c r="P419" s="2"/>
    </row>
    <row r="420" spans="1:16" ht="12.75">
      <c r="A420" s="331" t="s">
        <v>2245</v>
      </c>
      <c r="B420" s="331" t="s">
        <v>2246</v>
      </c>
      <c r="C420" s="332" t="s">
        <v>2247</v>
      </c>
      <c r="D420" s="333" t="s">
        <v>2249</v>
      </c>
      <c r="E420" s="42"/>
      <c r="F420" s="9"/>
      <c r="G420" s="9"/>
      <c r="H420" s="9"/>
      <c r="I420" s="9"/>
      <c r="J420" s="9"/>
      <c r="K420" s="9"/>
      <c r="L420" s="9"/>
      <c r="M420" s="2"/>
      <c r="N420" s="2"/>
      <c r="O420" s="2"/>
      <c r="P420" s="2"/>
    </row>
    <row r="421" spans="1:16" ht="12.75">
      <c r="A421" s="334" t="s">
        <v>4560</v>
      </c>
      <c r="B421" s="334" t="s">
        <v>2423</v>
      </c>
      <c r="C421" s="332" t="s">
        <v>1564</v>
      </c>
      <c r="D421" s="333" t="s">
        <v>2425</v>
      </c>
      <c r="E421" s="42"/>
      <c r="F421" s="9"/>
      <c r="G421" s="9"/>
      <c r="H421" s="9"/>
      <c r="I421" s="9"/>
      <c r="J421" s="9"/>
      <c r="K421" s="9"/>
      <c r="L421" s="9"/>
      <c r="M421" s="2"/>
      <c r="N421" s="2"/>
      <c r="O421" s="2"/>
      <c r="P421" s="2"/>
    </row>
    <row r="422" spans="1:16" ht="12.75">
      <c r="A422" s="331" t="s">
        <v>4553</v>
      </c>
      <c r="B422" s="331" t="s">
        <v>2429</v>
      </c>
      <c r="C422" s="332" t="s">
        <v>2431</v>
      </c>
      <c r="D422" s="333" t="s">
        <v>2432</v>
      </c>
      <c r="E422" s="42"/>
      <c r="F422" s="9"/>
      <c r="G422" s="9"/>
      <c r="H422" s="9"/>
      <c r="I422" s="9"/>
      <c r="J422" s="9"/>
      <c r="K422" s="9"/>
      <c r="L422" s="9"/>
      <c r="M422" s="2"/>
      <c r="N422" s="2"/>
      <c r="O422" s="2"/>
      <c r="P422" s="2"/>
    </row>
    <row r="423" spans="1:16" ht="12.75">
      <c r="A423" s="331" t="s">
        <v>4545</v>
      </c>
      <c r="B423" s="331" t="s">
        <v>2442</v>
      </c>
      <c r="C423" s="332" t="s">
        <v>1218</v>
      </c>
      <c r="D423" s="333" t="s">
        <v>2444</v>
      </c>
      <c r="E423" s="42"/>
      <c r="F423" s="9"/>
      <c r="G423" s="9"/>
      <c r="H423" s="9"/>
      <c r="I423" s="9"/>
      <c r="J423" s="9"/>
      <c r="K423" s="9"/>
      <c r="L423" s="9"/>
      <c r="M423" s="2"/>
      <c r="N423" s="2"/>
      <c r="O423" s="2"/>
      <c r="P423" s="2"/>
    </row>
    <row r="424" spans="1:16" ht="12.75">
      <c r="A424" s="334" t="s">
        <v>4545</v>
      </c>
      <c r="B424" s="334" t="s">
        <v>2447</v>
      </c>
      <c r="C424" s="332" t="s">
        <v>1218</v>
      </c>
      <c r="D424" s="333" t="s">
        <v>2449</v>
      </c>
      <c r="E424" s="42"/>
      <c r="F424" s="9"/>
      <c r="G424" s="9"/>
      <c r="H424" s="9"/>
      <c r="I424" s="9"/>
      <c r="J424" s="9"/>
      <c r="K424" s="9"/>
      <c r="L424" s="9"/>
      <c r="M424" s="2"/>
      <c r="N424" s="2"/>
      <c r="O424" s="2"/>
      <c r="P424" s="2"/>
    </row>
    <row r="425" spans="1:16" ht="12.75">
      <c r="A425" s="331" t="s">
        <v>4572</v>
      </c>
      <c r="B425" s="331" t="s">
        <v>2465</v>
      </c>
      <c r="C425" s="332" t="s">
        <v>59</v>
      </c>
      <c r="D425" s="333" t="s">
        <v>1101</v>
      </c>
      <c r="E425" s="42"/>
      <c r="F425" s="9"/>
      <c r="G425" s="9"/>
      <c r="H425" s="9"/>
      <c r="I425" s="9"/>
      <c r="J425" s="9"/>
      <c r="K425" s="9"/>
      <c r="L425" s="9"/>
      <c r="M425" s="2"/>
      <c r="N425" s="2"/>
      <c r="O425" s="2"/>
      <c r="P425" s="2"/>
    </row>
    <row r="426" spans="1:16" ht="12.75">
      <c r="A426" s="334" t="s">
        <v>4553</v>
      </c>
      <c r="B426" s="334" t="s">
        <v>2226</v>
      </c>
      <c r="C426" s="332" t="s">
        <v>100</v>
      </c>
      <c r="D426" s="333" t="s">
        <v>180</v>
      </c>
      <c r="E426" s="42"/>
      <c r="F426" s="9"/>
      <c r="G426" s="9"/>
      <c r="H426" s="9"/>
      <c r="I426" s="9"/>
      <c r="J426" s="9"/>
      <c r="K426" s="9"/>
      <c r="L426" s="9"/>
      <c r="M426" s="2"/>
      <c r="N426" s="2"/>
      <c r="O426" s="2"/>
      <c r="P426" s="2"/>
    </row>
    <row r="427" spans="1:16" ht="12.75">
      <c r="A427" s="331" t="s">
        <v>2894</v>
      </c>
      <c r="B427" s="331" t="s">
        <v>2474</v>
      </c>
      <c r="C427" s="332" t="s">
        <v>269</v>
      </c>
      <c r="D427" s="333" t="s">
        <v>2476</v>
      </c>
      <c r="E427" s="42"/>
      <c r="F427" s="9"/>
      <c r="G427" s="9"/>
      <c r="H427" s="9"/>
      <c r="I427" s="9"/>
      <c r="J427" s="9"/>
      <c r="K427" s="9"/>
      <c r="L427" s="9"/>
      <c r="M427" s="2"/>
      <c r="N427" s="2"/>
      <c r="O427" s="2"/>
      <c r="P427" s="2"/>
    </row>
    <row r="428" spans="1:16" ht="12.75">
      <c r="A428" s="334" t="s">
        <v>2479</v>
      </c>
      <c r="B428" s="334" t="s">
        <v>2480</v>
      </c>
      <c r="C428" s="332" t="s">
        <v>223</v>
      </c>
      <c r="D428" s="333" t="s">
        <v>2482</v>
      </c>
      <c r="E428" s="42"/>
      <c r="F428" s="9"/>
      <c r="G428" s="9"/>
      <c r="H428" s="9"/>
      <c r="I428" s="9"/>
      <c r="J428" s="9"/>
      <c r="K428" s="9"/>
      <c r="L428" s="9"/>
      <c r="M428" s="2"/>
      <c r="N428" s="2"/>
      <c r="O428" s="2"/>
      <c r="P428" s="2"/>
    </row>
    <row r="429" spans="1:16" ht="12.75">
      <c r="A429" s="331" t="s">
        <v>4562</v>
      </c>
      <c r="B429" s="331" t="s">
        <v>342</v>
      </c>
      <c r="C429" s="332" t="s">
        <v>41</v>
      </c>
      <c r="D429" s="339" t="s">
        <v>105</v>
      </c>
      <c r="E429" s="42"/>
      <c r="F429" s="9"/>
      <c r="G429" s="9"/>
      <c r="H429" s="9"/>
      <c r="I429" s="9"/>
      <c r="J429" s="9"/>
      <c r="K429" s="9"/>
      <c r="L429" s="9"/>
      <c r="M429" s="2"/>
      <c r="N429" s="2"/>
      <c r="O429" s="2"/>
      <c r="P429" s="2"/>
    </row>
    <row r="430" spans="1:16" ht="12.75">
      <c r="A430" s="331" t="s">
        <v>4582</v>
      </c>
      <c r="B430" s="331" t="s">
        <v>2489</v>
      </c>
      <c r="C430" s="332" t="s">
        <v>599</v>
      </c>
      <c r="D430" s="333" t="s">
        <v>2491</v>
      </c>
      <c r="E430" s="42"/>
      <c r="F430" s="9"/>
      <c r="G430" s="9"/>
      <c r="H430" s="9"/>
      <c r="I430" s="9"/>
      <c r="J430" s="9"/>
      <c r="K430" s="9"/>
      <c r="L430" s="9"/>
      <c r="M430" s="2"/>
      <c r="N430" s="2"/>
      <c r="O430" s="2"/>
      <c r="P430" s="2"/>
    </row>
    <row r="431" spans="1:16" ht="12.75">
      <c r="A431" s="331" t="s">
        <v>4599</v>
      </c>
      <c r="B431" s="331" t="s">
        <v>2500</v>
      </c>
      <c r="C431" s="332" t="s">
        <v>916</v>
      </c>
      <c r="D431" s="333" t="s">
        <v>2502</v>
      </c>
      <c r="E431" s="42"/>
      <c r="F431" s="9"/>
      <c r="G431" s="9"/>
      <c r="H431" s="9"/>
      <c r="I431" s="9"/>
      <c r="J431" s="9"/>
      <c r="K431" s="9"/>
      <c r="L431" s="9"/>
      <c r="M431" s="2"/>
      <c r="N431" s="2"/>
      <c r="O431" s="2"/>
      <c r="P431" s="2"/>
    </row>
    <row r="432" spans="1:16" ht="12.75">
      <c r="A432" s="334" t="s">
        <v>4545</v>
      </c>
      <c r="B432" s="334" t="s">
        <v>2505</v>
      </c>
      <c r="C432" s="332" t="s">
        <v>2507</v>
      </c>
      <c r="D432" s="333" t="s">
        <v>2508</v>
      </c>
      <c r="E432" s="42"/>
      <c r="F432" s="9"/>
      <c r="G432" s="9"/>
      <c r="H432" s="9"/>
      <c r="I432" s="9"/>
      <c r="J432" s="9"/>
      <c r="K432" s="9"/>
      <c r="L432" s="9"/>
      <c r="M432" s="2"/>
      <c r="N432" s="2"/>
      <c r="O432" s="2"/>
      <c r="P432" s="2"/>
    </row>
    <row r="433" spans="1:16" ht="12.75">
      <c r="A433" s="334" t="s">
        <v>4568</v>
      </c>
      <c r="B433" s="334" t="s">
        <v>2516</v>
      </c>
      <c r="C433" s="332" t="s">
        <v>237</v>
      </c>
      <c r="D433" s="333" t="s">
        <v>2518</v>
      </c>
      <c r="E433" s="42"/>
      <c r="F433" s="9"/>
      <c r="G433" s="9"/>
      <c r="H433" s="9"/>
      <c r="I433" s="9"/>
      <c r="J433" s="9"/>
      <c r="K433" s="9"/>
      <c r="L433" s="9"/>
      <c r="M433" s="2"/>
      <c r="N433" s="2"/>
      <c r="O433" s="2"/>
      <c r="P433" s="2"/>
    </row>
    <row r="434" spans="1:16" ht="12.75">
      <c r="A434" s="331" t="s">
        <v>4568</v>
      </c>
      <c r="B434" s="331" t="s">
        <v>361</v>
      </c>
      <c r="C434" s="332" t="s">
        <v>65</v>
      </c>
      <c r="D434" s="333" t="s">
        <v>363</v>
      </c>
      <c r="E434" s="42"/>
      <c r="F434" s="9"/>
      <c r="G434" s="9"/>
      <c r="H434" s="9"/>
      <c r="I434" s="9"/>
      <c r="J434" s="9"/>
      <c r="K434" s="9"/>
      <c r="L434" s="9"/>
      <c r="M434" s="2"/>
      <c r="N434" s="2"/>
      <c r="O434" s="2"/>
      <c r="P434" s="2"/>
    </row>
    <row r="435" spans="1:16" ht="12.75">
      <c r="A435" s="334" t="s">
        <v>4557</v>
      </c>
      <c r="B435" s="334" t="s">
        <v>2523</v>
      </c>
      <c r="C435" s="332" t="s">
        <v>203</v>
      </c>
      <c r="D435" s="333" t="s">
        <v>204</v>
      </c>
      <c r="E435" s="42"/>
      <c r="F435" s="9"/>
      <c r="G435" s="9"/>
      <c r="H435" s="9"/>
      <c r="I435" s="9"/>
      <c r="J435" s="9"/>
      <c r="K435" s="9"/>
      <c r="L435" s="9"/>
      <c r="M435" s="2"/>
      <c r="N435" s="2"/>
      <c r="O435" s="2"/>
      <c r="P435" s="2"/>
    </row>
    <row r="436" spans="1:16" ht="12.75">
      <c r="A436" s="331" t="s">
        <v>4545</v>
      </c>
      <c r="B436" s="331" t="s">
        <v>2526</v>
      </c>
      <c r="C436" s="332" t="s">
        <v>59</v>
      </c>
      <c r="D436" s="333" t="s">
        <v>2212</v>
      </c>
      <c r="E436" s="42"/>
      <c r="F436" s="9"/>
      <c r="G436" s="9"/>
      <c r="H436" s="9"/>
      <c r="I436" s="9"/>
      <c r="J436" s="9"/>
      <c r="K436" s="9"/>
      <c r="L436" s="9"/>
      <c r="M436" s="2"/>
      <c r="N436" s="2"/>
      <c r="O436" s="2"/>
      <c r="P436" s="2"/>
    </row>
    <row r="437" spans="1:16" ht="12.75">
      <c r="A437" s="334" t="s">
        <v>4557</v>
      </c>
      <c r="B437" s="334" t="s">
        <v>2531</v>
      </c>
      <c r="C437" s="332" t="s">
        <v>203</v>
      </c>
      <c r="D437" s="333" t="s">
        <v>204</v>
      </c>
      <c r="E437" s="42"/>
      <c r="F437" s="9"/>
      <c r="G437" s="9"/>
      <c r="H437" s="9"/>
      <c r="I437" s="9"/>
      <c r="J437" s="9"/>
      <c r="K437" s="9"/>
      <c r="L437" s="9"/>
      <c r="M437" s="2"/>
      <c r="N437" s="2"/>
      <c r="O437" s="2"/>
      <c r="P437" s="2"/>
    </row>
    <row r="438" spans="1:16" ht="12.75">
      <c r="A438" s="334" t="s">
        <v>4568</v>
      </c>
      <c r="B438" s="334" t="s">
        <v>2537</v>
      </c>
      <c r="C438" s="332" t="s">
        <v>2539</v>
      </c>
      <c r="D438" s="333" t="s">
        <v>411</v>
      </c>
      <c r="E438" s="42"/>
      <c r="F438" s="9"/>
      <c r="G438" s="9"/>
      <c r="H438" s="9"/>
      <c r="I438" s="9"/>
      <c r="J438" s="9"/>
      <c r="K438" s="9"/>
      <c r="L438" s="9"/>
      <c r="M438" s="2"/>
      <c r="N438" s="2"/>
      <c r="O438" s="2"/>
      <c r="P438" s="2"/>
    </row>
    <row r="439" spans="1:16" ht="12.75">
      <c r="A439" s="334" t="s">
        <v>4551</v>
      </c>
      <c r="B439" s="334" t="s">
        <v>2546</v>
      </c>
      <c r="C439" s="332" t="s">
        <v>1218</v>
      </c>
      <c r="D439" s="333" t="s">
        <v>2548</v>
      </c>
      <c r="E439" s="42"/>
      <c r="F439" s="9"/>
      <c r="G439" s="9"/>
      <c r="H439" s="9"/>
      <c r="I439" s="9"/>
      <c r="J439" s="9"/>
      <c r="K439" s="9"/>
      <c r="L439" s="9"/>
      <c r="M439" s="2"/>
      <c r="N439" s="2"/>
      <c r="O439" s="2"/>
      <c r="P439" s="2"/>
    </row>
    <row r="440" spans="1:16" ht="12.75">
      <c r="A440" s="331" t="s">
        <v>4554</v>
      </c>
      <c r="B440" s="331" t="s">
        <v>975</v>
      </c>
      <c r="C440" s="332" t="s">
        <v>2342</v>
      </c>
      <c r="D440" s="333" t="s">
        <v>978</v>
      </c>
      <c r="E440" s="42"/>
      <c r="F440" s="9"/>
      <c r="G440" s="9"/>
      <c r="H440" s="9"/>
      <c r="I440" s="9"/>
      <c r="J440" s="9"/>
      <c r="K440" s="9"/>
      <c r="L440" s="9"/>
      <c r="M440" s="2"/>
      <c r="N440" s="2"/>
      <c r="O440" s="2"/>
      <c r="P440" s="2"/>
    </row>
    <row r="441" spans="1:16" ht="12.75">
      <c r="A441" s="334" t="s">
        <v>4572</v>
      </c>
      <c r="B441" s="334" t="s">
        <v>1725</v>
      </c>
      <c r="C441" s="332" t="s">
        <v>599</v>
      </c>
      <c r="D441" s="333" t="s">
        <v>2555</v>
      </c>
      <c r="E441" s="42"/>
      <c r="F441" s="9"/>
      <c r="G441" s="9"/>
      <c r="H441" s="9"/>
      <c r="I441" s="9"/>
      <c r="J441" s="9"/>
      <c r="K441" s="9"/>
      <c r="L441" s="9"/>
      <c r="M441" s="2"/>
      <c r="N441" s="2"/>
      <c r="O441" s="2"/>
      <c r="P441" s="2"/>
    </row>
    <row r="442" spans="1:16" ht="12.75">
      <c r="A442" s="334" t="s">
        <v>4572</v>
      </c>
      <c r="B442" s="334" t="s">
        <v>2563</v>
      </c>
      <c r="C442" s="332" t="s">
        <v>14</v>
      </c>
      <c r="D442" s="333" t="s">
        <v>105</v>
      </c>
      <c r="E442" s="42"/>
      <c r="F442" s="9"/>
      <c r="G442" s="9"/>
      <c r="H442" s="9"/>
      <c r="I442" s="9"/>
      <c r="J442" s="9"/>
      <c r="K442" s="9"/>
      <c r="L442" s="9"/>
      <c r="M442" s="2"/>
      <c r="N442" s="2"/>
      <c r="O442" s="2"/>
      <c r="P442" s="2"/>
    </row>
    <row r="443" spans="1:16" ht="12.75">
      <c r="A443" s="331" t="s">
        <v>4545</v>
      </c>
      <c r="B443" s="331" t="s">
        <v>2566</v>
      </c>
      <c r="C443" s="332" t="s">
        <v>495</v>
      </c>
      <c r="D443" s="333" t="s">
        <v>2568</v>
      </c>
      <c r="E443" s="42"/>
      <c r="F443" s="9"/>
      <c r="G443" s="9"/>
      <c r="H443" s="9"/>
      <c r="I443" s="9"/>
      <c r="J443" s="9"/>
      <c r="K443" s="9"/>
      <c r="L443" s="9"/>
      <c r="M443" s="2"/>
      <c r="N443" s="2"/>
      <c r="O443" s="2"/>
      <c r="P443" s="2"/>
    </row>
    <row r="444" spans="1:16">
      <c r="A444" s="334" t="s">
        <v>4554</v>
      </c>
      <c r="B444" s="334" t="s">
        <v>2571</v>
      </c>
      <c r="C444" s="332" t="s">
        <v>2573</v>
      </c>
      <c r="D444" s="386" t="s">
        <v>2575</v>
      </c>
      <c r="E444" s="42"/>
      <c r="F444" s="9"/>
      <c r="G444" s="9"/>
      <c r="H444" s="9"/>
      <c r="I444" s="9"/>
      <c r="J444" s="9"/>
      <c r="K444" s="9"/>
      <c r="L444" s="9"/>
      <c r="M444" s="2"/>
      <c r="N444" s="2"/>
      <c r="O444" s="2"/>
      <c r="P444" s="2"/>
    </row>
    <row r="445" spans="1:16" ht="12.75">
      <c r="A445" s="331" t="s">
        <v>4582</v>
      </c>
      <c r="B445" s="331" t="s">
        <v>2579</v>
      </c>
      <c r="C445" s="332" t="s">
        <v>2581</v>
      </c>
      <c r="D445" s="333" t="s">
        <v>2582</v>
      </c>
      <c r="E445" s="42"/>
      <c r="F445" s="9"/>
      <c r="G445" s="9"/>
      <c r="H445" s="9"/>
      <c r="I445" s="9"/>
      <c r="J445" s="9"/>
      <c r="K445" s="9"/>
      <c r="L445" s="9"/>
      <c r="M445" s="2"/>
      <c r="N445" s="2"/>
      <c r="O445" s="2"/>
      <c r="P445" s="2"/>
    </row>
    <row r="446" spans="1:16" ht="12.75">
      <c r="A446" s="331" t="s">
        <v>4562</v>
      </c>
      <c r="B446" s="331" t="s">
        <v>2590</v>
      </c>
      <c r="C446" s="332" t="s">
        <v>2592</v>
      </c>
      <c r="D446" s="333" t="s">
        <v>2593</v>
      </c>
      <c r="E446" s="42"/>
      <c r="F446" s="9"/>
      <c r="G446" s="9"/>
      <c r="H446" s="9"/>
      <c r="I446" s="9"/>
      <c r="J446" s="9"/>
      <c r="K446" s="9"/>
      <c r="L446" s="9"/>
      <c r="M446" s="2"/>
      <c r="N446" s="2"/>
      <c r="O446" s="2"/>
      <c r="P446" s="2"/>
    </row>
    <row r="447" spans="1:16" ht="12.75">
      <c r="A447" s="334" t="s">
        <v>4600</v>
      </c>
      <c r="B447" s="334" t="s">
        <v>2594</v>
      </c>
      <c r="C447" s="332" t="s">
        <v>2596</v>
      </c>
      <c r="D447" s="369" t="s">
        <v>2597</v>
      </c>
      <c r="E447" s="42"/>
      <c r="F447" s="9"/>
      <c r="G447" s="9"/>
      <c r="H447" s="9"/>
      <c r="I447" s="9"/>
      <c r="J447" s="9"/>
      <c r="K447" s="9"/>
      <c r="L447" s="9"/>
      <c r="M447" s="2"/>
      <c r="N447" s="2"/>
      <c r="O447" s="2"/>
      <c r="P447" s="2"/>
    </row>
    <row r="448" spans="1:16" ht="12.75">
      <c r="A448" s="331" t="s">
        <v>4550</v>
      </c>
      <c r="B448" s="331" t="s">
        <v>2600</v>
      </c>
      <c r="C448" s="332" t="s">
        <v>2596</v>
      </c>
      <c r="D448" s="369" t="s">
        <v>2597</v>
      </c>
      <c r="E448" s="42"/>
      <c r="F448" s="9"/>
      <c r="G448" s="9"/>
      <c r="H448" s="9"/>
      <c r="I448" s="9"/>
      <c r="J448" s="9"/>
      <c r="K448" s="9"/>
      <c r="L448" s="9"/>
      <c r="M448" s="2"/>
      <c r="N448" s="2"/>
      <c r="O448" s="2"/>
      <c r="P448" s="2"/>
    </row>
    <row r="449" spans="1:16" ht="12.75">
      <c r="A449" s="331" t="s">
        <v>4548</v>
      </c>
      <c r="B449" s="331" t="s">
        <v>2608</v>
      </c>
      <c r="C449" s="332" t="s">
        <v>2610</v>
      </c>
      <c r="D449" s="333" t="s">
        <v>1639</v>
      </c>
      <c r="E449" s="42"/>
      <c r="F449" s="9"/>
      <c r="G449" s="9"/>
      <c r="H449" s="9"/>
      <c r="I449" s="9"/>
      <c r="J449" s="9"/>
      <c r="K449" s="9"/>
      <c r="L449" s="9"/>
      <c r="M449" s="2"/>
      <c r="N449" s="2"/>
      <c r="O449" s="2"/>
      <c r="P449" s="2"/>
    </row>
    <row r="450" spans="1:16" ht="12.75">
      <c r="A450" s="331" t="s">
        <v>4545</v>
      </c>
      <c r="B450" s="331" t="s">
        <v>999</v>
      </c>
      <c r="C450" s="332" t="s">
        <v>2618</v>
      </c>
      <c r="D450" s="333" t="s">
        <v>105</v>
      </c>
      <c r="E450" s="42"/>
      <c r="F450" s="9"/>
      <c r="G450" s="9"/>
      <c r="H450" s="9"/>
      <c r="I450" s="9"/>
      <c r="J450" s="9"/>
      <c r="K450" s="9"/>
      <c r="L450" s="9"/>
      <c r="M450" s="2"/>
      <c r="N450" s="2"/>
      <c r="O450" s="2"/>
      <c r="P450" s="2"/>
    </row>
    <row r="451" spans="1:16" ht="12.75">
      <c r="A451" s="334" t="s">
        <v>4545</v>
      </c>
      <c r="B451" s="334" t="s">
        <v>2622</v>
      </c>
      <c r="C451" s="332" t="s">
        <v>223</v>
      </c>
      <c r="D451" s="333" t="s">
        <v>180</v>
      </c>
      <c r="E451" s="42"/>
      <c r="F451" s="9"/>
      <c r="G451" s="9"/>
      <c r="H451" s="9"/>
      <c r="I451" s="9"/>
      <c r="J451" s="9"/>
      <c r="K451" s="9"/>
      <c r="L451" s="9"/>
      <c r="M451" s="2"/>
      <c r="N451" s="2"/>
      <c r="O451" s="2"/>
      <c r="P451" s="2"/>
    </row>
    <row r="452" spans="1:16" ht="12.75">
      <c r="A452" s="331" t="s">
        <v>2626</v>
      </c>
      <c r="B452" s="331" t="s">
        <v>1449</v>
      </c>
      <c r="C452" s="332" t="s">
        <v>2628</v>
      </c>
      <c r="D452" s="333" t="s">
        <v>1452</v>
      </c>
      <c r="E452" s="42"/>
      <c r="F452" s="9"/>
      <c r="G452" s="9"/>
      <c r="H452" s="9"/>
      <c r="I452" s="9"/>
      <c r="J452" s="9"/>
      <c r="K452" s="9"/>
      <c r="L452" s="9"/>
      <c r="M452" s="2"/>
      <c r="N452" s="2"/>
      <c r="O452" s="2"/>
      <c r="P452" s="2"/>
    </row>
    <row r="453" spans="1:16" ht="12.75">
      <c r="A453" s="334" t="s">
        <v>4545</v>
      </c>
      <c r="B453" s="334" t="s">
        <v>2631</v>
      </c>
      <c r="C453" s="332"/>
      <c r="D453" s="333" t="s">
        <v>180</v>
      </c>
      <c r="E453" s="42"/>
      <c r="F453" s="9"/>
      <c r="G453" s="9"/>
      <c r="H453" s="9"/>
      <c r="I453" s="9"/>
      <c r="J453" s="9"/>
      <c r="K453" s="9"/>
      <c r="L453" s="9"/>
      <c r="M453" s="2"/>
      <c r="N453" s="2"/>
      <c r="O453" s="2"/>
      <c r="P453" s="2"/>
    </row>
    <row r="454" spans="1:16" ht="12.75">
      <c r="A454" s="331" t="s">
        <v>4545</v>
      </c>
      <c r="B454" s="331" t="s">
        <v>2634</v>
      </c>
      <c r="C454" s="332" t="s">
        <v>2137</v>
      </c>
      <c r="D454" s="333" t="s">
        <v>2636</v>
      </c>
      <c r="E454" s="42"/>
      <c r="F454" s="9"/>
      <c r="G454" s="9"/>
      <c r="H454" s="9"/>
      <c r="I454" s="9"/>
      <c r="J454" s="9"/>
      <c r="K454" s="9"/>
      <c r="L454" s="9"/>
      <c r="M454" s="2"/>
      <c r="N454" s="2"/>
      <c r="O454" s="2"/>
      <c r="P454" s="2"/>
    </row>
    <row r="455" spans="1:16" ht="12.75">
      <c r="A455" s="334" t="s">
        <v>4557</v>
      </c>
      <c r="B455" s="334" t="s">
        <v>2639</v>
      </c>
      <c r="C455" s="332" t="s">
        <v>2641</v>
      </c>
      <c r="D455" s="333" t="s">
        <v>2643</v>
      </c>
      <c r="E455" s="42"/>
      <c r="F455" s="9"/>
      <c r="G455" s="9"/>
      <c r="H455" s="9"/>
      <c r="I455" s="9"/>
      <c r="J455" s="9"/>
      <c r="K455" s="9"/>
      <c r="L455" s="9"/>
      <c r="M455" s="2"/>
      <c r="N455" s="2"/>
      <c r="O455" s="2"/>
      <c r="P455" s="2"/>
    </row>
    <row r="456" spans="1:16" ht="12.75">
      <c r="A456" s="331" t="s">
        <v>4562</v>
      </c>
      <c r="B456" s="331" t="s">
        <v>2646</v>
      </c>
      <c r="C456" s="332" t="s">
        <v>2247</v>
      </c>
      <c r="D456" s="333" t="s">
        <v>1508</v>
      </c>
      <c r="E456" s="42"/>
      <c r="F456" s="9"/>
      <c r="G456" s="9"/>
      <c r="H456" s="9"/>
      <c r="I456" s="9"/>
      <c r="J456" s="9"/>
      <c r="K456" s="9"/>
      <c r="L456" s="9"/>
      <c r="M456" s="2"/>
      <c r="N456" s="2"/>
      <c r="O456" s="2"/>
      <c r="P456" s="2"/>
    </row>
    <row r="457" spans="1:16" ht="12.75">
      <c r="A457" s="334" t="s">
        <v>4554</v>
      </c>
      <c r="B457" s="334" t="s">
        <v>2650</v>
      </c>
      <c r="C457" s="332" t="s">
        <v>599</v>
      </c>
      <c r="D457" s="333" t="s">
        <v>2652</v>
      </c>
      <c r="E457" s="42"/>
      <c r="F457" s="9"/>
      <c r="G457" s="9"/>
      <c r="H457" s="9"/>
      <c r="I457" s="9"/>
      <c r="J457" s="9"/>
      <c r="K457" s="9"/>
      <c r="L457" s="9"/>
      <c r="M457" s="2"/>
      <c r="N457" s="2"/>
      <c r="O457" s="2"/>
      <c r="P457" s="2"/>
    </row>
    <row r="458" spans="1:16" ht="12.75">
      <c r="A458" s="331" t="s">
        <v>4553</v>
      </c>
      <c r="B458" s="331" t="s">
        <v>2655</v>
      </c>
      <c r="C458" s="332" t="s">
        <v>2657</v>
      </c>
      <c r="D458" s="333" t="s">
        <v>2658</v>
      </c>
      <c r="E458" s="42"/>
      <c r="F458" s="9"/>
      <c r="G458" s="9"/>
      <c r="H458" s="9"/>
      <c r="I458" s="9"/>
      <c r="J458" s="9"/>
      <c r="K458" s="9"/>
      <c r="L458" s="9"/>
      <c r="M458" s="2"/>
      <c r="N458" s="2"/>
      <c r="O458" s="2"/>
      <c r="P458" s="2"/>
    </row>
    <row r="459" spans="1:16" ht="12.75">
      <c r="A459" s="334" t="s">
        <v>2661</v>
      </c>
      <c r="B459" s="334" t="s">
        <v>2662</v>
      </c>
      <c r="C459" s="332" t="s">
        <v>2664</v>
      </c>
      <c r="D459" s="333" t="s">
        <v>2665</v>
      </c>
      <c r="E459" s="42"/>
      <c r="F459" s="9"/>
      <c r="G459" s="9"/>
      <c r="H459" s="9"/>
      <c r="I459" s="9"/>
      <c r="J459" s="9"/>
      <c r="K459" s="9"/>
      <c r="L459" s="9"/>
      <c r="M459" s="2"/>
      <c r="N459" s="2"/>
      <c r="O459" s="2"/>
      <c r="P459" s="2"/>
    </row>
    <row r="460" spans="1:16" ht="12.75">
      <c r="A460" s="331" t="s">
        <v>2668</v>
      </c>
      <c r="B460" s="331" t="s">
        <v>2669</v>
      </c>
      <c r="C460" s="332" t="s">
        <v>2671</v>
      </c>
      <c r="D460" s="333" t="s">
        <v>2672</v>
      </c>
      <c r="E460" s="42"/>
      <c r="F460" s="9"/>
      <c r="G460" s="9"/>
      <c r="H460" s="9"/>
      <c r="I460" s="9"/>
      <c r="J460" s="9"/>
      <c r="K460" s="9"/>
      <c r="L460" s="9"/>
      <c r="M460" s="2"/>
      <c r="N460" s="2"/>
      <c r="O460" s="2"/>
      <c r="P460" s="2"/>
    </row>
    <row r="461" spans="1:16" ht="12.75">
      <c r="A461" s="334" t="s">
        <v>4545</v>
      </c>
      <c r="B461" s="334" t="s">
        <v>2676</v>
      </c>
      <c r="C461" s="351"/>
      <c r="D461" s="333" t="s">
        <v>105</v>
      </c>
      <c r="E461" s="42"/>
      <c r="F461" s="9"/>
      <c r="G461" s="9"/>
      <c r="H461" s="9"/>
      <c r="I461" s="9"/>
      <c r="J461" s="9"/>
      <c r="K461" s="9"/>
      <c r="L461" s="9"/>
      <c r="M461" s="2"/>
      <c r="N461" s="2"/>
      <c r="O461" s="2"/>
      <c r="P461" s="2"/>
    </row>
    <row r="462" spans="1:16" ht="12.75">
      <c r="A462" s="331" t="s">
        <v>4572</v>
      </c>
      <c r="B462" s="331" t="s">
        <v>2679</v>
      </c>
      <c r="C462" s="332" t="s">
        <v>237</v>
      </c>
      <c r="D462" s="333" t="s">
        <v>2681</v>
      </c>
      <c r="E462" s="42"/>
      <c r="F462" s="9"/>
      <c r="G462" s="9"/>
      <c r="H462" s="9"/>
      <c r="I462" s="9"/>
      <c r="J462" s="9"/>
      <c r="K462" s="9"/>
      <c r="L462" s="9"/>
      <c r="M462" s="2"/>
      <c r="N462" s="2"/>
      <c r="O462" s="2"/>
      <c r="P462" s="2"/>
    </row>
    <row r="463" spans="1:16" ht="12.75">
      <c r="A463" s="334" t="s">
        <v>4553</v>
      </c>
      <c r="B463" s="334" t="s">
        <v>2685</v>
      </c>
      <c r="C463" s="332" t="s">
        <v>2687</v>
      </c>
      <c r="D463" s="333" t="s">
        <v>2689</v>
      </c>
      <c r="E463" s="42"/>
      <c r="F463" s="9"/>
      <c r="G463" s="9"/>
      <c r="H463" s="9"/>
      <c r="I463" s="9"/>
      <c r="J463" s="9"/>
      <c r="K463" s="9"/>
      <c r="L463" s="9"/>
      <c r="M463" s="2"/>
      <c r="N463" s="2"/>
      <c r="O463" s="2"/>
      <c r="P463" s="2"/>
    </row>
    <row r="464" spans="1:16" ht="12.75">
      <c r="A464" s="331" t="s">
        <v>4560</v>
      </c>
      <c r="B464" s="331" t="s">
        <v>2692</v>
      </c>
      <c r="C464" s="332" t="s">
        <v>1245</v>
      </c>
      <c r="D464" s="333" t="s">
        <v>2694</v>
      </c>
      <c r="E464" s="42"/>
      <c r="F464" s="9"/>
      <c r="G464" s="9"/>
      <c r="H464" s="9"/>
      <c r="I464" s="9"/>
      <c r="J464" s="9"/>
      <c r="K464" s="9"/>
      <c r="L464" s="9"/>
      <c r="M464" s="2"/>
      <c r="N464" s="2"/>
      <c r="O464" s="2"/>
      <c r="P464" s="2"/>
    </row>
    <row r="465" spans="1:16" ht="12.75">
      <c r="A465" s="334" t="s">
        <v>4550</v>
      </c>
      <c r="B465" s="334" t="s">
        <v>681</v>
      </c>
      <c r="C465" s="332" t="s">
        <v>2699</v>
      </c>
      <c r="D465" s="333" t="s">
        <v>224</v>
      </c>
      <c r="E465" s="42"/>
      <c r="F465" s="9"/>
      <c r="G465" s="9"/>
      <c r="H465" s="9"/>
      <c r="I465" s="9"/>
      <c r="J465" s="9"/>
      <c r="K465" s="9"/>
      <c r="L465" s="9"/>
      <c r="M465" s="2"/>
      <c r="N465" s="2"/>
      <c r="O465" s="2"/>
      <c r="P465" s="2"/>
    </row>
    <row r="466" spans="1:16" ht="12.75">
      <c r="A466" s="331" t="s">
        <v>4562</v>
      </c>
      <c r="B466" s="331" t="s">
        <v>2676</v>
      </c>
      <c r="C466" s="332" t="s">
        <v>2699</v>
      </c>
      <c r="D466" s="333" t="s">
        <v>105</v>
      </c>
      <c r="E466" s="42"/>
      <c r="F466" s="9"/>
      <c r="G466" s="9"/>
      <c r="H466" s="9"/>
      <c r="I466" s="9"/>
      <c r="J466" s="9"/>
      <c r="K466" s="9"/>
      <c r="L466" s="9"/>
      <c r="M466" s="2"/>
      <c r="N466" s="2"/>
      <c r="O466" s="2"/>
      <c r="P466" s="2"/>
    </row>
    <row r="467" spans="1:16" ht="12.75">
      <c r="A467" s="334" t="s">
        <v>4545</v>
      </c>
      <c r="B467" s="334" t="s">
        <v>2704</v>
      </c>
      <c r="C467" s="332" t="s">
        <v>2706</v>
      </c>
      <c r="D467" s="333" t="s">
        <v>2707</v>
      </c>
      <c r="E467" s="42"/>
      <c r="F467" s="9"/>
      <c r="G467" s="9"/>
      <c r="H467" s="9"/>
      <c r="I467" s="9"/>
      <c r="J467" s="9"/>
      <c r="K467" s="9"/>
      <c r="L467" s="9"/>
      <c r="M467" s="2"/>
      <c r="N467" s="2"/>
      <c r="O467" s="2"/>
      <c r="P467" s="2"/>
    </row>
    <row r="468" spans="1:16" ht="12.75">
      <c r="A468" s="331" t="s">
        <v>4572</v>
      </c>
      <c r="B468" s="331" t="s">
        <v>2711</v>
      </c>
      <c r="C468" s="332" t="s">
        <v>2713</v>
      </c>
      <c r="D468" s="333" t="s">
        <v>2714</v>
      </c>
      <c r="E468" s="42"/>
      <c r="F468" s="9"/>
      <c r="G468" s="9"/>
      <c r="H468" s="9"/>
      <c r="I468" s="9"/>
      <c r="J468" s="9"/>
      <c r="K468" s="9"/>
      <c r="L468" s="9"/>
      <c r="M468" s="2"/>
      <c r="N468" s="2"/>
      <c r="O468" s="2"/>
      <c r="P468" s="2"/>
    </row>
    <row r="469" spans="1:16" ht="12.75">
      <c r="A469" s="334" t="s">
        <v>4558</v>
      </c>
      <c r="B469" s="334" t="s">
        <v>2717</v>
      </c>
      <c r="C469" s="332" t="s">
        <v>2718</v>
      </c>
      <c r="D469" s="333" t="s">
        <v>470</v>
      </c>
      <c r="E469" s="42"/>
      <c r="F469" s="9"/>
      <c r="G469" s="9"/>
      <c r="H469" s="9"/>
      <c r="I469" s="9"/>
      <c r="J469" s="9"/>
      <c r="K469" s="9"/>
      <c r="L469" s="9"/>
      <c r="M469" s="2"/>
      <c r="N469" s="2"/>
      <c r="O469" s="2"/>
      <c r="P469" s="2"/>
    </row>
    <row r="470" spans="1:16" ht="12.75">
      <c r="A470" s="331" t="s">
        <v>2725</v>
      </c>
      <c r="B470" s="331" t="s">
        <v>2726</v>
      </c>
      <c r="C470" s="332" t="s">
        <v>2728</v>
      </c>
      <c r="D470" s="333" t="s">
        <v>1508</v>
      </c>
      <c r="E470" s="42"/>
      <c r="F470" s="9"/>
      <c r="G470" s="9"/>
      <c r="H470" s="9"/>
      <c r="I470" s="9"/>
      <c r="J470" s="9"/>
      <c r="K470" s="9"/>
      <c r="L470" s="9"/>
      <c r="M470" s="2"/>
      <c r="N470" s="2"/>
      <c r="O470" s="2"/>
      <c r="P470" s="2"/>
    </row>
    <row r="471" spans="1:16" ht="12.75">
      <c r="A471" s="334" t="s">
        <v>4545</v>
      </c>
      <c r="B471" s="334" t="s">
        <v>2731</v>
      </c>
      <c r="C471" s="332" t="s">
        <v>2733</v>
      </c>
      <c r="D471" s="333" t="s">
        <v>2734</v>
      </c>
      <c r="E471" s="42"/>
      <c r="F471" s="9"/>
      <c r="G471" s="9"/>
      <c r="H471" s="9"/>
      <c r="I471" s="9"/>
      <c r="J471" s="9"/>
      <c r="K471" s="9"/>
      <c r="L471" s="9"/>
      <c r="M471" s="2"/>
      <c r="N471" s="2"/>
      <c r="O471" s="2"/>
      <c r="P471" s="2"/>
    </row>
    <row r="472" spans="1:16" ht="12.75">
      <c r="A472" s="334" t="s">
        <v>4554</v>
      </c>
      <c r="B472" s="334" t="s">
        <v>2740</v>
      </c>
      <c r="C472" s="332" t="s">
        <v>218</v>
      </c>
      <c r="D472" s="333" t="s">
        <v>2742</v>
      </c>
      <c r="E472" s="42"/>
      <c r="F472" s="9"/>
      <c r="G472" s="9"/>
      <c r="H472" s="9"/>
      <c r="I472" s="9"/>
      <c r="J472" s="9"/>
      <c r="K472" s="9"/>
      <c r="L472" s="9"/>
      <c r="M472" s="2"/>
      <c r="N472" s="2"/>
      <c r="O472" s="2"/>
      <c r="P472" s="2"/>
    </row>
    <row r="473" spans="1:16" ht="12.75">
      <c r="A473" s="331" t="s">
        <v>4554</v>
      </c>
      <c r="B473" s="331" t="s">
        <v>2746</v>
      </c>
      <c r="C473" s="332" t="s">
        <v>223</v>
      </c>
      <c r="D473" s="333" t="s">
        <v>180</v>
      </c>
      <c r="E473" s="42"/>
      <c r="F473" s="9"/>
      <c r="G473" s="9"/>
      <c r="H473" s="9"/>
      <c r="I473" s="9"/>
      <c r="J473" s="9"/>
      <c r="K473" s="9"/>
      <c r="L473" s="9"/>
      <c r="M473" s="2"/>
      <c r="N473" s="2"/>
      <c r="O473" s="2"/>
      <c r="P473" s="2"/>
    </row>
    <row r="474" spans="1:16" ht="12.75">
      <c r="A474" s="331" t="s">
        <v>4545</v>
      </c>
      <c r="B474" s="331" t="s">
        <v>2750</v>
      </c>
      <c r="C474" s="332" t="s">
        <v>1218</v>
      </c>
      <c r="D474" s="333" t="s">
        <v>1942</v>
      </c>
      <c r="E474" s="42"/>
      <c r="F474" s="9"/>
      <c r="G474" s="9"/>
      <c r="H474" s="9"/>
      <c r="I474" s="9"/>
      <c r="J474" s="9"/>
      <c r="K474" s="9"/>
      <c r="L474" s="9"/>
      <c r="M474" s="2"/>
      <c r="N474" s="2"/>
      <c r="O474" s="2"/>
      <c r="P474" s="2"/>
    </row>
    <row r="475" spans="1:16" ht="12.75">
      <c r="A475" s="334" t="s">
        <v>4554</v>
      </c>
      <c r="B475" s="334" t="s">
        <v>2753</v>
      </c>
      <c r="C475" s="332" t="s">
        <v>269</v>
      </c>
      <c r="D475" s="333" t="s">
        <v>2756</v>
      </c>
      <c r="E475" s="42"/>
      <c r="F475" s="9"/>
      <c r="G475" s="9"/>
      <c r="H475" s="9"/>
      <c r="I475" s="9"/>
      <c r="J475" s="9"/>
      <c r="K475" s="9"/>
      <c r="L475" s="9"/>
      <c r="M475" s="2"/>
      <c r="N475" s="2"/>
      <c r="O475" s="2"/>
      <c r="P475" s="2"/>
    </row>
    <row r="476" spans="1:16" ht="12.75">
      <c r="A476" s="331" t="s">
        <v>4554</v>
      </c>
      <c r="B476" s="331" t="s">
        <v>2650</v>
      </c>
      <c r="C476" s="332" t="s">
        <v>599</v>
      </c>
      <c r="D476" s="333" t="s">
        <v>2759</v>
      </c>
      <c r="E476" s="42"/>
      <c r="F476" s="9"/>
      <c r="G476" s="9"/>
      <c r="H476" s="9"/>
      <c r="I476" s="9"/>
      <c r="J476" s="9"/>
      <c r="K476" s="9"/>
      <c r="L476" s="9"/>
      <c r="M476" s="2"/>
      <c r="N476" s="2"/>
      <c r="O476" s="2"/>
      <c r="P476" s="2"/>
    </row>
    <row r="477" spans="1:16" ht="12.75">
      <c r="A477" s="334" t="s">
        <v>998</v>
      </c>
      <c r="B477" s="334" t="s">
        <v>2762</v>
      </c>
      <c r="C477" s="332" t="s">
        <v>2764</v>
      </c>
      <c r="D477" s="333" t="s">
        <v>2765</v>
      </c>
      <c r="E477" s="42"/>
      <c r="F477" s="9"/>
      <c r="G477" s="9"/>
      <c r="H477" s="9"/>
      <c r="I477" s="9"/>
      <c r="J477" s="9"/>
      <c r="K477" s="9"/>
      <c r="L477" s="9"/>
      <c r="M477" s="2"/>
      <c r="N477" s="2"/>
      <c r="O477" s="2"/>
      <c r="P477" s="2"/>
    </row>
    <row r="478" spans="1:16" ht="12.75">
      <c r="A478" s="331" t="s">
        <v>998</v>
      </c>
      <c r="B478" s="331" t="s">
        <v>342</v>
      </c>
      <c r="C478" s="332" t="s">
        <v>41</v>
      </c>
      <c r="D478" s="333" t="s">
        <v>105</v>
      </c>
      <c r="E478" s="42"/>
      <c r="F478" s="9"/>
      <c r="G478" s="9"/>
      <c r="H478" s="9"/>
      <c r="I478" s="9"/>
      <c r="J478" s="9"/>
      <c r="K478" s="9"/>
      <c r="L478" s="9"/>
      <c r="M478" s="2"/>
      <c r="N478" s="2"/>
      <c r="O478" s="2"/>
      <c r="P478" s="2"/>
    </row>
    <row r="479" spans="1:16" ht="12.75">
      <c r="A479" s="334" t="s">
        <v>2894</v>
      </c>
      <c r="B479" s="334" t="s">
        <v>2772</v>
      </c>
      <c r="C479" s="332" t="s">
        <v>356</v>
      </c>
      <c r="D479" s="339" t="s">
        <v>105</v>
      </c>
      <c r="E479" s="42"/>
      <c r="F479" s="9"/>
      <c r="G479" s="9"/>
      <c r="H479" s="9"/>
      <c r="I479" s="9"/>
      <c r="J479" s="9"/>
      <c r="K479" s="9"/>
      <c r="L479" s="9"/>
      <c r="M479" s="2"/>
      <c r="N479" s="2"/>
      <c r="O479" s="2"/>
      <c r="P479" s="2"/>
    </row>
    <row r="480" spans="1:16" ht="12.75">
      <c r="A480" s="331" t="s">
        <v>2776</v>
      </c>
      <c r="B480" s="331" t="s">
        <v>2746</v>
      </c>
      <c r="C480" s="332" t="s">
        <v>41</v>
      </c>
      <c r="D480" s="333" t="s">
        <v>224</v>
      </c>
      <c r="E480" s="42"/>
      <c r="F480" s="9"/>
      <c r="G480" s="9"/>
      <c r="H480" s="9"/>
      <c r="I480" s="9"/>
      <c r="J480" s="9"/>
      <c r="K480" s="9"/>
      <c r="L480" s="9"/>
      <c r="M480" s="2"/>
      <c r="N480" s="2"/>
      <c r="O480" s="2"/>
      <c r="P480" s="2"/>
    </row>
    <row r="481" spans="1:16" ht="12.75">
      <c r="A481" s="331" t="s">
        <v>4554</v>
      </c>
      <c r="B481" s="331" t="s">
        <v>342</v>
      </c>
      <c r="C481" s="332" t="s">
        <v>41</v>
      </c>
      <c r="D481" s="339" t="s">
        <v>105</v>
      </c>
      <c r="E481" s="42"/>
      <c r="F481" s="9"/>
      <c r="G481" s="9"/>
      <c r="H481" s="9"/>
      <c r="I481" s="9"/>
      <c r="J481" s="9"/>
      <c r="K481" s="9"/>
      <c r="L481" s="9"/>
      <c r="M481" s="2"/>
      <c r="N481" s="2"/>
      <c r="O481" s="2"/>
      <c r="P481" s="2"/>
    </row>
    <row r="482" spans="1:16" ht="12.75">
      <c r="A482" s="334" t="s">
        <v>4554</v>
      </c>
      <c r="B482" s="334" t="s">
        <v>2650</v>
      </c>
      <c r="C482" s="332" t="s">
        <v>599</v>
      </c>
      <c r="D482" s="333" t="s">
        <v>2784</v>
      </c>
      <c r="E482" s="42"/>
      <c r="F482" s="9"/>
      <c r="G482" s="9"/>
      <c r="H482" s="9"/>
      <c r="I482" s="9"/>
      <c r="J482" s="9"/>
      <c r="K482" s="9"/>
      <c r="L482" s="9"/>
      <c r="M482" s="2"/>
      <c r="N482" s="2"/>
      <c r="O482" s="2"/>
      <c r="P482" s="2"/>
    </row>
    <row r="483" spans="1:16" ht="12.75" customHeight="1">
      <c r="A483" s="334" t="s">
        <v>2790</v>
      </c>
      <c r="B483" s="334" t="s">
        <v>2791</v>
      </c>
      <c r="C483" s="332" t="s">
        <v>2793</v>
      </c>
      <c r="D483" s="339" t="s">
        <v>2794</v>
      </c>
      <c r="E483" s="42"/>
      <c r="F483" s="9"/>
      <c r="G483" s="9"/>
      <c r="H483" s="9"/>
      <c r="I483" s="9"/>
      <c r="J483" s="9"/>
      <c r="K483" s="9"/>
      <c r="L483" s="9"/>
      <c r="M483" s="2"/>
      <c r="N483" s="2"/>
      <c r="O483" s="2"/>
      <c r="P483" s="2"/>
    </row>
    <row r="484" spans="1:16" ht="12.75">
      <c r="A484" s="331" t="s">
        <v>4552</v>
      </c>
      <c r="B484" s="331" t="s">
        <v>2798</v>
      </c>
      <c r="C484" s="332" t="s">
        <v>732</v>
      </c>
      <c r="D484" s="333" t="s">
        <v>2801</v>
      </c>
      <c r="E484" s="42"/>
      <c r="F484" s="9"/>
      <c r="G484" s="9"/>
      <c r="H484" s="9"/>
      <c r="I484" s="9"/>
      <c r="J484" s="9"/>
      <c r="K484" s="9"/>
      <c r="L484" s="9"/>
      <c r="M484" s="2"/>
      <c r="N484" s="2"/>
      <c r="O484" s="2"/>
      <c r="P484" s="2"/>
    </row>
    <row r="485" spans="1:16" ht="12.75">
      <c r="A485" s="334" t="s">
        <v>4552</v>
      </c>
      <c r="B485" s="334" t="s">
        <v>2812</v>
      </c>
      <c r="C485" s="332" t="s">
        <v>218</v>
      </c>
      <c r="D485" s="333" t="s">
        <v>2814</v>
      </c>
      <c r="E485" s="42"/>
      <c r="F485" s="9"/>
      <c r="G485" s="9"/>
      <c r="H485" s="9"/>
      <c r="I485" s="9"/>
      <c r="J485" s="9"/>
      <c r="K485" s="9"/>
      <c r="L485" s="9"/>
      <c r="M485" s="2"/>
      <c r="N485" s="2"/>
      <c r="O485" s="2"/>
      <c r="P485" s="2"/>
    </row>
    <row r="486" spans="1:16" ht="15">
      <c r="A486" s="331" t="s">
        <v>4560</v>
      </c>
      <c r="B486" s="331" t="s">
        <v>2817</v>
      </c>
      <c r="C486" s="332" t="s">
        <v>2819</v>
      </c>
      <c r="D486" s="387" t="s">
        <v>2820</v>
      </c>
      <c r="E486" s="42"/>
      <c r="F486" s="9"/>
      <c r="G486" s="9"/>
      <c r="H486" s="9"/>
      <c r="I486" s="9"/>
      <c r="J486" s="9"/>
      <c r="K486" s="9"/>
      <c r="L486" s="9"/>
      <c r="M486" s="2"/>
      <c r="N486" s="2"/>
      <c r="O486" s="2"/>
      <c r="P486" s="2"/>
    </row>
    <row r="487" spans="1:16" ht="15">
      <c r="A487" s="334" t="s">
        <v>4551</v>
      </c>
      <c r="B487" s="334" t="s">
        <v>2824</v>
      </c>
      <c r="C487" s="332" t="s">
        <v>2826</v>
      </c>
      <c r="D487" s="387" t="s">
        <v>2827</v>
      </c>
      <c r="E487" s="42"/>
      <c r="F487" s="9"/>
      <c r="G487" s="9"/>
      <c r="H487" s="9"/>
      <c r="I487" s="9"/>
      <c r="J487" s="9"/>
      <c r="K487" s="9"/>
      <c r="L487" s="9"/>
      <c r="M487" s="2"/>
      <c r="N487" s="2"/>
      <c r="O487" s="2"/>
      <c r="P487" s="2"/>
    </row>
    <row r="488" spans="1:16" ht="12.75">
      <c r="A488" s="334" t="s">
        <v>4550</v>
      </c>
      <c r="B488" s="334" t="s">
        <v>2836</v>
      </c>
      <c r="C488" s="332" t="s">
        <v>763</v>
      </c>
      <c r="D488" s="333" t="s">
        <v>2221</v>
      </c>
      <c r="E488" s="42"/>
      <c r="F488" s="9"/>
      <c r="G488" s="9"/>
      <c r="H488" s="9"/>
      <c r="I488" s="9"/>
      <c r="J488" s="9"/>
      <c r="K488" s="9"/>
      <c r="L488" s="9"/>
      <c r="M488" s="2"/>
      <c r="N488" s="2"/>
      <c r="O488" s="2"/>
      <c r="P488" s="2"/>
    </row>
    <row r="489" spans="1:16" ht="12.75">
      <c r="A489" s="331" t="s">
        <v>4570</v>
      </c>
      <c r="B489" s="331" t="s">
        <v>2840</v>
      </c>
      <c r="C489" s="332" t="s">
        <v>793</v>
      </c>
      <c r="D489" s="333" t="s">
        <v>334</v>
      </c>
      <c r="E489" s="42"/>
      <c r="F489" s="9"/>
      <c r="G489" s="9"/>
      <c r="H489" s="9"/>
      <c r="I489" s="9"/>
      <c r="J489" s="9"/>
      <c r="K489" s="9"/>
      <c r="L489" s="9"/>
      <c r="M489" s="2"/>
      <c r="N489" s="2"/>
      <c r="O489" s="2"/>
      <c r="P489" s="2"/>
    </row>
    <row r="490" spans="1:16" ht="12.75">
      <c r="A490" s="334" t="s">
        <v>4554</v>
      </c>
      <c r="B490" s="334" t="s">
        <v>2844</v>
      </c>
      <c r="C490" s="332" t="s">
        <v>59</v>
      </c>
      <c r="D490" s="333" t="s">
        <v>2845</v>
      </c>
      <c r="E490" s="42"/>
      <c r="F490" s="9"/>
      <c r="G490" s="9"/>
      <c r="H490" s="9"/>
      <c r="I490" s="9"/>
      <c r="J490" s="9"/>
      <c r="K490" s="9"/>
      <c r="L490" s="9"/>
      <c r="M490" s="2"/>
      <c r="N490" s="2"/>
      <c r="O490" s="2"/>
      <c r="P490" s="2"/>
    </row>
    <row r="491" spans="1:16" ht="12.75">
      <c r="A491" s="331" t="s">
        <v>4550</v>
      </c>
      <c r="B491" s="331" t="s">
        <v>2857</v>
      </c>
      <c r="C491" s="332" t="s">
        <v>2859</v>
      </c>
      <c r="D491" s="333" t="s">
        <v>2860</v>
      </c>
      <c r="E491" s="42"/>
      <c r="F491" s="9"/>
      <c r="G491" s="9"/>
      <c r="H491" s="9"/>
      <c r="I491" s="9"/>
      <c r="J491" s="9"/>
      <c r="K491" s="9"/>
      <c r="L491" s="9"/>
      <c r="M491" s="2"/>
      <c r="N491" s="2"/>
      <c r="O491" s="2"/>
      <c r="P491" s="2"/>
    </row>
    <row r="492" spans="1:16" ht="12.75">
      <c r="A492" s="334" t="s">
        <v>4552</v>
      </c>
      <c r="B492" s="338" t="s">
        <v>2863</v>
      </c>
      <c r="C492" s="332" t="s">
        <v>1793</v>
      </c>
      <c r="D492" s="333" t="s">
        <v>2865</v>
      </c>
      <c r="E492" s="42"/>
      <c r="F492" s="9"/>
      <c r="G492" s="9"/>
      <c r="H492" s="9"/>
      <c r="I492" s="9"/>
      <c r="J492" s="9"/>
      <c r="K492" s="9"/>
      <c r="L492" s="9"/>
      <c r="M492" s="2"/>
      <c r="N492" s="2"/>
      <c r="O492" s="2"/>
      <c r="P492" s="2"/>
    </row>
    <row r="493" spans="1:16" ht="12.75">
      <c r="A493" s="388" t="s">
        <v>4552</v>
      </c>
      <c r="B493" s="389" t="s">
        <v>2868</v>
      </c>
      <c r="C493" s="332" t="s">
        <v>218</v>
      </c>
      <c r="D493" s="390" t="s">
        <v>2869</v>
      </c>
      <c r="E493" s="328"/>
      <c r="F493" s="54"/>
      <c r="G493" s="54"/>
      <c r="H493" s="54"/>
      <c r="I493" s="54"/>
      <c r="J493" s="54"/>
      <c r="K493" s="54"/>
      <c r="L493" s="54"/>
      <c r="M493" s="55"/>
      <c r="N493" s="55"/>
      <c r="O493" s="55"/>
      <c r="P493" s="55"/>
    </row>
    <row r="494" spans="1:16" ht="12.75">
      <c r="A494" s="334" t="s">
        <v>2275</v>
      </c>
      <c r="B494" s="334" t="s">
        <v>2872</v>
      </c>
      <c r="C494" s="332" t="s">
        <v>1429</v>
      </c>
      <c r="D494" s="333" t="s">
        <v>2874</v>
      </c>
      <c r="E494" s="42"/>
      <c r="F494" s="9"/>
      <c r="G494" s="9"/>
      <c r="H494" s="9"/>
      <c r="I494" s="9"/>
      <c r="J494" s="9"/>
      <c r="K494" s="9"/>
      <c r="L494" s="9"/>
      <c r="M494" s="2"/>
      <c r="N494" s="2"/>
      <c r="O494" s="2"/>
      <c r="P494" s="2"/>
    </row>
    <row r="495" spans="1:16" ht="12.75">
      <c r="A495" s="331" t="s">
        <v>4550</v>
      </c>
      <c r="B495" s="331" t="s">
        <v>2877</v>
      </c>
      <c r="C495" s="332" t="s">
        <v>1218</v>
      </c>
      <c r="D495" s="333" t="s">
        <v>2879</v>
      </c>
      <c r="E495" s="42"/>
      <c r="F495" s="9"/>
      <c r="G495" s="9"/>
      <c r="H495" s="9"/>
      <c r="I495" s="9"/>
      <c r="J495" s="9"/>
      <c r="K495" s="9"/>
      <c r="L495" s="9"/>
      <c r="M495" s="2"/>
      <c r="N495" s="2"/>
      <c r="O495" s="2"/>
      <c r="P495" s="2"/>
    </row>
    <row r="496" spans="1:16" ht="12.75">
      <c r="A496" s="334" t="s">
        <v>4553</v>
      </c>
      <c r="B496" s="334" t="s">
        <v>2882</v>
      </c>
      <c r="C496" s="332" t="s">
        <v>93</v>
      </c>
      <c r="D496" s="333" t="s">
        <v>2884</v>
      </c>
      <c r="E496" s="42"/>
      <c r="F496" s="9"/>
      <c r="G496" s="9"/>
      <c r="H496" s="9"/>
      <c r="I496" s="9"/>
      <c r="J496" s="9"/>
      <c r="K496" s="9"/>
      <c r="L496" s="9"/>
      <c r="M496" s="2"/>
      <c r="N496" s="2"/>
      <c r="O496" s="2"/>
      <c r="P496" s="2"/>
    </row>
    <row r="497" spans="1:16" ht="12.75">
      <c r="A497" s="334" t="s">
        <v>4552</v>
      </c>
      <c r="B497" s="334" t="s">
        <v>2010</v>
      </c>
      <c r="C497" s="332" t="s">
        <v>1429</v>
      </c>
      <c r="D497" s="333" t="s">
        <v>1892</v>
      </c>
      <c r="E497" s="42"/>
      <c r="F497" s="9"/>
      <c r="G497" s="9"/>
      <c r="H497" s="9"/>
      <c r="I497" s="9"/>
      <c r="J497" s="9"/>
      <c r="K497" s="9"/>
      <c r="L497" s="9"/>
      <c r="M497" s="2"/>
      <c r="N497" s="2"/>
      <c r="O497" s="2"/>
      <c r="P497" s="2"/>
    </row>
    <row r="498" spans="1:16" ht="12.75">
      <c r="A498" s="331" t="s">
        <v>4554</v>
      </c>
      <c r="B498" s="331" t="s">
        <v>2844</v>
      </c>
      <c r="C498" s="332" t="s">
        <v>59</v>
      </c>
      <c r="D498" s="333" t="s">
        <v>720</v>
      </c>
      <c r="E498" s="42"/>
      <c r="F498" s="9"/>
      <c r="G498" s="9"/>
      <c r="H498" s="9"/>
      <c r="I498" s="9"/>
      <c r="J498" s="9"/>
      <c r="K498" s="9"/>
      <c r="L498" s="9"/>
      <c r="M498" s="2"/>
      <c r="N498" s="2"/>
      <c r="O498" s="2"/>
      <c r="P498" s="2"/>
    </row>
    <row r="499" spans="1:16" ht="12.75">
      <c r="A499" s="334" t="s">
        <v>2894</v>
      </c>
      <c r="B499" s="334" t="s">
        <v>2895</v>
      </c>
      <c r="C499" s="332" t="s">
        <v>1886</v>
      </c>
      <c r="D499" s="333" t="s">
        <v>2896</v>
      </c>
      <c r="E499" s="42"/>
      <c r="F499" s="9"/>
      <c r="G499" s="9"/>
      <c r="H499" s="9"/>
      <c r="I499" s="9"/>
      <c r="J499" s="9"/>
      <c r="K499" s="9"/>
      <c r="L499" s="9"/>
      <c r="M499" s="2"/>
      <c r="N499" s="2"/>
      <c r="O499" s="2"/>
      <c r="P499" s="2"/>
    </row>
    <row r="500" spans="1:16" ht="12.75">
      <c r="A500" s="334" t="s">
        <v>4550</v>
      </c>
      <c r="B500" s="334" t="s">
        <v>2904</v>
      </c>
      <c r="C500" s="332" t="s">
        <v>2906</v>
      </c>
      <c r="D500" s="333" t="s">
        <v>2907</v>
      </c>
      <c r="E500" s="42"/>
      <c r="F500" s="9"/>
      <c r="G500" s="9"/>
      <c r="H500" s="9"/>
      <c r="I500" s="9"/>
      <c r="J500" s="9"/>
      <c r="K500" s="9"/>
      <c r="L500" s="9"/>
      <c r="M500" s="2"/>
      <c r="N500" s="2"/>
      <c r="O500" s="2"/>
      <c r="P500" s="2"/>
    </row>
    <row r="501" spans="1:16" ht="12.75">
      <c r="A501" s="331" t="s">
        <v>4558</v>
      </c>
      <c r="B501" s="331" t="s">
        <v>2909</v>
      </c>
      <c r="C501" s="332" t="s">
        <v>2906</v>
      </c>
      <c r="D501" s="333" t="s">
        <v>2907</v>
      </c>
      <c r="E501" s="42"/>
      <c r="F501" s="9"/>
      <c r="G501" s="9"/>
      <c r="H501" s="9"/>
      <c r="I501" s="9"/>
      <c r="J501" s="9"/>
      <c r="K501" s="9"/>
      <c r="L501" s="9"/>
      <c r="M501" s="2"/>
      <c r="N501" s="2"/>
      <c r="O501" s="2"/>
      <c r="P501" s="2"/>
    </row>
    <row r="502" spans="1:16" ht="12.75">
      <c r="A502" s="331" t="s">
        <v>4545</v>
      </c>
      <c r="B502" s="331" t="s">
        <v>2918</v>
      </c>
      <c r="C502" s="332" t="s">
        <v>2920</v>
      </c>
      <c r="D502" s="333" t="s">
        <v>1101</v>
      </c>
      <c r="E502" s="42"/>
      <c r="F502" s="9"/>
      <c r="G502" s="9"/>
      <c r="H502" s="9"/>
      <c r="I502" s="9"/>
      <c r="J502" s="9"/>
      <c r="K502" s="9"/>
      <c r="L502" s="9"/>
      <c r="M502" s="2"/>
      <c r="N502" s="2"/>
      <c r="O502" s="2"/>
      <c r="P502" s="2"/>
    </row>
    <row r="503" spans="1:16" ht="12.75">
      <c r="A503" s="334" t="s">
        <v>4552</v>
      </c>
      <c r="B503" s="334" t="s">
        <v>2930</v>
      </c>
      <c r="C503" s="332" t="s">
        <v>269</v>
      </c>
      <c r="D503" s="333" t="s">
        <v>2932</v>
      </c>
      <c r="E503" s="42"/>
      <c r="F503" s="9"/>
      <c r="G503" s="9"/>
      <c r="H503" s="9"/>
      <c r="I503" s="9"/>
      <c r="J503" s="9"/>
      <c r="K503" s="9"/>
      <c r="L503" s="9"/>
      <c r="M503" s="2"/>
      <c r="N503" s="2"/>
      <c r="O503" s="2"/>
      <c r="P503" s="2"/>
    </row>
    <row r="504" spans="1:16" ht="18" customHeight="1">
      <c r="A504" s="331" t="s">
        <v>4552</v>
      </c>
      <c r="B504" s="331" t="s">
        <v>1019</v>
      </c>
      <c r="C504" s="332" t="s">
        <v>385</v>
      </c>
      <c r="D504" s="333" t="s">
        <v>1022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1:16" ht="12.75">
      <c r="A505" s="334" t="s">
        <v>4554</v>
      </c>
      <c r="B505" s="334" t="s">
        <v>1300</v>
      </c>
      <c r="C505" s="332" t="s">
        <v>1302</v>
      </c>
      <c r="D505" s="333" t="s">
        <v>1303</v>
      </c>
      <c r="E505" s="42"/>
      <c r="F505" s="9"/>
      <c r="G505" s="9"/>
      <c r="H505" s="9"/>
      <c r="I505" s="9"/>
      <c r="J505" s="9"/>
      <c r="K505" s="9"/>
      <c r="L505" s="9"/>
      <c r="M505" s="2"/>
      <c r="N505" s="2"/>
      <c r="O505" s="2"/>
      <c r="P505" s="2"/>
    </row>
    <row r="506" spans="1:16" ht="12.75">
      <c r="A506" s="331" t="s">
        <v>4552</v>
      </c>
      <c r="B506" s="331" t="s">
        <v>1386</v>
      </c>
      <c r="C506" s="332" t="s">
        <v>1245</v>
      </c>
      <c r="D506" s="333" t="s">
        <v>1388</v>
      </c>
      <c r="E506" s="42"/>
      <c r="F506" s="9"/>
      <c r="G506" s="9"/>
      <c r="H506" s="9"/>
      <c r="I506" s="9"/>
      <c r="J506" s="9"/>
      <c r="K506" s="9"/>
      <c r="L506" s="9"/>
      <c r="M506" s="2"/>
      <c r="N506" s="2"/>
      <c r="O506" s="2"/>
      <c r="P506" s="2"/>
    </row>
    <row r="507" spans="1:16" ht="12.75">
      <c r="A507" s="335" t="s">
        <v>4553</v>
      </c>
      <c r="B507" s="334" t="s">
        <v>32</v>
      </c>
      <c r="C507" s="332" t="s">
        <v>34</v>
      </c>
      <c r="D507" s="336" t="s">
        <v>35</v>
      </c>
      <c r="E507" s="42"/>
      <c r="F507" s="9"/>
      <c r="G507" s="9"/>
      <c r="H507" s="9"/>
      <c r="I507" s="9"/>
      <c r="J507" s="9"/>
      <c r="K507" s="9"/>
      <c r="L507" s="9"/>
      <c r="M507" s="2"/>
      <c r="N507" s="2"/>
      <c r="O507" s="2"/>
      <c r="P507" s="2"/>
    </row>
    <row r="508" spans="1:16" ht="12.75">
      <c r="A508" s="331" t="s">
        <v>4554</v>
      </c>
      <c r="B508" s="331" t="s">
        <v>502</v>
      </c>
      <c r="C508" s="332" t="s">
        <v>504</v>
      </c>
      <c r="D508" s="333" t="s">
        <v>505</v>
      </c>
      <c r="E508" s="42"/>
      <c r="F508" s="9"/>
      <c r="G508" s="9"/>
      <c r="H508" s="9"/>
      <c r="I508" s="9"/>
      <c r="J508" s="9"/>
      <c r="K508" s="9"/>
      <c r="L508" s="9"/>
      <c r="M508" s="2"/>
      <c r="N508" s="2"/>
      <c r="O508" s="2"/>
      <c r="P508" s="2"/>
    </row>
    <row r="509" spans="1:16" ht="12.75">
      <c r="A509" s="334" t="s">
        <v>4558</v>
      </c>
      <c r="B509" s="334" t="s">
        <v>1581</v>
      </c>
      <c r="C509" s="332" t="s">
        <v>1218</v>
      </c>
      <c r="D509" s="333" t="s">
        <v>1583</v>
      </c>
      <c r="E509" s="42"/>
      <c r="F509" s="9"/>
      <c r="G509" s="9"/>
      <c r="H509" s="9"/>
      <c r="I509" s="9"/>
      <c r="J509" s="9"/>
      <c r="K509" s="9"/>
      <c r="L509" s="9"/>
      <c r="M509" s="2"/>
      <c r="N509" s="2"/>
      <c r="O509" s="2"/>
      <c r="P509" s="2"/>
    </row>
    <row r="510" spans="1:16" ht="12.75">
      <c r="A510" s="334" t="s">
        <v>1349</v>
      </c>
      <c r="B510" s="334" t="s">
        <v>1350</v>
      </c>
      <c r="C510" s="332" t="s">
        <v>726</v>
      </c>
      <c r="D510" s="333" t="s">
        <v>1352</v>
      </c>
      <c r="E510" s="42"/>
      <c r="F510" s="9"/>
      <c r="G510" s="9"/>
      <c r="H510" s="9"/>
      <c r="I510" s="9"/>
      <c r="J510" s="9"/>
      <c r="K510" s="9"/>
      <c r="L510" s="9"/>
      <c r="M510" s="2"/>
      <c r="N510" s="2"/>
      <c r="O510" s="2"/>
      <c r="P510" s="2"/>
    </row>
    <row r="511" spans="1:16" ht="12.75">
      <c r="A511" s="331" t="s">
        <v>4557</v>
      </c>
      <c r="B511" s="331" t="s">
        <v>1152</v>
      </c>
      <c r="C511" s="332" t="s">
        <v>1154</v>
      </c>
      <c r="D511" s="333" t="s">
        <v>1155</v>
      </c>
      <c r="E511" s="42"/>
      <c r="F511" s="9"/>
      <c r="G511" s="9"/>
      <c r="H511" s="9"/>
      <c r="I511" s="9"/>
      <c r="J511" s="9"/>
      <c r="K511" s="9"/>
      <c r="L511" s="9"/>
      <c r="M511" s="2"/>
      <c r="N511" s="2"/>
      <c r="O511" s="2"/>
      <c r="P511" s="2"/>
    </row>
    <row r="512" spans="1:16" ht="12.75">
      <c r="A512" s="334" t="s">
        <v>4557</v>
      </c>
      <c r="B512" s="334" t="s">
        <v>1367</v>
      </c>
      <c r="C512" s="332" t="s">
        <v>1369</v>
      </c>
      <c r="D512" s="333" t="s">
        <v>1370</v>
      </c>
      <c r="E512" s="42"/>
      <c r="F512" s="9"/>
      <c r="G512" s="9"/>
      <c r="H512" s="9"/>
      <c r="I512" s="9"/>
      <c r="J512" s="9"/>
      <c r="K512" s="9"/>
      <c r="L512" s="9"/>
      <c r="M512" s="2"/>
      <c r="N512" s="2"/>
      <c r="O512" s="2"/>
      <c r="P512" s="2"/>
    </row>
    <row r="513" spans="1:16" ht="12.75">
      <c r="A513" s="331" t="s">
        <v>4546</v>
      </c>
      <c r="B513" s="331" t="s">
        <v>109</v>
      </c>
      <c r="C513" s="332" t="s">
        <v>111</v>
      </c>
      <c r="D513" s="333" t="s">
        <v>112</v>
      </c>
      <c r="E513" s="42"/>
      <c r="F513" s="9"/>
      <c r="G513" s="9"/>
      <c r="H513" s="9"/>
      <c r="I513" s="9"/>
      <c r="J513" s="9"/>
      <c r="K513" s="9"/>
      <c r="L513" s="9"/>
      <c r="M513" s="2"/>
      <c r="N513" s="2"/>
      <c r="O513" s="2"/>
      <c r="P513" s="2"/>
    </row>
    <row r="514" spans="1:16" ht="12.75">
      <c r="A514" s="334" t="s">
        <v>4557</v>
      </c>
      <c r="B514" s="334" t="s">
        <v>1478</v>
      </c>
      <c r="C514" s="332" t="s">
        <v>218</v>
      </c>
      <c r="D514" s="333" t="s">
        <v>1480</v>
      </c>
      <c r="E514" s="42"/>
      <c r="F514" s="9"/>
      <c r="G514" s="9"/>
      <c r="H514" s="9"/>
      <c r="I514" s="9"/>
      <c r="J514" s="9"/>
      <c r="K514" s="9"/>
      <c r="L514" s="9"/>
      <c r="M514" s="2"/>
      <c r="N514" s="2"/>
      <c r="O514" s="2"/>
      <c r="P514" s="2"/>
    </row>
    <row r="515" spans="1:16" ht="12.75">
      <c r="A515" s="331" t="s">
        <v>4557</v>
      </c>
      <c r="B515" s="331" t="s">
        <v>1478</v>
      </c>
      <c r="C515" s="332" t="s">
        <v>218</v>
      </c>
      <c r="D515" s="333" t="s">
        <v>1480</v>
      </c>
      <c r="E515" s="42"/>
      <c r="F515" s="9"/>
      <c r="G515" s="9"/>
      <c r="H515" s="9"/>
      <c r="I515" s="9"/>
      <c r="J515" s="9"/>
      <c r="K515" s="9"/>
      <c r="L515" s="9"/>
      <c r="M515" s="2"/>
      <c r="N515" s="2"/>
      <c r="O515" s="2"/>
      <c r="P515" s="2"/>
    </row>
    <row r="516" spans="1:16" ht="12.75">
      <c r="A516" s="334" t="s">
        <v>1476</v>
      </c>
      <c r="B516" s="334" t="s">
        <v>1478</v>
      </c>
      <c r="C516" s="332" t="s">
        <v>218</v>
      </c>
      <c r="D516" s="333" t="s">
        <v>1480</v>
      </c>
      <c r="E516" s="42"/>
      <c r="F516" s="9"/>
      <c r="G516" s="9"/>
      <c r="H516" s="9"/>
      <c r="I516" s="9"/>
      <c r="J516" s="9"/>
      <c r="K516" s="9"/>
      <c r="L516" s="9"/>
      <c r="M516" s="2"/>
      <c r="N516" s="2"/>
      <c r="O516" s="2"/>
      <c r="P516" s="2"/>
    </row>
    <row r="517" spans="1:16" ht="12.75">
      <c r="A517" s="344" t="s">
        <v>4546</v>
      </c>
      <c r="B517" s="331" t="s">
        <v>1228</v>
      </c>
      <c r="C517" s="332" t="s">
        <v>1230</v>
      </c>
      <c r="D517" s="333" t="s">
        <v>1231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 ht="12.75">
      <c r="A518" s="334" t="s">
        <v>4557</v>
      </c>
      <c r="B518" s="334" t="s">
        <v>867</v>
      </c>
      <c r="C518" s="332" t="s">
        <v>869</v>
      </c>
      <c r="D518" s="333" t="s">
        <v>870</v>
      </c>
      <c r="E518" s="42"/>
      <c r="F518" s="9"/>
      <c r="G518" s="9"/>
      <c r="H518" s="9"/>
      <c r="I518" s="9"/>
      <c r="J518" s="9"/>
      <c r="K518" s="9"/>
      <c r="L518" s="9"/>
      <c r="M518" s="2"/>
      <c r="N518" s="2"/>
      <c r="O518" s="2"/>
      <c r="P518" s="2"/>
    </row>
    <row r="519" spans="1:16" ht="12.75">
      <c r="A519" s="331" t="s">
        <v>4560</v>
      </c>
      <c r="B519" s="331" t="s">
        <v>685</v>
      </c>
      <c r="C519" s="332" t="s">
        <v>687</v>
      </c>
      <c r="D519" s="333" t="s">
        <v>688</v>
      </c>
      <c r="E519" s="42"/>
      <c r="F519" s="9"/>
      <c r="G519" s="9"/>
      <c r="H519" s="9"/>
      <c r="I519" s="9"/>
      <c r="J519" s="9"/>
      <c r="K519" s="9"/>
      <c r="L519" s="9"/>
      <c r="M519" s="2"/>
      <c r="N519" s="2"/>
      <c r="O519" s="2"/>
      <c r="P519" s="2"/>
    </row>
    <row r="520" spans="1:16" ht="12.75">
      <c r="A520" s="334" t="s">
        <v>4554</v>
      </c>
      <c r="B520" s="334" t="s">
        <v>1642</v>
      </c>
      <c r="C520" s="332" t="s">
        <v>218</v>
      </c>
      <c r="D520" s="333">
        <v>703360107</v>
      </c>
      <c r="E520" s="42"/>
      <c r="F520" s="9"/>
      <c r="G520" s="9"/>
      <c r="H520" s="9"/>
      <c r="I520" s="9"/>
      <c r="J520" s="9"/>
      <c r="K520" s="9"/>
      <c r="L520" s="9"/>
      <c r="M520" s="2"/>
      <c r="N520" s="2"/>
      <c r="O520" s="2"/>
      <c r="P520" s="2"/>
    </row>
    <row r="521" spans="1:16" ht="12.75">
      <c r="A521" s="331" t="s">
        <v>4546</v>
      </c>
      <c r="B521" s="331" t="s">
        <v>605</v>
      </c>
      <c r="C521" s="332" t="s">
        <v>607</v>
      </c>
      <c r="D521" s="333" t="s">
        <v>608</v>
      </c>
      <c r="E521" s="42"/>
      <c r="F521" s="9"/>
      <c r="G521" s="9"/>
      <c r="H521" s="9"/>
      <c r="I521" s="9"/>
      <c r="J521" s="9"/>
      <c r="K521" s="9"/>
      <c r="L521" s="9"/>
      <c r="M521" s="2"/>
      <c r="N521" s="2"/>
      <c r="O521" s="2"/>
      <c r="P521" s="2"/>
    </row>
    <row r="522" spans="1:16" ht="12.75">
      <c r="A522" s="334" t="s">
        <v>4550</v>
      </c>
      <c r="B522" s="334" t="s">
        <v>1408</v>
      </c>
      <c r="C522" s="332" t="s">
        <v>1410</v>
      </c>
      <c r="D522" s="333" t="s">
        <v>1412</v>
      </c>
      <c r="E522" s="42"/>
      <c r="F522" s="9"/>
      <c r="G522" s="9"/>
      <c r="H522" s="9"/>
      <c r="I522" s="9"/>
      <c r="J522" s="9"/>
      <c r="K522" s="9"/>
      <c r="L522" s="9"/>
      <c r="M522" s="2"/>
      <c r="N522" s="2"/>
      <c r="O522" s="2"/>
      <c r="P522" s="2"/>
    </row>
    <row r="523" spans="1:16" ht="12.75">
      <c r="A523" s="331" t="s">
        <v>1415</v>
      </c>
      <c r="B523" s="331" t="s">
        <v>1416</v>
      </c>
      <c r="C523" s="332" t="s">
        <v>237</v>
      </c>
      <c r="D523" s="333" t="s">
        <v>1418</v>
      </c>
      <c r="E523" s="42"/>
      <c r="F523" s="9"/>
      <c r="G523" s="9"/>
      <c r="H523" s="9"/>
      <c r="I523" s="9"/>
      <c r="J523" s="9"/>
      <c r="K523" s="9"/>
      <c r="L523" s="9"/>
      <c r="M523" s="2"/>
      <c r="N523" s="2"/>
      <c r="O523" s="2"/>
      <c r="P523" s="2"/>
    </row>
    <row r="524" spans="1:16" ht="12.75">
      <c r="A524" s="334" t="s">
        <v>4554</v>
      </c>
      <c r="B524" s="334" t="s">
        <v>675</v>
      </c>
      <c r="C524" s="332" t="s">
        <v>677</v>
      </c>
      <c r="D524" s="333" t="s">
        <v>678</v>
      </c>
      <c r="E524" s="42"/>
      <c r="F524" s="9"/>
      <c r="G524" s="9"/>
      <c r="H524" s="9"/>
      <c r="I524" s="9"/>
      <c r="J524" s="9"/>
      <c r="K524" s="9"/>
      <c r="L524" s="9"/>
      <c r="M524" s="2"/>
      <c r="N524" s="2"/>
      <c r="O524" s="2"/>
      <c r="P524" s="2"/>
    </row>
    <row r="525" spans="1:16" ht="12.75">
      <c r="A525" s="331" t="s">
        <v>4557</v>
      </c>
      <c r="B525" s="331" t="s">
        <v>1427</v>
      </c>
      <c r="C525" s="332" t="s">
        <v>1429</v>
      </c>
      <c r="D525" s="333" t="s">
        <v>1430</v>
      </c>
      <c r="E525" s="42"/>
      <c r="F525" s="9"/>
      <c r="G525" s="9"/>
      <c r="H525" s="9"/>
      <c r="I525" s="9"/>
      <c r="J525" s="9"/>
      <c r="K525" s="9"/>
      <c r="L525" s="9"/>
      <c r="M525" s="2"/>
      <c r="N525" s="2"/>
      <c r="O525" s="2"/>
      <c r="P525" s="2"/>
    </row>
    <row r="526" spans="1:16" ht="12.75">
      <c r="A526" s="334" t="s">
        <v>4567</v>
      </c>
      <c r="B526" s="334" t="s">
        <v>2937</v>
      </c>
      <c r="C526" s="332" t="s">
        <v>218</v>
      </c>
      <c r="D526" s="333" t="s">
        <v>2939</v>
      </c>
      <c r="E526" s="42"/>
      <c r="F526" s="9"/>
      <c r="G526" s="9"/>
      <c r="H526" s="9"/>
      <c r="I526" s="9"/>
      <c r="J526" s="9"/>
      <c r="K526" s="9"/>
      <c r="L526" s="9"/>
      <c r="M526" s="2"/>
      <c r="N526" s="2"/>
      <c r="O526" s="2"/>
      <c r="P526" s="2"/>
    </row>
    <row r="527" spans="1:16" ht="12.75">
      <c r="A527" s="331" t="s">
        <v>201</v>
      </c>
      <c r="B527" s="331" t="s">
        <v>202</v>
      </c>
      <c r="C527" s="332" t="s">
        <v>203</v>
      </c>
      <c r="D527" s="333" t="s">
        <v>204</v>
      </c>
      <c r="E527" s="42"/>
      <c r="F527" s="9"/>
      <c r="G527" s="9"/>
      <c r="H527" s="9"/>
      <c r="I527" s="9"/>
      <c r="J527" s="9"/>
      <c r="K527" s="9"/>
      <c r="L527" s="9"/>
      <c r="M527" s="2"/>
      <c r="N527" s="2"/>
      <c r="O527" s="2"/>
      <c r="P527" s="2"/>
    </row>
    <row r="528" spans="1:16" ht="12.75">
      <c r="A528" s="334" t="s">
        <v>4550</v>
      </c>
      <c r="B528" s="334" t="s">
        <v>629</v>
      </c>
      <c r="C528" s="332" t="s">
        <v>218</v>
      </c>
      <c r="D528" s="333" t="s">
        <v>631</v>
      </c>
      <c r="E528" s="42"/>
      <c r="F528" s="9"/>
      <c r="G528" s="9"/>
      <c r="H528" s="9"/>
      <c r="I528" s="9"/>
      <c r="J528" s="9"/>
      <c r="K528" s="9"/>
      <c r="L528" s="9"/>
      <c r="M528" s="2"/>
      <c r="N528" s="2"/>
      <c r="O528" s="2"/>
      <c r="P528" s="2"/>
    </row>
    <row r="529" spans="1:16" ht="12.75">
      <c r="A529" s="331" t="s">
        <v>4550</v>
      </c>
      <c r="B529" s="331" t="s">
        <v>629</v>
      </c>
      <c r="C529" s="332" t="s">
        <v>218</v>
      </c>
      <c r="D529" s="333" t="s">
        <v>631</v>
      </c>
      <c r="E529" s="42"/>
      <c r="F529" s="9"/>
      <c r="G529" s="9"/>
      <c r="H529" s="9"/>
      <c r="I529" s="9"/>
      <c r="J529" s="9"/>
      <c r="K529" s="9"/>
      <c r="L529" s="9"/>
      <c r="M529" s="2"/>
      <c r="N529" s="2"/>
      <c r="O529" s="2"/>
      <c r="P529" s="2"/>
    </row>
    <row r="530" spans="1:16" ht="12.75">
      <c r="A530" s="334" t="s">
        <v>4569</v>
      </c>
      <c r="B530" s="334" t="s">
        <v>1771</v>
      </c>
      <c r="C530" s="332" t="s">
        <v>1773</v>
      </c>
      <c r="D530" s="333" t="s">
        <v>1774</v>
      </c>
      <c r="E530" s="42"/>
      <c r="F530" s="9"/>
      <c r="G530" s="9"/>
      <c r="H530" s="9"/>
      <c r="I530" s="9"/>
      <c r="J530" s="9"/>
      <c r="K530" s="9"/>
      <c r="L530" s="9"/>
      <c r="M530" s="2"/>
      <c r="N530" s="2"/>
      <c r="O530" s="2"/>
      <c r="P530" s="2"/>
    </row>
    <row r="531" spans="1:16" ht="12.75">
      <c r="A531" s="331" t="s">
        <v>4557</v>
      </c>
      <c r="B531" s="331" t="s">
        <v>1026</v>
      </c>
      <c r="C531" s="356" t="s">
        <v>1028</v>
      </c>
      <c r="D531" s="333" t="s">
        <v>1029</v>
      </c>
      <c r="E531" s="42"/>
      <c r="F531" s="9"/>
      <c r="G531" s="9"/>
      <c r="H531" s="9"/>
      <c r="I531" s="9"/>
      <c r="J531" s="9"/>
      <c r="K531" s="9"/>
      <c r="L531" s="9"/>
      <c r="M531" s="2"/>
      <c r="N531" s="2"/>
      <c r="O531" s="2"/>
      <c r="P531" s="2"/>
    </row>
    <row r="532" spans="1:16" ht="12.75">
      <c r="A532" s="334" t="s">
        <v>4545</v>
      </c>
      <c r="B532" s="334" t="s">
        <v>703</v>
      </c>
      <c r="C532" s="332" t="s">
        <v>705</v>
      </c>
      <c r="D532" s="333" t="s">
        <v>129</v>
      </c>
      <c r="E532" s="42"/>
      <c r="F532" s="9"/>
      <c r="G532" s="9"/>
      <c r="H532" s="9"/>
      <c r="I532" s="9"/>
      <c r="J532" s="9"/>
      <c r="K532" s="9"/>
      <c r="L532" s="9"/>
      <c r="M532" s="2"/>
      <c r="N532" s="2"/>
      <c r="O532" s="2"/>
      <c r="P532" s="2"/>
    </row>
    <row r="533" spans="1:16" ht="12.75">
      <c r="A533" s="331" t="s">
        <v>125</v>
      </c>
      <c r="B533" s="331" t="s">
        <v>126</v>
      </c>
      <c r="C533" s="332" t="s">
        <v>128</v>
      </c>
      <c r="D533" s="333" t="s">
        <v>129</v>
      </c>
      <c r="E533" s="42"/>
      <c r="F533" s="9"/>
      <c r="G533" s="9"/>
      <c r="H533" s="9"/>
      <c r="I533" s="9"/>
      <c r="J533" s="9"/>
      <c r="K533" s="9"/>
      <c r="L533" s="9"/>
      <c r="M533" s="2"/>
      <c r="N533" s="2"/>
      <c r="O533" s="2"/>
      <c r="P533" s="2"/>
    </row>
    <row r="534" spans="1:16" ht="12.75">
      <c r="A534" s="335" t="s">
        <v>4557</v>
      </c>
      <c r="B534" s="334" t="s">
        <v>1164</v>
      </c>
      <c r="C534" s="332" t="s">
        <v>1166</v>
      </c>
      <c r="D534" s="350" t="s">
        <v>526</v>
      </c>
      <c r="E534" s="42"/>
      <c r="F534" s="9"/>
      <c r="G534" s="9"/>
      <c r="H534" s="9"/>
      <c r="I534" s="9"/>
      <c r="J534" s="9"/>
      <c r="K534" s="9"/>
      <c r="L534" s="9"/>
      <c r="M534" s="2"/>
      <c r="N534" s="2"/>
      <c r="O534" s="2"/>
      <c r="P534" s="2"/>
    </row>
    <row r="535" spans="1:16" ht="12.75">
      <c r="A535" s="334" t="s">
        <v>4546</v>
      </c>
      <c r="B535" s="334" t="s">
        <v>621</v>
      </c>
      <c r="C535" s="332" t="s">
        <v>623</v>
      </c>
      <c r="D535" s="333" t="s">
        <v>625</v>
      </c>
      <c r="E535" s="42"/>
      <c r="F535" s="9"/>
      <c r="G535" s="9"/>
      <c r="H535" s="9"/>
      <c r="I535" s="9"/>
      <c r="J535" s="9"/>
      <c r="K535" s="9"/>
      <c r="L535" s="9"/>
      <c r="M535" s="2"/>
      <c r="N535" s="2"/>
      <c r="O535" s="2"/>
      <c r="P535" s="2"/>
    </row>
    <row r="536" spans="1:16" ht="12.75">
      <c r="A536" s="335" t="s">
        <v>4557</v>
      </c>
      <c r="B536" s="370" t="s">
        <v>523</v>
      </c>
      <c r="C536" s="332" t="s">
        <v>525</v>
      </c>
      <c r="D536" s="350" t="s">
        <v>526</v>
      </c>
      <c r="E536" s="42"/>
      <c r="F536" s="9"/>
      <c r="G536" s="9"/>
      <c r="H536" s="9"/>
      <c r="I536" s="9"/>
      <c r="J536" s="9"/>
      <c r="K536" s="9"/>
      <c r="L536" s="9"/>
      <c r="M536" s="2"/>
      <c r="N536" s="2"/>
      <c r="O536" s="2"/>
      <c r="P536" s="2"/>
    </row>
    <row r="537" spans="1:16" ht="12.75">
      <c r="A537" s="331" t="s">
        <v>4554</v>
      </c>
      <c r="B537" s="331" t="s">
        <v>2940</v>
      </c>
      <c r="C537" s="332" t="s">
        <v>59</v>
      </c>
      <c r="D537" s="333" t="s">
        <v>720</v>
      </c>
      <c r="E537" s="42"/>
      <c r="F537" s="9"/>
      <c r="G537" s="9"/>
      <c r="H537" s="9"/>
      <c r="I537" s="9"/>
      <c r="J537" s="9"/>
      <c r="K537" s="9"/>
      <c r="L537" s="9"/>
      <c r="M537" s="2"/>
      <c r="N537" s="2"/>
      <c r="O537" s="2"/>
      <c r="P537" s="2"/>
    </row>
    <row r="538" spans="1:16" ht="12.75">
      <c r="A538" s="334" t="s">
        <v>4560</v>
      </c>
      <c r="B538" s="334" t="s">
        <v>1684</v>
      </c>
      <c r="C538" s="332" t="s">
        <v>1686</v>
      </c>
      <c r="D538" s="333" t="s">
        <v>924</v>
      </c>
      <c r="E538" s="42"/>
      <c r="F538" s="9"/>
      <c r="G538" s="9"/>
      <c r="H538" s="9"/>
      <c r="I538" s="9"/>
      <c r="J538" s="9"/>
      <c r="K538" s="9"/>
      <c r="L538" s="9"/>
      <c r="M538" s="2"/>
      <c r="N538" s="2"/>
      <c r="O538" s="2"/>
      <c r="P538" s="2"/>
    </row>
    <row r="539" spans="1:16" ht="12.75">
      <c r="A539" s="331" t="s">
        <v>4562</v>
      </c>
      <c r="B539" s="331" t="s">
        <v>1262</v>
      </c>
      <c r="C539" s="332" t="s">
        <v>1263</v>
      </c>
      <c r="D539" s="333" t="s">
        <v>180</v>
      </c>
      <c r="E539" s="42"/>
      <c r="F539" s="9"/>
      <c r="G539" s="9"/>
      <c r="H539" s="9"/>
      <c r="I539" s="9"/>
      <c r="J539" s="9"/>
      <c r="K539" s="9"/>
      <c r="L539" s="9"/>
      <c r="M539" s="2"/>
      <c r="N539" s="2"/>
      <c r="O539" s="2"/>
      <c r="P539" s="2"/>
    </row>
    <row r="540" spans="1:16" ht="12.75">
      <c r="A540" s="334" t="s">
        <v>4562</v>
      </c>
      <c r="B540" s="334" t="s">
        <v>993</v>
      </c>
      <c r="C540" s="332" t="s">
        <v>269</v>
      </c>
      <c r="D540" s="333" t="s">
        <v>995</v>
      </c>
      <c r="E540" s="42"/>
      <c r="F540" s="9"/>
      <c r="G540" s="9"/>
      <c r="H540" s="9"/>
      <c r="I540" s="9"/>
      <c r="J540" s="9"/>
      <c r="K540" s="9"/>
      <c r="L540" s="9"/>
      <c r="M540" s="2"/>
      <c r="N540" s="2"/>
      <c r="O540" s="2"/>
      <c r="P540" s="2"/>
    </row>
    <row r="541" spans="1:16" ht="12.75">
      <c r="A541" s="331" t="s">
        <v>4562</v>
      </c>
      <c r="B541" s="331" t="s">
        <v>1434</v>
      </c>
      <c r="C541" s="332" t="s">
        <v>223</v>
      </c>
      <c r="D541" s="333" t="s">
        <v>180</v>
      </c>
      <c r="E541" s="42"/>
      <c r="F541" s="9"/>
      <c r="G541" s="9"/>
      <c r="H541" s="9"/>
      <c r="I541" s="9"/>
      <c r="J541" s="9"/>
      <c r="K541" s="9"/>
      <c r="L541" s="9"/>
      <c r="M541" s="2"/>
      <c r="N541" s="2"/>
      <c r="O541" s="2"/>
      <c r="P541" s="2"/>
    </row>
    <row r="542" spans="1:16" ht="12.75">
      <c r="A542" s="334" t="s">
        <v>4557</v>
      </c>
      <c r="B542" s="334" t="s">
        <v>1748</v>
      </c>
      <c r="C542" s="332" t="s">
        <v>677</v>
      </c>
      <c r="D542" s="333" t="s">
        <v>1750</v>
      </c>
      <c r="E542" s="42"/>
      <c r="F542" s="9"/>
      <c r="G542" s="9"/>
      <c r="H542" s="9"/>
      <c r="I542" s="9"/>
      <c r="J542" s="9"/>
      <c r="K542" s="9"/>
      <c r="L542" s="9"/>
      <c r="M542" s="2"/>
      <c r="N542" s="2"/>
      <c r="O542" s="2"/>
      <c r="P542" s="2"/>
    </row>
    <row r="543" spans="1:16" ht="12.75">
      <c r="A543" s="331" t="s">
        <v>4563</v>
      </c>
      <c r="B543" s="331" t="s">
        <v>1361</v>
      </c>
      <c r="C543" s="332" t="s">
        <v>1363</v>
      </c>
      <c r="D543" s="333" t="s">
        <v>1364</v>
      </c>
      <c r="E543" s="42"/>
      <c r="F543" s="9"/>
      <c r="G543" s="9"/>
      <c r="H543" s="9"/>
      <c r="I543" s="9"/>
      <c r="J543" s="9"/>
      <c r="K543" s="9"/>
      <c r="L543" s="9"/>
      <c r="M543" s="2"/>
      <c r="N543" s="2"/>
      <c r="O543" s="2"/>
      <c r="P543" s="2"/>
    </row>
    <row r="544" spans="1:16" ht="12.75">
      <c r="A544" s="331" t="s">
        <v>4548</v>
      </c>
      <c r="B544" s="331" t="s">
        <v>927</v>
      </c>
      <c r="C544" s="332" t="s">
        <v>929</v>
      </c>
      <c r="D544" s="333" t="s">
        <v>930</v>
      </c>
      <c r="E544" s="42"/>
      <c r="F544" s="9"/>
      <c r="G544" s="9"/>
      <c r="H544" s="9"/>
      <c r="I544" s="9"/>
      <c r="J544" s="9"/>
      <c r="K544" s="9"/>
      <c r="L544" s="9"/>
      <c r="M544" s="2"/>
      <c r="N544" s="2"/>
      <c r="O544" s="2"/>
      <c r="P544" s="2"/>
    </row>
    <row r="545" spans="1:16" ht="12.75">
      <c r="A545" s="334" t="s">
        <v>4548</v>
      </c>
      <c r="B545" s="334" t="s">
        <v>1250</v>
      </c>
      <c r="C545" s="332" t="s">
        <v>1252</v>
      </c>
      <c r="D545" s="333" t="s">
        <v>1253</v>
      </c>
      <c r="E545" s="42"/>
      <c r="F545" s="9"/>
      <c r="G545" s="9"/>
      <c r="H545" s="9"/>
      <c r="I545" s="9"/>
      <c r="J545" s="9"/>
      <c r="K545" s="9"/>
      <c r="L545" s="9"/>
      <c r="M545" s="2"/>
      <c r="N545" s="2"/>
      <c r="O545" s="2"/>
      <c r="P545" s="2"/>
    </row>
    <row r="546" spans="1:16" ht="12.75">
      <c r="A546" s="334" t="s">
        <v>4546</v>
      </c>
      <c r="B546" s="334" t="s">
        <v>840</v>
      </c>
      <c r="C546" s="332" t="s">
        <v>223</v>
      </c>
      <c r="D546" s="333" t="s">
        <v>224</v>
      </c>
      <c r="E546" s="42"/>
      <c r="F546" s="9"/>
      <c r="G546" s="9"/>
      <c r="H546" s="9"/>
      <c r="I546" s="9"/>
      <c r="J546" s="9"/>
      <c r="K546" s="9"/>
      <c r="L546" s="9"/>
      <c r="M546" s="2"/>
      <c r="N546" s="2"/>
      <c r="O546" s="2"/>
      <c r="P546" s="2"/>
    </row>
    <row r="547" spans="1:16" ht="12.75">
      <c r="A547" s="331" t="s">
        <v>24</v>
      </c>
      <c r="B547" s="331" t="s">
        <v>25</v>
      </c>
      <c r="C547" s="332" t="s">
        <v>27</v>
      </c>
      <c r="D547" s="333" t="s">
        <v>29</v>
      </c>
      <c r="E547" s="42"/>
      <c r="F547" s="9"/>
      <c r="G547" s="9"/>
      <c r="H547" s="9"/>
      <c r="I547" s="9"/>
      <c r="J547" s="9"/>
      <c r="K547" s="9"/>
      <c r="L547" s="9"/>
      <c r="M547" s="2"/>
      <c r="N547" s="2"/>
      <c r="O547" s="2"/>
      <c r="P547" s="2"/>
    </row>
    <row r="548" spans="1:16" ht="12.75">
      <c r="A548" s="334" t="s">
        <v>1131</v>
      </c>
      <c r="B548" s="334" t="s">
        <v>1132</v>
      </c>
      <c r="C548" s="332" t="s">
        <v>223</v>
      </c>
      <c r="D548" s="333" t="s">
        <v>180</v>
      </c>
      <c r="E548" s="42"/>
      <c r="F548" s="9"/>
      <c r="G548" s="9"/>
      <c r="H548" s="9"/>
      <c r="I548" s="9"/>
      <c r="J548" s="9"/>
      <c r="K548" s="9"/>
      <c r="L548" s="9"/>
      <c r="M548" s="2"/>
      <c r="N548" s="2"/>
      <c r="O548" s="2"/>
      <c r="P548" s="2"/>
    </row>
    <row r="549" spans="1:16" ht="12.75">
      <c r="A549" s="331" t="s">
        <v>1131</v>
      </c>
      <c r="B549" s="331" t="s">
        <v>1132</v>
      </c>
      <c r="C549" s="332" t="s">
        <v>223</v>
      </c>
      <c r="D549" s="333" t="s">
        <v>180</v>
      </c>
      <c r="E549" s="42"/>
      <c r="F549" s="9"/>
      <c r="G549" s="9"/>
      <c r="H549" s="9"/>
      <c r="I549" s="9"/>
      <c r="J549" s="9"/>
      <c r="K549" s="9"/>
      <c r="L549" s="9"/>
      <c r="M549" s="2"/>
      <c r="N549" s="2"/>
      <c r="O549" s="2"/>
      <c r="P549" s="2"/>
    </row>
    <row r="550" spans="1:16" ht="12.75">
      <c r="A550" s="334" t="s">
        <v>4558</v>
      </c>
      <c r="B550" s="334" t="s">
        <v>25</v>
      </c>
      <c r="C550" s="332" t="s">
        <v>858</v>
      </c>
      <c r="D550" s="333" t="s">
        <v>859</v>
      </c>
      <c r="E550" s="327"/>
      <c r="F550" s="22"/>
      <c r="G550" s="22"/>
      <c r="H550" s="22"/>
      <c r="I550" s="22"/>
      <c r="J550" s="22"/>
      <c r="K550" s="22"/>
      <c r="L550" s="22"/>
      <c r="M550" s="23"/>
      <c r="N550" s="23"/>
      <c r="O550" s="23"/>
      <c r="P550" s="23"/>
    </row>
    <row r="551" spans="1:16" ht="12.75">
      <c r="A551" s="331" t="s">
        <v>1131</v>
      </c>
      <c r="B551" s="331" t="s">
        <v>1132</v>
      </c>
      <c r="C551" s="332" t="s">
        <v>223</v>
      </c>
      <c r="D551" s="333" t="s">
        <v>180</v>
      </c>
      <c r="E551" s="42"/>
      <c r="F551" s="9"/>
      <c r="G551" s="9"/>
      <c r="H551" s="9"/>
      <c r="I551" s="9"/>
      <c r="J551" s="9"/>
      <c r="K551" s="9"/>
      <c r="L551" s="9"/>
      <c r="M551" s="2"/>
      <c r="N551" s="2"/>
      <c r="O551" s="2"/>
      <c r="P551" s="2"/>
    </row>
    <row r="552" spans="1:16" ht="12.75">
      <c r="A552" s="334" t="s">
        <v>1276</v>
      </c>
      <c r="B552" s="334" t="s">
        <v>1277</v>
      </c>
      <c r="C552" s="332" t="s">
        <v>983</v>
      </c>
      <c r="D552" s="333" t="s">
        <v>1279</v>
      </c>
      <c r="E552" s="42"/>
      <c r="F552" s="9"/>
      <c r="G552" s="9"/>
      <c r="H552" s="9"/>
      <c r="I552" s="9"/>
      <c r="J552" s="9"/>
      <c r="K552" s="9"/>
      <c r="L552" s="9"/>
      <c r="M552" s="2"/>
      <c r="N552" s="2"/>
      <c r="O552" s="2"/>
      <c r="P552" s="2"/>
    </row>
    <row r="553" spans="1:16" ht="12.75">
      <c r="A553" s="331" t="s">
        <v>4560</v>
      </c>
      <c r="B553" s="331" t="s">
        <v>331</v>
      </c>
      <c r="C553" s="332" t="s">
        <v>333</v>
      </c>
      <c r="D553" s="333" t="s">
        <v>334</v>
      </c>
      <c r="E553" s="42"/>
      <c r="F553" s="9"/>
      <c r="G553" s="9"/>
      <c r="H553" s="9"/>
      <c r="I553" s="9"/>
      <c r="J553" s="9"/>
      <c r="K553" s="9"/>
      <c r="L553" s="9"/>
      <c r="M553" s="2"/>
      <c r="N553" s="2"/>
      <c r="O553" s="2"/>
      <c r="P553" s="2"/>
    </row>
    <row r="554" spans="1:16" ht="12.75">
      <c r="A554" s="334" t="s">
        <v>4548</v>
      </c>
      <c r="B554" s="334" t="s">
        <v>1237</v>
      </c>
      <c r="C554" s="332" t="s">
        <v>1239</v>
      </c>
      <c r="D554" s="333" t="s">
        <v>1240</v>
      </c>
      <c r="E554" s="42"/>
      <c r="F554" s="9"/>
      <c r="G554" s="9"/>
      <c r="H554" s="9"/>
      <c r="I554" s="9"/>
      <c r="J554" s="9"/>
      <c r="K554" s="9"/>
      <c r="L554" s="9"/>
      <c r="M554" s="2"/>
      <c r="N554" s="2"/>
      <c r="O554" s="2"/>
      <c r="P554" s="2"/>
    </row>
    <row r="555" spans="1:16" ht="12.75">
      <c r="A555" s="344" t="s">
        <v>4546</v>
      </c>
      <c r="B555" s="331" t="s">
        <v>1801</v>
      </c>
      <c r="C555" s="332" t="s">
        <v>1803</v>
      </c>
      <c r="D555" s="333" t="s">
        <v>1805</v>
      </c>
      <c r="E555" s="42"/>
      <c r="F555" s="9"/>
      <c r="G555" s="9"/>
      <c r="H555" s="9"/>
      <c r="I555" s="9"/>
      <c r="J555" s="9"/>
      <c r="K555" s="9"/>
      <c r="L555" s="9"/>
      <c r="M555" s="2"/>
      <c r="N555" s="2"/>
      <c r="O555" s="2"/>
      <c r="P555" s="2"/>
    </row>
    <row r="556" spans="1:16" ht="12.75">
      <c r="A556" s="334" t="s">
        <v>4548</v>
      </c>
      <c r="B556" s="348" t="s">
        <v>806</v>
      </c>
      <c r="C556" s="356" t="s">
        <v>356</v>
      </c>
      <c r="D556" s="333" t="s">
        <v>808</v>
      </c>
      <c r="E556" s="42"/>
      <c r="F556" s="9"/>
      <c r="G556" s="9"/>
      <c r="H556" s="9"/>
      <c r="I556" s="9"/>
      <c r="J556" s="9"/>
      <c r="K556" s="9"/>
      <c r="L556" s="9"/>
      <c r="M556" s="2"/>
      <c r="N556" s="2"/>
      <c r="O556" s="2"/>
      <c r="P556" s="2"/>
    </row>
    <row r="557" spans="1:16" ht="12.75">
      <c r="A557" s="331" t="s">
        <v>4560</v>
      </c>
      <c r="B557" s="349" t="s">
        <v>806</v>
      </c>
      <c r="C557" s="356" t="s">
        <v>356</v>
      </c>
      <c r="D557" s="333" t="s">
        <v>808</v>
      </c>
      <c r="E557" s="42"/>
      <c r="F557" s="9"/>
      <c r="G557" s="9"/>
      <c r="H557" s="9"/>
      <c r="I557" s="9"/>
      <c r="J557" s="9"/>
      <c r="K557" s="9"/>
      <c r="L557" s="9"/>
      <c r="M557" s="2"/>
      <c r="N557" s="2"/>
      <c r="O557" s="2"/>
      <c r="P557" s="2"/>
    </row>
    <row r="558" spans="1:16" ht="12.75">
      <c r="A558" s="334" t="s">
        <v>4558</v>
      </c>
      <c r="B558" s="334" t="s">
        <v>1662</v>
      </c>
      <c r="C558" s="332" t="s">
        <v>1664</v>
      </c>
      <c r="D558" s="333" t="s">
        <v>1665</v>
      </c>
      <c r="E558" s="42"/>
      <c r="F558" s="9"/>
      <c r="G558" s="9"/>
      <c r="H558" s="9"/>
      <c r="I558" s="9"/>
      <c r="J558" s="9"/>
      <c r="K558" s="9"/>
      <c r="L558" s="9"/>
      <c r="M558" s="2"/>
      <c r="N558" s="2"/>
      <c r="O558" s="2"/>
      <c r="P558" s="2"/>
    </row>
    <row r="559" spans="1:16" ht="12.75">
      <c r="A559" s="334" t="s">
        <v>4553</v>
      </c>
      <c r="B559" s="357" t="s">
        <v>1014</v>
      </c>
      <c r="C559" s="332" t="s">
        <v>964</v>
      </c>
      <c r="D559" s="333" t="s">
        <v>1016</v>
      </c>
      <c r="E559" s="42"/>
      <c r="F559" s="9"/>
      <c r="G559" s="9"/>
      <c r="H559" s="9"/>
      <c r="I559" s="9"/>
      <c r="J559" s="9"/>
      <c r="K559" s="9"/>
      <c r="L559" s="9"/>
      <c r="M559" s="2"/>
      <c r="N559" s="2"/>
      <c r="O559" s="2"/>
      <c r="P559" s="2"/>
    </row>
    <row r="560" spans="1:16">
      <c r="A560" s="331" t="s">
        <v>4554</v>
      </c>
      <c r="B560" s="339" t="s">
        <v>1402</v>
      </c>
      <c r="C560" s="332" t="s">
        <v>193</v>
      </c>
      <c r="D560" s="366" t="s">
        <v>1404</v>
      </c>
      <c r="E560" s="42"/>
      <c r="F560" s="9"/>
      <c r="G560" s="9"/>
      <c r="H560" s="9"/>
      <c r="I560" s="9"/>
      <c r="J560" s="9"/>
      <c r="K560" s="9"/>
      <c r="L560" s="9"/>
      <c r="M560" s="2"/>
      <c r="N560" s="2"/>
      <c r="O560" s="2"/>
      <c r="P560" s="2"/>
    </row>
    <row r="561" spans="1:16" ht="12.75">
      <c r="A561" s="334" t="s">
        <v>4553</v>
      </c>
      <c r="B561" s="357" t="s">
        <v>1014</v>
      </c>
      <c r="C561" s="332" t="s">
        <v>964</v>
      </c>
      <c r="D561" s="333" t="s">
        <v>1016</v>
      </c>
      <c r="E561" s="42"/>
      <c r="F561" s="9"/>
      <c r="G561" s="9"/>
      <c r="H561" s="9"/>
      <c r="I561" s="9"/>
      <c r="J561" s="9"/>
      <c r="K561" s="9"/>
      <c r="L561" s="9"/>
      <c r="M561" s="2"/>
      <c r="N561" s="2"/>
      <c r="O561" s="2"/>
      <c r="P561" s="2"/>
    </row>
    <row r="562" spans="1:16" ht="12.75">
      <c r="A562" s="331" t="s">
        <v>4548</v>
      </c>
      <c r="B562" s="361" t="s">
        <v>2946</v>
      </c>
      <c r="C562" s="332" t="s">
        <v>237</v>
      </c>
      <c r="D562" s="333" t="s">
        <v>2948</v>
      </c>
      <c r="E562" s="42"/>
      <c r="F562" s="9"/>
      <c r="G562" s="9"/>
      <c r="H562" s="9"/>
      <c r="I562" s="9"/>
      <c r="J562" s="9"/>
      <c r="K562" s="9"/>
      <c r="L562" s="9"/>
      <c r="M562" s="2"/>
      <c r="N562" s="2"/>
      <c r="O562" s="2"/>
      <c r="P562" s="2"/>
    </row>
    <row r="563" spans="1:16" ht="12.75">
      <c r="A563" s="334" t="s">
        <v>4560</v>
      </c>
      <c r="B563" s="334" t="s">
        <v>1610</v>
      </c>
      <c r="C563" s="332" t="s">
        <v>134</v>
      </c>
      <c r="D563" s="333" t="s">
        <v>1612</v>
      </c>
      <c r="E563" s="42"/>
      <c r="F563" s="9"/>
      <c r="G563" s="9"/>
      <c r="H563" s="9"/>
      <c r="I563" s="9"/>
      <c r="J563" s="9"/>
      <c r="K563" s="9"/>
      <c r="L563" s="9"/>
      <c r="M563" s="2"/>
      <c r="N563" s="2"/>
      <c r="O563" s="2"/>
      <c r="P563" s="2"/>
    </row>
    <row r="564" spans="1:16" ht="12.75">
      <c r="A564" s="331" t="s">
        <v>4562</v>
      </c>
      <c r="B564" s="331" t="s">
        <v>940</v>
      </c>
      <c r="C564" s="332" t="s">
        <v>218</v>
      </c>
      <c r="D564" s="333" t="s">
        <v>3594</v>
      </c>
      <c r="E564" s="42"/>
      <c r="F564" s="9"/>
      <c r="G564" s="9"/>
      <c r="H564" s="9"/>
      <c r="I564" s="9"/>
      <c r="J564" s="9"/>
      <c r="K564" s="9"/>
      <c r="L564" s="9"/>
      <c r="M564" s="2"/>
      <c r="N564" s="2"/>
      <c r="O564" s="2"/>
      <c r="P564" s="2"/>
    </row>
    <row r="565" spans="1:16" ht="12.75">
      <c r="A565" s="334" t="s">
        <v>4562</v>
      </c>
      <c r="B565" s="334" t="s">
        <v>566</v>
      </c>
      <c r="C565" s="332" t="s">
        <v>568</v>
      </c>
      <c r="D565" s="333" t="s">
        <v>569</v>
      </c>
      <c r="E565" s="42"/>
      <c r="F565" s="9"/>
      <c r="G565" s="9"/>
      <c r="H565" s="9"/>
      <c r="I565" s="9"/>
      <c r="J565" s="9"/>
      <c r="K565" s="9"/>
      <c r="L565" s="9"/>
      <c r="M565" s="2"/>
      <c r="N565" s="2"/>
      <c r="O565" s="2"/>
      <c r="P565" s="2"/>
    </row>
    <row r="566" spans="1:16" ht="12.75">
      <c r="A566" s="331" t="s">
        <v>4553</v>
      </c>
      <c r="B566" s="331" t="s">
        <v>12</v>
      </c>
      <c r="C566" s="332" t="s">
        <v>14</v>
      </c>
      <c r="D566" s="333" t="s">
        <v>15</v>
      </c>
      <c r="E566" s="42"/>
      <c r="F566" s="9"/>
      <c r="G566" s="9"/>
      <c r="H566" s="9"/>
      <c r="I566" s="9"/>
      <c r="J566" s="9"/>
      <c r="K566" s="9"/>
      <c r="L566" s="9"/>
      <c r="M566" s="2"/>
      <c r="N566" s="2"/>
      <c r="O566" s="2"/>
      <c r="P566" s="2"/>
    </row>
    <row r="567" spans="1:16" ht="12.75">
      <c r="A567" s="335" t="s">
        <v>4560</v>
      </c>
      <c r="B567" s="334" t="s">
        <v>290</v>
      </c>
      <c r="C567" s="332" t="s">
        <v>237</v>
      </c>
      <c r="D567" s="333" t="s">
        <v>291</v>
      </c>
      <c r="E567" s="42"/>
      <c r="F567" s="9"/>
      <c r="G567" s="9"/>
      <c r="H567" s="9"/>
      <c r="I567" s="9"/>
      <c r="J567" s="9"/>
      <c r="K567" s="9"/>
      <c r="L567" s="9"/>
      <c r="M567" s="2"/>
      <c r="N567" s="2"/>
      <c r="O567" s="2"/>
      <c r="P567" s="2"/>
    </row>
    <row r="568" spans="1:16" ht="12.75">
      <c r="A568" s="331" t="s">
        <v>4562</v>
      </c>
      <c r="B568" s="331" t="s">
        <v>1569</v>
      </c>
      <c r="C568" s="332" t="s">
        <v>237</v>
      </c>
      <c r="D568" s="333" t="s">
        <v>1571</v>
      </c>
      <c r="E568" s="42"/>
      <c r="F568" s="9"/>
      <c r="G568" s="9"/>
      <c r="H568" s="9"/>
      <c r="I568" s="9"/>
      <c r="J568" s="9"/>
      <c r="K568" s="9"/>
      <c r="L568" s="9"/>
      <c r="M568" s="2"/>
      <c r="N568" s="2"/>
      <c r="O568" s="2"/>
      <c r="P568" s="2"/>
    </row>
    <row r="569" spans="1:16" ht="12.75">
      <c r="A569" s="334" t="s">
        <v>4560</v>
      </c>
      <c r="B569" s="334" t="s">
        <v>784</v>
      </c>
      <c r="C569" s="332" t="s">
        <v>786</v>
      </c>
      <c r="D569" s="333" t="s">
        <v>787</v>
      </c>
      <c r="E569" s="42"/>
      <c r="F569" s="9"/>
      <c r="G569" s="9"/>
      <c r="H569" s="9"/>
      <c r="I569" s="9"/>
      <c r="J569" s="9"/>
      <c r="K569" s="9"/>
      <c r="L569" s="9"/>
      <c r="M569" s="2"/>
      <c r="N569" s="2"/>
      <c r="O569" s="2"/>
      <c r="P569" s="2"/>
    </row>
    <row r="570" spans="1:16" ht="12.75">
      <c r="A570" s="331" t="s">
        <v>4560</v>
      </c>
      <c r="B570" s="331" t="s">
        <v>1395</v>
      </c>
      <c r="C570" s="332" t="s">
        <v>186</v>
      </c>
      <c r="D570" s="333" t="s">
        <v>1397</v>
      </c>
      <c r="E570" s="42"/>
      <c r="F570" s="9"/>
      <c r="G570" s="9"/>
      <c r="H570" s="9"/>
      <c r="I570" s="9"/>
      <c r="J570" s="9"/>
      <c r="K570" s="9"/>
      <c r="L570" s="9"/>
      <c r="M570" s="2"/>
      <c r="N570" s="2"/>
      <c r="O570" s="2"/>
      <c r="P570" s="2"/>
    </row>
    <row r="571" spans="1:16" ht="12.75">
      <c r="A571" s="334" t="s">
        <v>4560</v>
      </c>
      <c r="B571" s="334" t="s">
        <v>1395</v>
      </c>
      <c r="C571" s="332" t="s">
        <v>186</v>
      </c>
      <c r="D571" s="333" t="s">
        <v>1397</v>
      </c>
      <c r="E571" s="42"/>
      <c r="F571" s="9"/>
      <c r="G571" s="9"/>
      <c r="H571" s="9"/>
      <c r="I571" s="9"/>
      <c r="J571" s="9"/>
      <c r="K571" s="9"/>
      <c r="L571" s="9"/>
      <c r="M571" s="2"/>
      <c r="N571" s="2"/>
      <c r="O571" s="2"/>
      <c r="P571" s="2"/>
    </row>
    <row r="572" spans="1:16" ht="12.75">
      <c r="A572" s="331" t="s">
        <v>1814</v>
      </c>
      <c r="B572" s="331" t="s">
        <v>1815</v>
      </c>
      <c r="C572" s="332" t="s">
        <v>218</v>
      </c>
      <c r="D572" s="333" t="s">
        <v>1817</v>
      </c>
      <c r="E572" s="42"/>
      <c r="F572" s="9"/>
      <c r="G572" s="9"/>
      <c r="H572" s="9"/>
      <c r="I572" s="9"/>
      <c r="J572" s="9"/>
      <c r="K572" s="9"/>
      <c r="L572" s="9"/>
      <c r="M572" s="2"/>
      <c r="N572" s="2"/>
      <c r="O572" s="2"/>
      <c r="P572" s="2"/>
    </row>
    <row r="573" spans="1:16" ht="12.75">
      <c r="A573" s="335" t="s">
        <v>4560</v>
      </c>
      <c r="B573" s="334" t="s">
        <v>1002</v>
      </c>
      <c r="C573" s="332" t="s">
        <v>1004</v>
      </c>
      <c r="D573" s="333" t="s">
        <v>1006</v>
      </c>
      <c r="E573" s="42"/>
      <c r="F573" s="9"/>
      <c r="G573" s="9"/>
      <c r="H573" s="9"/>
      <c r="I573" s="9"/>
      <c r="J573" s="9"/>
      <c r="K573" s="9"/>
      <c r="L573" s="9"/>
      <c r="M573" s="2"/>
      <c r="N573" s="2"/>
      <c r="O573" s="2"/>
      <c r="P573" s="2"/>
    </row>
    <row r="574" spans="1:16" ht="12.75">
      <c r="A574" s="331" t="s">
        <v>4562</v>
      </c>
      <c r="B574" s="331" t="s">
        <v>149</v>
      </c>
      <c r="C574" s="332" t="s">
        <v>151</v>
      </c>
      <c r="D574" s="333" t="s">
        <v>152</v>
      </c>
      <c r="E574" s="42"/>
      <c r="F574" s="9"/>
      <c r="G574" s="9"/>
      <c r="H574" s="9"/>
      <c r="I574" s="9"/>
      <c r="J574" s="9"/>
      <c r="K574" s="9"/>
      <c r="L574" s="9"/>
      <c r="M574" s="2"/>
      <c r="N574" s="2"/>
      <c r="O574" s="2"/>
      <c r="P574" s="2"/>
    </row>
    <row r="575" spans="1:16" ht="12.75">
      <c r="A575" s="334" t="s">
        <v>4545</v>
      </c>
      <c r="B575" s="334" t="s">
        <v>149</v>
      </c>
      <c r="C575" s="332" t="s">
        <v>151</v>
      </c>
      <c r="D575" s="333" t="s">
        <v>152</v>
      </c>
      <c r="E575" s="42"/>
      <c r="F575" s="9"/>
      <c r="G575" s="9"/>
      <c r="H575" s="9"/>
      <c r="I575" s="9"/>
      <c r="J575" s="9"/>
      <c r="K575" s="9"/>
      <c r="L575" s="9"/>
      <c r="M575" s="2"/>
      <c r="N575" s="2"/>
      <c r="O575" s="2"/>
      <c r="P575" s="2"/>
    </row>
    <row r="576" spans="1:16" ht="12.75">
      <c r="A576" s="331" t="s">
        <v>4557</v>
      </c>
      <c r="B576" s="331" t="s">
        <v>1329</v>
      </c>
      <c r="C576" s="332" t="s">
        <v>1331</v>
      </c>
      <c r="D576" s="333" t="s">
        <v>1332</v>
      </c>
      <c r="E576" s="42"/>
      <c r="F576" s="9"/>
      <c r="G576" s="9"/>
      <c r="H576" s="9"/>
      <c r="I576" s="9"/>
      <c r="J576" s="9"/>
      <c r="K576" s="9"/>
      <c r="L576" s="9"/>
      <c r="M576" s="2"/>
      <c r="N576" s="2"/>
      <c r="O576" s="2"/>
      <c r="P576" s="2"/>
    </row>
    <row r="577" spans="1:16" ht="12.75">
      <c r="A577" s="334" t="s">
        <v>4557</v>
      </c>
      <c r="B577" s="334" t="s">
        <v>1329</v>
      </c>
      <c r="C577" s="332" t="s">
        <v>1331</v>
      </c>
      <c r="D577" s="333" t="s">
        <v>1332</v>
      </c>
      <c r="E577" s="42"/>
      <c r="F577" s="9"/>
      <c r="G577" s="9"/>
      <c r="H577" s="9"/>
      <c r="I577" s="9"/>
      <c r="J577" s="9"/>
      <c r="K577" s="9"/>
      <c r="L577" s="9"/>
      <c r="M577" s="2"/>
      <c r="N577" s="2"/>
      <c r="O577" s="2"/>
      <c r="P577" s="2"/>
    </row>
    <row r="578" spans="1:16" ht="12.75">
      <c r="A578" s="331" t="s">
        <v>4545</v>
      </c>
      <c r="B578" s="331" t="s">
        <v>945</v>
      </c>
      <c r="C578" s="332" t="s">
        <v>947</v>
      </c>
      <c r="D578" s="333" t="s">
        <v>948</v>
      </c>
      <c r="E578" s="42"/>
      <c r="F578" s="9"/>
      <c r="G578" s="9"/>
      <c r="H578" s="9"/>
      <c r="I578" s="9"/>
      <c r="J578" s="9"/>
      <c r="K578" s="9"/>
      <c r="L578" s="9"/>
      <c r="M578" s="2"/>
      <c r="N578" s="2"/>
      <c r="O578" s="2"/>
      <c r="P578" s="2"/>
    </row>
    <row r="579" spans="1:16" ht="12.75">
      <c r="A579" s="334" t="s">
        <v>4560</v>
      </c>
      <c r="B579" s="334" t="s">
        <v>1065</v>
      </c>
      <c r="C579" s="332" t="s">
        <v>1067</v>
      </c>
      <c r="D579" s="333" t="s">
        <v>1068</v>
      </c>
      <c r="E579" s="42"/>
      <c r="F579" s="9"/>
      <c r="G579" s="9"/>
      <c r="H579" s="9"/>
      <c r="I579" s="9"/>
      <c r="J579" s="9"/>
      <c r="K579" s="9"/>
      <c r="L579" s="9"/>
      <c r="M579" s="2"/>
      <c r="N579" s="2"/>
      <c r="O579" s="2"/>
      <c r="P579" s="2"/>
    </row>
    <row r="580" spans="1:16" ht="12.75">
      <c r="A580" s="331" t="s">
        <v>4553</v>
      </c>
      <c r="B580" s="331" t="s">
        <v>1065</v>
      </c>
      <c r="C580" s="332" t="s">
        <v>1067</v>
      </c>
      <c r="D580" s="333" t="s">
        <v>1068</v>
      </c>
      <c r="E580" s="42"/>
      <c r="F580" s="9"/>
      <c r="G580" s="9"/>
      <c r="H580" s="9"/>
      <c r="I580" s="9"/>
      <c r="J580" s="9"/>
      <c r="K580" s="9"/>
      <c r="L580" s="9"/>
      <c r="M580" s="2"/>
      <c r="N580" s="2"/>
      <c r="O580" s="2"/>
      <c r="P580" s="2"/>
    </row>
    <row r="581" spans="1:16" ht="12.75">
      <c r="A581" s="334" t="s">
        <v>4545</v>
      </c>
      <c r="B581" s="334" t="s">
        <v>487</v>
      </c>
      <c r="C581" s="332" t="s">
        <v>489</v>
      </c>
      <c r="D581" s="333" t="s">
        <v>490</v>
      </c>
      <c r="E581" s="42"/>
      <c r="F581" s="9"/>
      <c r="G581" s="9"/>
      <c r="H581" s="9"/>
      <c r="I581" s="9"/>
      <c r="J581" s="9"/>
      <c r="K581" s="9"/>
      <c r="L581" s="9"/>
      <c r="M581" s="2"/>
      <c r="N581" s="2"/>
      <c r="O581" s="2"/>
      <c r="P581" s="2"/>
    </row>
    <row r="582" spans="1:16" ht="12.75">
      <c r="A582" s="331" t="s">
        <v>4551</v>
      </c>
      <c r="B582" s="331" t="s">
        <v>962</v>
      </c>
      <c r="C582" s="332" t="s">
        <v>964</v>
      </c>
      <c r="D582" s="333" t="s">
        <v>965</v>
      </c>
      <c r="E582" s="42"/>
      <c r="F582" s="9"/>
      <c r="G582" s="9"/>
      <c r="H582" s="9"/>
      <c r="I582" s="9"/>
      <c r="J582" s="9"/>
      <c r="K582" s="9"/>
      <c r="L582" s="9"/>
      <c r="M582" s="2"/>
      <c r="N582" s="2"/>
      <c r="O582" s="2"/>
      <c r="P582" s="2"/>
    </row>
    <row r="583" spans="1:16" ht="12.75">
      <c r="A583" s="334" t="s">
        <v>4551</v>
      </c>
      <c r="B583" s="334" t="s">
        <v>962</v>
      </c>
      <c r="C583" s="332" t="s">
        <v>964</v>
      </c>
      <c r="D583" s="333" t="s">
        <v>965</v>
      </c>
      <c r="E583" s="42"/>
      <c r="F583" s="9"/>
      <c r="G583" s="9"/>
      <c r="H583" s="9"/>
      <c r="I583" s="9"/>
      <c r="J583" s="9"/>
      <c r="K583" s="9"/>
      <c r="L583" s="9"/>
      <c r="M583" s="2"/>
      <c r="N583" s="2"/>
      <c r="O583" s="2"/>
      <c r="P583" s="2"/>
    </row>
    <row r="584" spans="1:16" ht="12.75">
      <c r="A584" s="331" t="s">
        <v>4553</v>
      </c>
      <c r="B584" s="331" t="s">
        <v>284</v>
      </c>
      <c r="C584" s="332" t="s">
        <v>286</v>
      </c>
      <c r="D584" s="333" t="s">
        <v>204</v>
      </c>
      <c r="E584" s="42"/>
      <c r="F584" s="9"/>
      <c r="G584" s="9"/>
      <c r="H584" s="9"/>
      <c r="I584" s="9"/>
      <c r="J584" s="9"/>
      <c r="K584" s="9"/>
      <c r="L584" s="9"/>
      <c r="M584" s="2"/>
      <c r="N584" s="2"/>
      <c r="O584" s="2"/>
      <c r="P584" s="2"/>
    </row>
    <row r="585" spans="1:16" ht="15">
      <c r="A585" s="331" t="s">
        <v>4554</v>
      </c>
      <c r="B585" s="331" t="s">
        <v>1707</v>
      </c>
      <c r="C585" s="332" t="s">
        <v>599</v>
      </c>
      <c r="D585" s="368" t="s">
        <v>1710</v>
      </c>
      <c r="E585" s="42"/>
      <c r="F585" s="9"/>
      <c r="G585" s="9"/>
      <c r="H585" s="9"/>
      <c r="I585" s="9"/>
      <c r="J585" s="9"/>
      <c r="K585" s="9"/>
      <c r="L585" s="9"/>
      <c r="M585" s="2"/>
      <c r="N585" s="2"/>
      <c r="O585" s="2"/>
      <c r="P585" s="2"/>
    </row>
    <row r="586" spans="1:16" ht="12.75">
      <c r="A586" s="334" t="s">
        <v>4545</v>
      </c>
      <c r="B586" s="334" t="s">
        <v>737</v>
      </c>
      <c r="C586" s="332" t="s">
        <v>739</v>
      </c>
      <c r="D586" s="333" t="s">
        <v>740</v>
      </c>
      <c r="E586" s="42"/>
      <c r="F586" s="9"/>
      <c r="G586" s="9"/>
      <c r="H586" s="9"/>
      <c r="I586" s="9"/>
      <c r="J586" s="9"/>
      <c r="K586" s="9"/>
      <c r="L586" s="9"/>
      <c r="M586" s="2"/>
      <c r="N586" s="2"/>
      <c r="O586" s="2"/>
      <c r="P586" s="2"/>
    </row>
    <row r="587" spans="1:16" ht="12.75">
      <c r="A587" s="334" t="s">
        <v>4546</v>
      </c>
      <c r="B587" s="334" t="s">
        <v>1655</v>
      </c>
      <c r="C587" s="332" t="s">
        <v>1657</v>
      </c>
      <c r="D587" s="333" t="s">
        <v>1658</v>
      </c>
      <c r="E587" s="42"/>
      <c r="F587" s="9"/>
      <c r="G587" s="9"/>
      <c r="H587" s="9"/>
      <c r="I587" s="9"/>
      <c r="J587" s="9"/>
      <c r="K587" s="9"/>
      <c r="L587" s="9"/>
      <c r="M587" s="2"/>
      <c r="N587" s="2"/>
      <c r="O587" s="2"/>
      <c r="P587" s="2"/>
    </row>
    <row r="588" spans="1:16" ht="12.75">
      <c r="A588" s="334" t="s">
        <v>347</v>
      </c>
      <c r="B588" s="334" t="s">
        <v>348</v>
      </c>
      <c r="C588" s="332" t="s">
        <v>203</v>
      </c>
      <c r="D588" s="346" t="s">
        <v>350</v>
      </c>
      <c r="E588" s="42"/>
      <c r="F588" s="9"/>
      <c r="G588" s="9"/>
      <c r="H588" s="9"/>
      <c r="I588" s="9"/>
      <c r="J588" s="9"/>
      <c r="K588" s="9"/>
      <c r="L588" s="9"/>
      <c r="M588" s="2"/>
      <c r="N588" s="2"/>
      <c r="O588" s="2"/>
      <c r="P588" s="2"/>
    </row>
    <row r="589" spans="1:16" ht="12.75">
      <c r="A589" s="339" t="s">
        <v>4545</v>
      </c>
      <c r="B589" s="331" t="s">
        <v>634</v>
      </c>
      <c r="C589" s="332" t="s">
        <v>186</v>
      </c>
      <c r="D589" s="333" t="s">
        <v>636</v>
      </c>
      <c r="E589" s="42"/>
      <c r="F589" s="9"/>
      <c r="G589" s="9"/>
      <c r="H589" s="9"/>
      <c r="I589" s="9"/>
      <c r="J589" s="9"/>
      <c r="K589" s="9"/>
      <c r="L589" s="9"/>
      <c r="M589" s="2"/>
      <c r="N589" s="2"/>
      <c r="O589" s="2"/>
      <c r="P589" s="2"/>
    </row>
    <row r="590" spans="1:16" ht="12.75">
      <c r="A590" s="338" t="s">
        <v>4545</v>
      </c>
      <c r="B590" s="334" t="s">
        <v>634</v>
      </c>
      <c r="C590" s="332" t="s">
        <v>186</v>
      </c>
      <c r="D590" s="333" t="s">
        <v>636</v>
      </c>
      <c r="E590" s="42"/>
      <c r="F590" s="9"/>
      <c r="G590" s="9"/>
      <c r="H590" s="9"/>
      <c r="I590" s="9"/>
      <c r="J590" s="9"/>
      <c r="K590" s="9"/>
      <c r="L590" s="9"/>
      <c r="M590" s="2"/>
      <c r="N590" s="2"/>
      <c r="O590" s="2"/>
      <c r="P590" s="2"/>
    </row>
    <row r="591" spans="1:16" ht="12.75">
      <c r="A591" s="339" t="s">
        <v>4545</v>
      </c>
      <c r="B591" s="331" t="s">
        <v>634</v>
      </c>
      <c r="C591" s="332" t="s">
        <v>186</v>
      </c>
      <c r="D591" s="333" t="s">
        <v>636</v>
      </c>
      <c r="E591" s="42"/>
      <c r="F591" s="9"/>
      <c r="G591" s="9"/>
      <c r="H591" s="9"/>
      <c r="I591" s="9"/>
      <c r="J591" s="9"/>
      <c r="K591" s="9"/>
      <c r="L591" s="9"/>
      <c r="M591" s="2"/>
      <c r="N591" s="2"/>
      <c r="O591" s="2"/>
      <c r="P591" s="2"/>
    </row>
    <row r="592" spans="1:16" ht="12.75">
      <c r="A592" s="334" t="s">
        <v>4560</v>
      </c>
      <c r="B592" s="334" t="s">
        <v>968</v>
      </c>
      <c r="C592" s="360" t="s">
        <v>970</v>
      </c>
      <c r="D592" s="333" t="s">
        <v>971</v>
      </c>
      <c r="E592" s="42"/>
      <c r="F592" s="9"/>
      <c r="G592" s="9"/>
      <c r="H592" s="9"/>
      <c r="I592" s="9"/>
      <c r="J592" s="9"/>
      <c r="K592" s="9"/>
      <c r="L592" s="9"/>
      <c r="M592" s="2"/>
      <c r="N592" s="2"/>
      <c r="O592" s="2"/>
      <c r="P592" s="2"/>
    </row>
    <row r="593" spans="1:16" ht="12.75">
      <c r="A593" s="331" t="s">
        <v>4554</v>
      </c>
      <c r="B593" s="331" t="s">
        <v>534</v>
      </c>
      <c r="C593" s="332" t="s">
        <v>536</v>
      </c>
      <c r="D593" s="333" t="s">
        <v>537</v>
      </c>
      <c r="E593" s="42"/>
      <c r="F593" s="9"/>
      <c r="G593" s="9"/>
      <c r="H593" s="9"/>
      <c r="I593" s="9"/>
      <c r="J593" s="9"/>
      <c r="K593" s="9"/>
      <c r="L593" s="9"/>
      <c r="M593" s="2"/>
      <c r="N593" s="2"/>
      <c r="O593" s="2"/>
      <c r="P593" s="2"/>
    </row>
    <row r="594" spans="1:16" ht="15">
      <c r="A594" s="334" t="s">
        <v>4545</v>
      </c>
      <c r="B594" s="334" t="s">
        <v>50</v>
      </c>
      <c r="C594" s="332" t="s">
        <v>52</v>
      </c>
      <c r="D594" s="337" t="s">
        <v>53</v>
      </c>
      <c r="E594" s="42"/>
      <c r="F594" s="9"/>
      <c r="G594" s="9"/>
      <c r="H594" s="9"/>
      <c r="I594" s="9"/>
      <c r="J594" s="9"/>
      <c r="K594" s="9"/>
      <c r="L594" s="9"/>
      <c r="M594" s="2"/>
      <c r="N594" s="2"/>
      <c r="O594" s="2"/>
      <c r="P594" s="2"/>
    </row>
    <row r="595" spans="1:16" ht="15">
      <c r="A595" s="331" t="s">
        <v>4545</v>
      </c>
      <c r="B595" s="331" t="s">
        <v>50</v>
      </c>
      <c r="C595" s="332" t="s">
        <v>52</v>
      </c>
      <c r="D595" s="337" t="s">
        <v>53</v>
      </c>
      <c r="E595" s="42"/>
      <c r="F595" s="9"/>
      <c r="G595" s="9"/>
      <c r="H595" s="9"/>
      <c r="I595" s="9"/>
      <c r="J595" s="9"/>
      <c r="K595" s="9"/>
      <c r="L595" s="9"/>
      <c r="M595" s="2"/>
      <c r="N595" s="2"/>
      <c r="O595" s="2"/>
      <c r="P595" s="2"/>
    </row>
    <row r="596" spans="1:16" ht="12.75">
      <c r="A596" s="338" t="s">
        <v>4571</v>
      </c>
      <c r="B596" s="334" t="s">
        <v>311</v>
      </c>
      <c r="C596" s="332" t="s">
        <v>313</v>
      </c>
      <c r="D596" s="333" t="s">
        <v>314</v>
      </c>
      <c r="E596" s="42"/>
      <c r="F596" s="9"/>
      <c r="G596" s="9"/>
      <c r="H596" s="9"/>
      <c r="I596" s="9"/>
      <c r="J596" s="9"/>
      <c r="K596" s="9"/>
      <c r="L596" s="9"/>
      <c r="M596" s="2"/>
      <c r="N596" s="2"/>
      <c r="O596" s="2"/>
      <c r="P596" s="2"/>
    </row>
    <row r="597" spans="1:16" ht="12.75">
      <c r="A597" s="331" t="s">
        <v>4545</v>
      </c>
      <c r="B597" s="331" t="s">
        <v>1504</v>
      </c>
      <c r="C597" s="332" t="s">
        <v>1506</v>
      </c>
      <c r="D597" s="333" t="s">
        <v>1508</v>
      </c>
      <c r="E597" s="42"/>
      <c r="F597" s="9"/>
      <c r="G597" s="9"/>
      <c r="H597" s="9"/>
      <c r="I597" s="9"/>
      <c r="J597" s="9"/>
      <c r="K597" s="9"/>
      <c r="L597" s="9"/>
      <c r="M597" s="2"/>
      <c r="N597" s="2"/>
      <c r="O597" s="2"/>
      <c r="P597" s="2"/>
    </row>
    <row r="598" spans="1:16" ht="12.75">
      <c r="A598" s="331" t="s">
        <v>17</v>
      </c>
      <c r="B598" s="331" t="s">
        <v>18</v>
      </c>
      <c r="C598" s="332" t="s">
        <v>20</v>
      </c>
      <c r="D598" s="333" t="s">
        <v>21</v>
      </c>
      <c r="E598" s="42"/>
      <c r="F598" s="9"/>
      <c r="G598" s="9"/>
      <c r="H598" s="9"/>
      <c r="I598" s="9"/>
      <c r="J598" s="9"/>
      <c r="K598" s="9"/>
      <c r="L598" s="9"/>
      <c r="M598" s="2"/>
      <c r="N598" s="2"/>
      <c r="O598" s="2"/>
      <c r="P598" s="2"/>
    </row>
    <row r="599" spans="1:16" ht="12.75">
      <c r="A599" s="331" t="s">
        <v>353</v>
      </c>
      <c r="B599" s="331" t="s">
        <v>414</v>
      </c>
      <c r="C599" s="332" t="s">
        <v>416</v>
      </c>
      <c r="D599" s="333" t="s">
        <v>417</v>
      </c>
      <c r="E599" s="42"/>
      <c r="F599" s="9"/>
      <c r="G599" s="9"/>
      <c r="H599" s="9"/>
      <c r="I599" s="9"/>
      <c r="J599" s="9"/>
      <c r="K599" s="9"/>
      <c r="L599" s="9"/>
      <c r="M599" s="2"/>
      <c r="N599" s="2"/>
      <c r="O599" s="2"/>
      <c r="P599" s="2"/>
    </row>
    <row r="600" spans="1:16" ht="12.75">
      <c r="A600" s="334" t="s">
        <v>4557</v>
      </c>
      <c r="B600" s="334" t="s">
        <v>302</v>
      </c>
      <c r="C600" s="332" t="s">
        <v>20</v>
      </c>
      <c r="D600" s="333" t="s">
        <v>21</v>
      </c>
      <c r="E600" s="42"/>
      <c r="F600" s="9"/>
      <c r="G600" s="9"/>
      <c r="H600" s="9"/>
      <c r="I600" s="9"/>
      <c r="J600" s="9"/>
      <c r="K600" s="9"/>
      <c r="L600" s="9"/>
      <c r="M600" s="2"/>
      <c r="N600" s="2"/>
      <c r="O600" s="2"/>
      <c r="P600" s="2"/>
    </row>
    <row r="601" spans="1:16" ht="12.75">
      <c r="A601" s="331" t="s">
        <v>4553</v>
      </c>
      <c r="B601" s="331" t="s">
        <v>920</v>
      </c>
      <c r="C601" s="332" t="s">
        <v>922</v>
      </c>
      <c r="D601" s="333" t="s">
        <v>924</v>
      </c>
      <c r="E601" s="42"/>
      <c r="F601" s="9"/>
      <c r="G601" s="9"/>
      <c r="H601" s="9"/>
      <c r="I601" s="9"/>
      <c r="J601" s="9"/>
      <c r="K601" s="9"/>
      <c r="L601" s="9"/>
      <c r="M601" s="2"/>
      <c r="N601" s="2"/>
      <c r="O601" s="2"/>
      <c r="P601" s="2"/>
    </row>
    <row r="602" spans="1:16" ht="12.75">
      <c r="A602" s="334" t="s">
        <v>4545</v>
      </c>
      <c r="B602" s="334" t="s">
        <v>987</v>
      </c>
      <c r="C602" s="332" t="s">
        <v>989</v>
      </c>
      <c r="D602" s="333" t="s">
        <v>990</v>
      </c>
      <c r="E602" s="42"/>
      <c r="F602" s="9"/>
      <c r="G602" s="9"/>
      <c r="H602" s="9"/>
      <c r="I602" s="9"/>
      <c r="J602" s="9"/>
      <c r="K602" s="9"/>
      <c r="L602" s="9"/>
      <c r="M602" s="2"/>
      <c r="N602" s="2"/>
      <c r="O602" s="2"/>
      <c r="P602" s="2"/>
    </row>
    <row r="603" spans="1:16" ht="12.75">
      <c r="A603" s="331" t="s">
        <v>4560</v>
      </c>
      <c r="B603" s="331" t="s">
        <v>987</v>
      </c>
      <c r="C603" s="332" t="s">
        <v>989</v>
      </c>
      <c r="D603" s="333" t="s">
        <v>990</v>
      </c>
      <c r="E603" s="42"/>
      <c r="F603" s="9"/>
      <c r="G603" s="9"/>
      <c r="H603" s="9"/>
      <c r="I603" s="9"/>
      <c r="J603" s="9"/>
      <c r="K603" s="9"/>
      <c r="L603" s="9"/>
      <c r="M603" s="2"/>
      <c r="N603" s="2"/>
      <c r="O603" s="2"/>
      <c r="P603" s="2"/>
    </row>
    <row r="604" spans="1:16" ht="12.75">
      <c r="A604" s="334" t="s">
        <v>4554</v>
      </c>
      <c r="B604" s="334" t="s">
        <v>461</v>
      </c>
      <c r="C604" s="332" t="s">
        <v>463</v>
      </c>
      <c r="D604" s="333" t="s">
        <v>464</v>
      </c>
      <c r="E604" s="42"/>
      <c r="F604" s="9"/>
      <c r="G604" s="9"/>
      <c r="H604" s="9"/>
      <c r="I604" s="9"/>
      <c r="J604" s="9"/>
      <c r="K604" s="9"/>
      <c r="L604" s="9"/>
      <c r="M604" s="2"/>
      <c r="N604" s="2"/>
      <c r="O604" s="2"/>
      <c r="P604" s="2"/>
    </row>
    <row r="605" spans="1:16" ht="12.75">
      <c r="A605" s="331" t="s">
        <v>4557</v>
      </c>
      <c r="B605" s="331" t="s">
        <v>91</v>
      </c>
      <c r="C605" s="332" t="s">
        <v>93</v>
      </c>
      <c r="D605" s="333" t="s">
        <v>94</v>
      </c>
      <c r="E605" s="42"/>
      <c r="F605" s="9"/>
      <c r="G605" s="9"/>
      <c r="H605" s="9"/>
      <c r="I605" s="9"/>
      <c r="J605" s="9"/>
      <c r="K605" s="9"/>
      <c r="L605" s="9"/>
      <c r="M605" s="2"/>
      <c r="N605" s="2"/>
      <c r="O605" s="2"/>
      <c r="P605" s="2"/>
    </row>
    <row r="606" spans="1:16" ht="12.75">
      <c r="A606" s="334" t="s">
        <v>1209</v>
      </c>
      <c r="B606" s="334" t="s">
        <v>1210</v>
      </c>
      <c r="C606" s="332" t="s">
        <v>218</v>
      </c>
      <c r="D606" s="333" t="s">
        <v>1212</v>
      </c>
      <c r="E606" s="42"/>
      <c r="F606" s="9"/>
      <c r="G606" s="9"/>
      <c r="H606" s="9"/>
      <c r="I606" s="9"/>
      <c r="J606" s="9"/>
      <c r="K606" s="9"/>
      <c r="L606" s="9"/>
      <c r="M606" s="2"/>
      <c r="N606" s="2"/>
      <c r="O606" s="2"/>
      <c r="P606" s="2"/>
    </row>
    <row r="607" spans="1:16" ht="12.75">
      <c r="A607" s="334" t="s">
        <v>4550</v>
      </c>
      <c r="B607" s="334" t="s">
        <v>1039</v>
      </c>
      <c r="C607" s="332" t="s">
        <v>218</v>
      </c>
      <c r="D607" s="333" t="s">
        <v>1041</v>
      </c>
      <c r="E607" s="42"/>
      <c r="F607" s="9"/>
      <c r="G607" s="9"/>
      <c r="H607" s="9"/>
      <c r="I607" s="9"/>
      <c r="J607" s="9"/>
      <c r="K607" s="9"/>
      <c r="L607" s="9"/>
      <c r="M607" s="2"/>
      <c r="N607" s="2"/>
      <c r="O607" s="2"/>
      <c r="P607" s="2"/>
    </row>
    <row r="608" spans="1:16" ht="12.75">
      <c r="A608" s="331" t="s">
        <v>4545</v>
      </c>
      <c r="B608" s="331" t="s">
        <v>1043</v>
      </c>
      <c r="C608" s="332" t="s">
        <v>218</v>
      </c>
      <c r="D608" s="333" t="s">
        <v>1041</v>
      </c>
      <c r="E608" s="42"/>
      <c r="F608" s="9"/>
      <c r="G608" s="9"/>
      <c r="H608" s="9"/>
      <c r="I608" s="9"/>
      <c r="J608" s="9"/>
      <c r="K608" s="9"/>
      <c r="L608" s="9"/>
      <c r="M608" s="2"/>
      <c r="N608" s="2"/>
      <c r="O608" s="2"/>
      <c r="P608" s="2"/>
    </row>
    <row r="609" spans="1:16" ht="12.75">
      <c r="A609" s="331" t="s">
        <v>790</v>
      </c>
      <c r="B609" s="331" t="s">
        <v>1047</v>
      </c>
      <c r="C609" s="332" t="s">
        <v>1049</v>
      </c>
      <c r="D609" s="333" t="s">
        <v>1050</v>
      </c>
      <c r="E609" s="42"/>
      <c r="F609" s="9"/>
      <c r="G609" s="9"/>
      <c r="H609" s="9"/>
      <c r="I609" s="9"/>
      <c r="J609" s="9"/>
      <c r="K609" s="9"/>
      <c r="L609" s="9"/>
      <c r="M609" s="2"/>
      <c r="N609" s="2"/>
      <c r="O609" s="2"/>
      <c r="P609" s="2"/>
    </row>
    <row r="610" spans="1:16" ht="12.75">
      <c r="A610" s="334" t="s">
        <v>4562</v>
      </c>
      <c r="B610" s="334" t="s">
        <v>249</v>
      </c>
      <c r="C610" s="332" t="s">
        <v>251</v>
      </c>
      <c r="D610" s="333" t="s">
        <v>252</v>
      </c>
      <c r="E610" s="42"/>
      <c r="F610" s="9"/>
      <c r="G610" s="9"/>
      <c r="H610" s="9"/>
      <c r="I610" s="9"/>
      <c r="J610" s="9"/>
      <c r="K610" s="9"/>
      <c r="L610" s="9"/>
      <c r="M610" s="2"/>
      <c r="N610" s="2"/>
      <c r="O610" s="2"/>
      <c r="P610" s="2"/>
    </row>
    <row r="611" spans="1:16" ht="12.75">
      <c r="A611" s="331" t="s">
        <v>4553</v>
      </c>
      <c r="B611" s="331" t="s">
        <v>711</v>
      </c>
      <c r="C611" s="332" t="s">
        <v>713</v>
      </c>
      <c r="D611" s="333" t="s">
        <v>714</v>
      </c>
      <c r="E611" s="42"/>
      <c r="F611" s="9"/>
      <c r="G611" s="9"/>
      <c r="H611" s="9"/>
      <c r="I611" s="9"/>
      <c r="J611" s="9"/>
      <c r="K611" s="9"/>
      <c r="L611" s="9"/>
      <c r="M611" s="2"/>
      <c r="N611" s="2"/>
      <c r="O611" s="2"/>
      <c r="P611" s="2"/>
    </row>
    <row r="612" spans="1:16" ht="12.75">
      <c r="A612" s="334" t="s">
        <v>4545</v>
      </c>
      <c r="B612" s="334" t="s">
        <v>711</v>
      </c>
      <c r="C612" s="332" t="s">
        <v>713</v>
      </c>
      <c r="D612" s="333" t="s">
        <v>714</v>
      </c>
      <c r="E612" s="42"/>
      <c r="F612" s="9"/>
      <c r="G612" s="9"/>
      <c r="H612" s="9"/>
      <c r="I612" s="9"/>
      <c r="J612" s="9"/>
      <c r="K612" s="9"/>
      <c r="L612" s="9"/>
      <c r="M612" s="2"/>
      <c r="N612" s="2"/>
      <c r="O612" s="2"/>
      <c r="P612" s="2"/>
    </row>
    <row r="613" spans="1:16" ht="12.75">
      <c r="A613" s="331" t="s">
        <v>4547</v>
      </c>
      <c r="B613" s="331" t="s">
        <v>435</v>
      </c>
      <c r="C613" s="332" t="s">
        <v>437</v>
      </c>
      <c r="D613" s="333" t="s">
        <v>438</v>
      </c>
      <c r="E613" s="42"/>
      <c r="F613" s="9"/>
      <c r="G613" s="9"/>
      <c r="H613" s="9"/>
      <c r="I613" s="9"/>
      <c r="J613" s="9"/>
      <c r="K613" s="9"/>
      <c r="L613" s="9"/>
      <c r="M613" s="2"/>
      <c r="N613" s="2"/>
      <c r="O613" s="2"/>
      <c r="P613" s="2"/>
    </row>
    <row r="614" spans="1:16" ht="12.75">
      <c r="A614" s="334" t="s">
        <v>4545</v>
      </c>
      <c r="B614" s="334" t="s">
        <v>1551</v>
      </c>
      <c r="C614" s="332" t="s">
        <v>1553</v>
      </c>
      <c r="D614" s="333" t="s">
        <v>438</v>
      </c>
      <c r="E614" s="42"/>
      <c r="F614" s="9"/>
      <c r="G614" s="9"/>
      <c r="H614" s="9"/>
      <c r="I614" s="9"/>
      <c r="J614" s="9"/>
      <c r="K614" s="9"/>
      <c r="L614" s="9"/>
      <c r="M614" s="2"/>
      <c r="N614" s="2"/>
      <c r="O614" s="2"/>
      <c r="P614" s="2"/>
    </row>
    <row r="615" spans="1:16" ht="12.75">
      <c r="A615" s="331" t="s">
        <v>4554</v>
      </c>
      <c r="B615" s="331" t="s">
        <v>1459</v>
      </c>
      <c r="C615" s="332" t="s">
        <v>1461</v>
      </c>
      <c r="D615" s="333" t="s">
        <v>1462</v>
      </c>
      <c r="E615" s="42"/>
      <c r="F615" s="9"/>
      <c r="G615" s="9"/>
      <c r="H615" s="9"/>
      <c r="I615" s="9"/>
      <c r="J615" s="9"/>
      <c r="K615" s="9"/>
      <c r="L615" s="9"/>
      <c r="M615" s="2"/>
      <c r="N615" s="2"/>
      <c r="O615" s="2"/>
      <c r="P615" s="2"/>
    </row>
    <row r="616" spans="1:16" ht="12.75">
      <c r="A616" s="334" t="s">
        <v>4546</v>
      </c>
      <c r="B616" s="334" t="s">
        <v>1637</v>
      </c>
      <c r="C616" s="332" t="s">
        <v>237</v>
      </c>
      <c r="D616" s="333" t="s">
        <v>1639</v>
      </c>
      <c r="E616" s="42"/>
      <c r="F616" s="9"/>
      <c r="G616" s="9"/>
      <c r="H616" s="9"/>
      <c r="I616" s="9"/>
      <c r="J616" s="9"/>
      <c r="K616" s="9"/>
      <c r="L616" s="9"/>
      <c r="M616" s="2"/>
      <c r="N616" s="2"/>
      <c r="O616" s="2"/>
      <c r="P616" s="2"/>
    </row>
    <row r="617" spans="1:16" ht="12.75">
      <c r="A617" s="334" t="s">
        <v>4553</v>
      </c>
      <c r="B617" s="334" t="s">
        <v>548</v>
      </c>
      <c r="C617" s="332" t="s">
        <v>550</v>
      </c>
      <c r="D617" s="333" t="s">
        <v>551</v>
      </c>
      <c r="E617" s="42"/>
      <c r="F617" s="9"/>
      <c r="G617" s="9"/>
      <c r="H617" s="9"/>
      <c r="I617" s="9"/>
      <c r="J617" s="9"/>
      <c r="K617" s="9"/>
      <c r="L617" s="9"/>
      <c r="M617" s="2"/>
      <c r="N617" s="2"/>
      <c r="O617" s="2"/>
      <c r="P617" s="2"/>
    </row>
    <row r="618" spans="1:16" ht="12.75">
      <c r="A618" s="331" t="s">
        <v>4560</v>
      </c>
      <c r="B618" s="331" t="s">
        <v>1075</v>
      </c>
      <c r="C618" s="332" t="s">
        <v>59</v>
      </c>
      <c r="D618" s="333" t="s">
        <v>1077</v>
      </c>
      <c r="E618" s="42"/>
      <c r="F618" s="9"/>
      <c r="G618" s="9"/>
      <c r="H618" s="9"/>
      <c r="I618" s="9"/>
      <c r="J618" s="9"/>
      <c r="K618" s="9"/>
      <c r="L618" s="9"/>
      <c r="M618" s="2"/>
      <c r="N618" s="2"/>
      <c r="O618" s="2"/>
      <c r="P618" s="2"/>
    </row>
    <row r="619" spans="1:16" ht="12.75">
      <c r="A619" s="338" t="s">
        <v>4546</v>
      </c>
      <c r="B619" s="334" t="s">
        <v>209</v>
      </c>
      <c r="C619" s="332" t="s">
        <v>211</v>
      </c>
      <c r="D619" s="333" t="s">
        <v>213</v>
      </c>
      <c r="E619" s="42"/>
      <c r="F619" s="9"/>
      <c r="G619" s="9"/>
      <c r="H619" s="9"/>
      <c r="I619" s="9"/>
      <c r="J619" s="9"/>
      <c r="K619" s="9"/>
      <c r="L619" s="9"/>
      <c r="M619" s="2"/>
      <c r="N619" s="2"/>
      <c r="O619" s="2"/>
      <c r="P619" s="2"/>
    </row>
    <row r="620" spans="1:16" ht="12.75">
      <c r="A620" s="331" t="s">
        <v>4554</v>
      </c>
      <c r="B620" s="331" t="s">
        <v>1313</v>
      </c>
      <c r="C620" s="332" t="s">
        <v>1315</v>
      </c>
      <c r="D620" s="333" t="s">
        <v>1316</v>
      </c>
      <c r="E620" s="42"/>
      <c r="F620" s="9"/>
      <c r="G620" s="9"/>
      <c r="H620" s="9"/>
      <c r="I620" s="9"/>
      <c r="J620" s="9"/>
      <c r="K620" s="9"/>
      <c r="L620" s="9"/>
      <c r="M620" s="2"/>
      <c r="N620" s="2"/>
      <c r="O620" s="2"/>
      <c r="P620" s="2"/>
    </row>
    <row r="621" spans="1:16" ht="12.75">
      <c r="A621" s="334" t="s">
        <v>4554</v>
      </c>
      <c r="B621" s="334" t="s">
        <v>1313</v>
      </c>
      <c r="C621" s="332" t="s">
        <v>1315</v>
      </c>
      <c r="D621" s="333" t="s">
        <v>1316</v>
      </c>
      <c r="E621" s="42"/>
      <c r="F621" s="9"/>
      <c r="G621" s="9"/>
      <c r="H621" s="9"/>
      <c r="I621" s="9"/>
      <c r="J621" s="9"/>
      <c r="K621" s="9"/>
      <c r="L621" s="9"/>
      <c r="M621" s="2"/>
      <c r="N621" s="2"/>
      <c r="O621" s="2"/>
      <c r="P621" s="2"/>
    </row>
    <row r="622" spans="1:16" ht="12.75">
      <c r="A622" s="331" t="s">
        <v>4559</v>
      </c>
      <c r="B622" s="331" t="s">
        <v>116</v>
      </c>
      <c r="C622" s="332" t="s">
        <v>1410</v>
      </c>
      <c r="D622" s="333" t="s">
        <v>1864</v>
      </c>
      <c r="E622" s="42"/>
      <c r="F622" s="9"/>
      <c r="G622" s="9"/>
      <c r="H622" s="9"/>
      <c r="I622" s="9"/>
      <c r="J622" s="9"/>
      <c r="K622" s="9"/>
      <c r="L622" s="9"/>
      <c r="M622" s="2"/>
      <c r="N622" s="2"/>
      <c r="O622" s="2"/>
      <c r="P622" s="2"/>
    </row>
    <row r="623" spans="1:16" ht="12.75">
      <c r="A623" s="334" t="s">
        <v>4546</v>
      </c>
      <c r="B623" s="334" t="s">
        <v>1198</v>
      </c>
      <c r="C623" s="332" t="s">
        <v>237</v>
      </c>
      <c r="D623" s="333" t="s">
        <v>1201</v>
      </c>
      <c r="E623" s="42"/>
      <c r="F623" s="9"/>
      <c r="G623" s="9"/>
      <c r="H623" s="9"/>
      <c r="I623" s="9"/>
      <c r="J623" s="9"/>
      <c r="K623" s="9"/>
      <c r="L623" s="9"/>
      <c r="M623" s="2"/>
      <c r="N623" s="2"/>
      <c r="O623" s="2"/>
      <c r="P623" s="2"/>
    </row>
    <row r="624" spans="1:16" ht="12.75">
      <c r="A624" s="339" t="s">
        <v>4546</v>
      </c>
      <c r="B624" s="331" t="s">
        <v>1673</v>
      </c>
      <c r="C624" s="332" t="s">
        <v>437</v>
      </c>
      <c r="D624" s="333" t="s">
        <v>1676</v>
      </c>
      <c r="E624" s="42"/>
      <c r="F624" s="9"/>
      <c r="G624" s="9"/>
      <c r="H624" s="9"/>
      <c r="I624" s="9"/>
      <c r="J624" s="9"/>
      <c r="K624" s="9"/>
      <c r="L624" s="9"/>
      <c r="M624" s="2"/>
      <c r="N624" s="2"/>
      <c r="O624" s="2"/>
      <c r="P624" s="2"/>
    </row>
    <row r="625" spans="1:16" ht="12.75">
      <c r="A625" s="334" t="s">
        <v>4560</v>
      </c>
      <c r="B625" s="334" t="s">
        <v>843</v>
      </c>
      <c r="C625" s="332" t="s">
        <v>845</v>
      </c>
      <c r="D625" s="333" t="s">
        <v>846</v>
      </c>
      <c r="E625" s="42"/>
      <c r="F625" s="9"/>
      <c r="G625" s="9"/>
      <c r="H625" s="9"/>
      <c r="I625" s="9"/>
      <c r="J625" s="9"/>
      <c r="K625" s="9"/>
      <c r="L625" s="9"/>
      <c r="M625" s="2"/>
      <c r="N625" s="2"/>
      <c r="O625" s="2"/>
      <c r="P625" s="2"/>
    </row>
    <row r="626" spans="1:16" ht="12.75">
      <c r="A626" s="331" t="s">
        <v>4546</v>
      </c>
      <c r="B626" s="361" t="s">
        <v>907</v>
      </c>
      <c r="C626" s="332" t="s">
        <v>909</v>
      </c>
      <c r="D626" s="333" t="s">
        <v>910</v>
      </c>
      <c r="E626" s="42"/>
      <c r="F626" s="9"/>
      <c r="G626" s="9"/>
      <c r="H626" s="9"/>
      <c r="I626" s="9"/>
      <c r="J626" s="9"/>
      <c r="K626" s="9"/>
      <c r="L626" s="9"/>
      <c r="M626" s="2"/>
      <c r="N626" s="2"/>
      <c r="O626" s="2"/>
      <c r="P626" s="2"/>
    </row>
    <row r="627" spans="1:16" ht="12.75">
      <c r="A627" s="334" t="s">
        <v>4559</v>
      </c>
      <c r="B627" s="334" t="s">
        <v>817</v>
      </c>
      <c r="C627" s="332" t="s">
        <v>819</v>
      </c>
      <c r="D627" s="333" t="s">
        <v>820</v>
      </c>
      <c r="E627" s="42"/>
      <c r="F627" s="9"/>
      <c r="G627" s="9"/>
      <c r="H627" s="9"/>
      <c r="I627" s="9"/>
      <c r="J627" s="9"/>
      <c r="K627" s="9"/>
      <c r="L627" s="9"/>
      <c r="M627" s="2"/>
      <c r="N627" s="2"/>
      <c r="O627" s="2"/>
      <c r="P627" s="2"/>
    </row>
    <row r="628" spans="1:16" ht="12.75">
      <c r="A628" s="331" t="s">
        <v>4553</v>
      </c>
      <c r="B628" s="331" t="s">
        <v>1175</v>
      </c>
      <c r="C628" s="332" t="s">
        <v>1177</v>
      </c>
      <c r="D628" s="333" t="s">
        <v>1178</v>
      </c>
      <c r="E628" s="42"/>
      <c r="F628" s="9"/>
      <c r="G628" s="9"/>
      <c r="H628" s="9"/>
      <c r="I628" s="9"/>
      <c r="J628" s="9"/>
      <c r="K628" s="9"/>
      <c r="L628" s="9"/>
      <c r="M628" s="2"/>
      <c r="N628" s="2"/>
      <c r="O628" s="2"/>
      <c r="P628" s="2"/>
    </row>
    <row r="629" spans="1:16" ht="12.75">
      <c r="A629" s="334" t="s">
        <v>4546</v>
      </c>
      <c r="B629" s="334" t="s">
        <v>476</v>
      </c>
      <c r="C629" s="332" t="s">
        <v>237</v>
      </c>
      <c r="D629" s="333" t="s">
        <v>478</v>
      </c>
      <c r="E629" s="42"/>
      <c r="F629" s="9"/>
      <c r="G629" s="9"/>
      <c r="H629" s="9"/>
      <c r="I629" s="9"/>
      <c r="J629" s="9"/>
      <c r="K629" s="9"/>
      <c r="L629" s="9"/>
      <c r="M629" s="2"/>
      <c r="N629" s="2"/>
      <c r="O629" s="2"/>
      <c r="P629" s="2"/>
    </row>
    <row r="630" spans="1:16" ht="12.75">
      <c r="A630" s="331" t="s">
        <v>4560</v>
      </c>
      <c r="B630" s="331" t="s">
        <v>1243</v>
      </c>
      <c r="C630" s="332" t="s">
        <v>1245</v>
      </c>
      <c r="D630" s="333" t="s">
        <v>1247</v>
      </c>
      <c r="E630" s="42"/>
      <c r="F630" s="9"/>
      <c r="G630" s="9"/>
      <c r="H630" s="9"/>
      <c r="I630" s="9"/>
      <c r="J630" s="9"/>
      <c r="K630" s="9"/>
      <c r="L630" s="9"/>
      <c r="M630" s="2"/>
      <c r="N630" s="2"/>
      <c r="O630" s="2"/>
      <c r="P630" s="2"/>
    </row>
    <row r="631" spans="1:16" ht="12.75">
      <c r="A631" s="334" t="s">
        <v>4562</v>
      </c>
      <c r="B631" s="334" t="s">
        <v>1720</v>
      </c>
      <c r="C631" s="332" t="s">
        <v>218</v>
      </c>
      <c r="D631" s="369" t="s">
        <v>1722</v>
      </c>
      <c r="E631" s="42"/>
      <c r="F631" s="9"/>
      <c r="G631" s="9"/>
      <c r="H631" s="9"/>
      <c r="I631" s="9"/>
      <c r="J631" s="9"/>
      <c r="K631" s="9"/>
      <c r="L631" s="9"/>
      <c r="M631" s="2"/>
      <c r="N631" s="2"/>
      <c r="O631" s="2"/>
      <c r="P631" s="2"/>
    </row>
    <row r="632" spans="1:16" ht="12.75">
      <c r="A632" s="331" t="s">
        <v>4545</v>
      </c>
      <c r="B632" s="331" t="s">
        <v>396</v>
      </c>
      <c r="C632" s="332" t="s">
        <v>398</v>
      </c>
      <c r="D632" s="333" t="s">
        <v>399</v>
      </c>
      <c r="E632" s="42"/>
      <c r="F632" s="9"/>
      <c r="G632" s="9"/>
      <c r="H632" s="9"/>
      <c r="I632" s="9"/>
      <c r="J632" s="9"/>
      <c r="K632" s="9"/>
      <c r="L632" s="9"/>
      <c r="M632" s="2"/>
      <c r="N632" s="2"/>
      <c r="O632" s="2"/>
      <c r="P632" s="2"/>
    </row>
    <row r="633" spans="1:16" ht="12.75">
      <c r="A633" s="334" t="s">
        <v>4545</v>
      </c>
      <c r="B633" s="334" t="s">
        <v>396</v>
      </c>
      <c r="C633" s="332" t="s">
        <v>398</v>
      </c>
      <c r="D633" s="333" t="s">
        <v>399</v>
      </c>
      <c r="E633" s="42"/>
      <c r="F633" s="9"/>
      <c r="G633" s="9"/>
      <c r="H633" s="9"/>
      <c r="I633" s="9"/>
      <c r="J633" s="9"/>
      <c r="K633" s="9"/>
      <c r="L633" s="9"/>
      <c r="M633" s="2"/>
      <c r="N633" s="2"/>
      <c r="O633" s="2"/>
      <c r="P633" s="2"/>
    </row>
    <row r="634" spans="1:16" ht="12.75">
      <c r="A634" s="334" t="s">
        <v>425</v>
      </c>
      <c r="B634" s="334" t="s">
        <v>1266</v>
      </c>
      <c r="C634" s="332" t="s">
        <v>218</v>
      </c>
      <c r="D634" s="333" t="s">
        <v>1267</v>
      </c>
      <c r="E634" s="42"/>
      <c r="F634" s="9"/>
      <c r="G634" s="9"/>
      <c r="H634" s="9"/>
      <c r="I634" s="9"/>
      <c r="J634" s="9"/>
      <c r="K634" s="9"/>
      <c r="L634" s="9"/>
      <c r="M634" s="2"/>
      <c r="N634" s="2"/>
      <c r="O634" s="2"/>
      <c r="P634" s="2"/>
    </row>
    <row r="635" spans="1:16" ht="12.75">
      <c r="A635" s="331" t="s">
        <v>4554</v>
      </c>
      <c r="B635" s="331" t="s">
        <v>761</v>
      </c>
      <c r="C635" s="332" t="s">
        <v>763</v>
      </c>
      <c r="D635" s="333" t="s">
        <v>101</v>
      </c>
      <c r="E635" s="42"/>
      <c r="F635" s="9"/>
      <c r="G635" s="9"/>
      <c r="H635" s="9"/>
      <c r="I635" s="9"/>
      <c r="J635" s="9"/>
      <c r="K635" s="9"/>
      <c r="L635" s="9"/>
      <c r="M635" s="2"/>
      <c r="N635" s="2"/>
      <c r="O635" s="2"/>
      <c r="P635" s="2"/>
    </row>
    <row r="636" spans="1:16" ht="12.75">
      <c r="A636" s="334" t="s">
        <v>4554</v>
      </c>
      <c r="B636" s="334" t="s">
        <v>761</v>
      </c>
      <c r="C636" s="332" t="s">
        <v>763</v>
      </c>
      <c r="D636" s="333" t="s">
        <v>101</v>
      </c>
      <c r="E636" s="42"/>
      <c r="F636" s="9"/>
      <c r="G636" s="9"/>
      <c r="H636" s="9"/>
      <c r="I636" s="9"/>
      <c r="J636" s="9"/>
      <c r="K636" s="9"/>
      <c r="L636" s="9"/>
      <c r="M636" s="2"/>
      <c r="N636" s="2"/>
      <c r="O636" s="2"/>
      <c r="P636" s="2"/>
    </row>
    <row r="637" spans="1:16" ht="12.75">
      <c r="A637" s="331" t="s">
        <v>4545</v>
      </c>
      <c r="B637" s="331" t="s">
        <v>98</v>
      </c>
      <c r="C637" s="332" t="s">
        <v>100</v>
      </c>
      <c r="D637" s="333" t="s">
        <v>101</v>
      </c>
      <c r="E637" s="42"/>
      <c r="F637" s="9"/>
      <c r="G637" s="9"/>
      <c r="H637" s="9"/>
      <c r="I637" s="9"/>
      <c r="J637" s="9"/>
      <c r="K637" s="9"/>
      <c r="L637" s="9"/>
      <c r="M637" s="2"/>
      <c r="N637" s="2"/>
      <c r="O637" s="2"/>
      <c r="P637" s="2"/>
    </row>
    <row r="638" spans="1:16" ht="12.75">
      <c r="A638" s="334" t="s">
        <v>4545</v>
      </c>
      <c r="B638" s="334" t="s">
        <v>98</v>
      </c>
      <c r="C638" s="332" t="s">
        <v>100</v>
      </c>
      <c r="D638" s="333" t="s">
        <v>101</v>
      </c>
      <c r="E638" s="42"/>
      <c r="F638" s="9"/>
      <c r="G638" s="9"/>
      <c r="H638" s="9"/>
      <c r="I638" s="9"/>
      <c r="J638" s="9"/>
      <c r="K638" s="9"/>
      <c r="L638" s="9"/>
      <c r="M638" s="2"/>
      <c r="N638" s="2"/>
      <c r="O638" s="2"/>
      <c r="P638" s="2"/>
    </row>
    <row r="639" spans="1:16" ht="12.75">
      <c r="A639" s="331" t="s">
        <v>4558</v>
      </c>
      <c r="B639" s="331" t="s">
        <v>98</v>
      </c>
      <c r="C639" s="332" t="s">
        <v>100</v>
      </c>
      <c r="D639" s="333" t="s">
        <v>101</v>
      </c>
      <c r="E639" s="42"/>
      <c r="F639" s="9"/>
      <c r="G639" s="9"/>
      <c r="H639" s="9"/>
      <c r="I639" s="9"/>
      <c r="J639" s="9"/>
      <c r="K639" s="9"/>
      <c r="L639" s="9"/>
      <c r="M639" s="2"/>
      <c r="N639" s="2"/>
      <c r="O639" s="2"/>
      <c r="P639" s="2"/>
    </row>
    <row r="640" spans="1:16" ht="12.75">
      <c r="A640" s="334" t="s">
        <v>4550</v>
      </c>
      <c r="B640" s="334" t="s">
        <v>1071</v>
      </c>
      <c r="C640" s="332" t="s">
        <v>1072</v>
      </c>
      <c r="D640" s="333" t="s">
        <v>101</v>
      </c>
      <c r="E640" s="42"/>
      <c r="F640" s="9"/>
      <c r="G640" s="9"/>
      <c r="H640" s="9"/>
      <c r="I640" s="9"/>
      <c r="J640" s="9"/>
      <c r="K640" s="9"/>
      <c r="L640" s="9"/>
      <c r="M640" s="2"/>
      <c r="N640" s="2"/>
      <c r="O640" s="2"/>
      <c r="P640" s="2"/>
    </row>
    <row r="641" spans="1:16" ht="12.75">
      <c r="A641" s="331" t="s">
        <v>4550</v>
      </c>
      <c r="B641" s="331" t="s">
        <v>1071</v>
      </c>
      <c r="C641" s="332" t="s">
        <v>1072</v>
      </c>
      <c r="D641" s="333" t="s">
        <v>101</v>
      </c>
      <c r="E641" s="42"/>
      <c r="F641" s="9"/>
      <c r="G641" s="9"/>
      <c r="H641" s="9"/>
      <c r="I641" s="9"/>
      <c r="J641" s="9"/>
      <c r="K641" s="9"/>
      <c r="L641" s="9"/>
      <c r="M641" s="2"/>
      <c r="N641" s="2"/>
      <c r="O641" s="2"/>
      <c r="P641" s="2"/>
    </row>
    <row r="642" spans="1:16" ht="12.75">
      <c r="A642" s="335" t="s">
        <v>4557</v>
      </c>
      <c r="B642" s="334" t="s">
        <v>1117</v>
      </c>
      <c r="C642" s="332" t="s">
        <v>650</v>
      </c>
      <c r="D642" s="333" t="s">
        <v>651</v>
      </c>
      <c r="E642" s="42"/>
      <c r="F642" s="9"/>
      <c r="G642" s="9"/>
      <c r="H642" s="9"/>
      <c r="I642" s="9"/>
      <c r="J642" s="9"/>
      <c r="K642" s="9"/>
      <c r="L642" s="9"/>
      <c r="M642" s="2"/>
      <c r="N642" s="2"/>
      <c r="O642" s="2"/>
      <c r="P642" s="2"/>
    </row>
    <row r="643" spans="1:16" ht="12.75">
      <c r="A643" s="344" t="s">
        <v>4545</v>
      </c>
      <c r="B643" s="331" t="s">
        <v>1117</v>
      </c>
      <c r="C643" s="332" t="s">
        <v>650</v>
      </c>
      <c r="D643" s="333" t="s">
        <v>651</v>
      </c>
      <c r="E643" s="42"/>
      <c r="F643" s="9"/>
      <c r="G643" s="9"/>
      <c r="H643" s="9"/>
      <c r="I643" s="9"/>
      <c r="J643" s="9"/>
      <c r="K643" s="9"/>
      <c r="L643" s="9"/>
      <c r="M643" s="2"/>
      <c r="N643" s="2"/>
      <c r="O643" s="2"/>
      <c r="P643" s="2"/>
    </row>
    <row r="644" spans="1:16" ht="12.75">
      <c r="A644" s="334" t="s">
        <v>4545</v>
      </c>
      <c r="B644" s="334" t="s">
        <v>1867</v>
      </c>
      <c r="C644" s="332" t="s">
        <v>218</v>
      </c>
      <c r="D644" s="333" t="s">
        <v>1869</v>
      </c>
      <c r="E644" s="42"/>
      <c r="F644" s="9"/>
      <c r="G644" s="9"/>
      <c r="H644" s="9"/>
      <c r="I644" s="9"/>
      <c r="J644" s="9"/>
      <c r="K644" s="9"/>
      <c r="L644" s="9"/>
      <c r="M644" s="2"/>
      <c r="N644" s="2"/>
      <c r="O644" s="2"/>
      <c r="P644" s="2"/>
    </row>
    <row r="645" spans="1:16" ht="12.75">
      <c r="A645" s="331" t="s">
        <v>4557</v>
      </c>
      <c r="B645" s="331" t="s">
        <v>1169</v>
      </c>
      <c r="C645" s="332" t="s">
        <v>1171</v>
      </c>
      <c r="D645" s="333" t="s">
        <v>1172</v>
      </c>
      <c r="E645" s="42"/>
      <c r="F645" s="9"/>
      <c r="G645" s="9"/>
      <c r="H645" s="9"/>
      <c r="I645" s="9"/>
      <c r="J645" s="9"/>
      <c r="K645" s="9"/>
      <c r="L645" s="9"/>
      <c r="M645" s="2"/>
      <c r="N645" s="2"/>
      <c r="O645" s="2"/>
      <c r="P645" s="2"/>
    </row>
    <row r="646" spans="1:16" ht="12.75">
      <c r="A646" s="334" t="s">
        <v>4562</v>
      </c>
      <c r="B646" s="334" t="s">
        <v>700</v>
      </c>
      <c r="C646" s="332" t="s">
        <v>451</v>
      </c>
      <c r="D646" s="333" t="s">
        <v>87</v>
      </c>
      <c r="E646" s="42"/>
      <c r="F646" s="9"/>
      <c r="G646" s="9"/>
      <c r="H646" s="9"/>
      <c r="I646" s="9"/>
      <c r="J646" s="9"/>
      <c r="K646" s="9"/>
      <c r="L646" s="9"/>
      <c r="M646" s="2"/>
      <c r="N646" s="2"/>
      <c r="O646" s="2"/>
      <c r="P646" s="2"/>
    </row>
    <row r="647" spans="1:16" ht="12.75">
      <c r="A647" s="331" t="s">
        <v>4560</v>
      </c>
      <c r="B647" s="331" t="s">
        <v>700</v>
      </c>
      <c r="C647" s="332" t="s">
        <v>451</v>
      </c>
      <c r="D647" s="333" t="s">
        <v>87</v>
      </c>
      <c r="E647" s="42"/>
      <c r="F647" s="9"/>
      <c r="G647" s="9"/>
      <c r="H647" s="9"/>
      <c r="I647" s="9"/>
      <c r="J647" s="9"/>
      <c r="K647" s="9"/>
      <c r="L647" s="9"/>
      <c r="M647" s="2"/>
      <c r="N647" s="2"/>
      <c r="O647" s="2"/>
      <c r="P647" s="2"/>
    </row>
    <row r="648" spans="1:16" ht="12.75">
      <c r="A648" s="334" t="s">
        <v>4562</v>
      </c>
      <c r="B648" s="334" t="s">
        <v>700</v>
      </c>
      <c r="C648" s="332" t="s">
        <v>451</v>
      </c>
      <c r="D648" s="333" t="s">
        <v>87</v>
      </c>
      <c r="E648" s="42"/>
      <c r="F648" s="9"/>
      <c r="G648" s="9"/>
      <c r="H648" s="9"/>
      <c r="I648" s="9"/>
      <c r="J648" s="9"/>
      <c r="K648" s="9"/>
      <c r="L648" s="9"/>
      <c r="M648" s="2"/>
      <c r="N648" s="2"/>
      <c r="O648" s="2"/>
      <c r="P648" s="2"/>
    </row>
    <row r="649" spans="1:16" ht="12.75">
      <c r="A649" s="331" t="s">
        <v>4562</v>
      </c>
      <c r="B649" s="331" t="s">
        <v>700</v>
      </c>
      <c r="C649" s="332" t="s">
        <v>451</v>
      </c>
      <c r="D649" s="333" t="s">
        <v>87</v>
      </c>
      <c r="E649" s="42"/>
      <c r="F649" s="9"/>
      <c r="G649" s="9"/>
      <c r="H649" s="9"/>
      <c r="I649" s="9"/>
      <c r="J649" s="9"/>
      <c r="K649" s="9"/>
      <c r="L649" s="9"/>
      <c r="M649" s="2"/>
      <c r="N649" s="2"/>
      <c r="O649" s="2"/>
      <c r="P649" s="2"/>
    </row>
    <row r="650" spans="1:16" ht="12.75">
      <c r="A650" s="334" t="s">
        <v>4562</v>
      </c>
      <c r="B650" s="334" t="s">
        <v>228</v>
      </c>
      <c r="C650" s="332" t="s">
        <v>2953</v>
      </c>
      <c r="D650" s="333" t="s">
        <v>230</v>
      </c>
      <c r="E650" s="42"/>
      <c r="F650" s="9"/>
      <c r="G650" s="9"/>
      <c r="H650" s="9"/>
      <c r="I650" s="9"/>
      <c r="J650" s="9"/>
      <c r="K650" s="9"/>
      <c r="L650" s="9"/>
      <c r="M650" s="2"/>
      <c r="N650" s="2"/>
      <c r="O650" s="2"/>
      <c r="P650" s="2"/>
    </row>
    <row r="651" spans="1:16" ht="12.75">
      <c r="A651" s="331" t="s">
        <v>366</v>
      </c>
      <c r="B651" s="331" t="s">
        <v>367</v>
      </c>
      <c r="C651" s="332" t="s">
        <v>369</v>
      </c>
      <c r="D651" s="333" t="s">
        <v>370</v>
      </c>
      <c r="E651" s="42"/>
      <c r="F651" s="9"/>
      <c r="G651" s="9"/>
      <c r="H651" s="9"/>
      <c r="I651" s="9"/>
      <c r="J651" s="9"/>
      <c r="K651" s="9"/>
      <c r="L651" s="9"/>
      <c r="M651" s="2"/>
      <c r="N651" s="2"/>
      <c r="O651" s="2"/>
      <c r="P651" s="2"/>
    </row>
    <row r="652" spans="1:16" ht="12.75">
      <c r="A652" s="334" t="s">
        <v>4572</v>
      </c>
      <c r="B652" s="334" t="s">
        <v>408</v>
      </c>
      <c r="C652" s="332" t="s">
        <v>410</v>
      </c>
      <c r="D652" s="333" t="s">
        <v>411</v>
      </c>
      <c r="E652" s="42"/>
      <c r="F652" s="9"/>
      <c r="G652" s="9"/>
      <c r="H652" s="9"/>
      <c r="I652" s="9"/>
      <c r="J652" s="9"/>
      <c r="K652" s="9"/>
      <c r="L652" s="9"/>
      <c r="M652" s="2"/>
      <c r="N652" s="2"/>
      <c r="O652" s="2"/>
      <c r="P652" s="2"/>
    </row>
    <row r="653" spans="1:16" ht="12.75">
      <c r="A653" s="331" t="s">
        <v>4562</v>
      </c>
      <c r="B653" s="331" t="s">
        <v>708</v>
      </c>
      <c r="C653" s="332" t="s">
        <v>179</v>
      </c>
      <c r="D653" s="333" t="s">
        <v>42</v>
      </c>
      <c r="E653" s="42"/>
      <c r="F653" s="9"/>
      <c r="G653" s="9"/>
      <c r="H653" s="9"/>
      <c r="I653" s="9"/>
      <c r="J653" s="9"/>
      <c r="K653" s="9"/>
      <c r="L653" s="9"/>
      <c r="M653" s="2"/>
      <c r="N653" s="2"/>
      <c r="O653" s="2"/>
      <c r="P653" s="2"/>
    </row>
    <row r="654" spans="1:16" ht="12.75">
      <c r="A654" s="334" t="s">
        <v>4562</v>
      </c>
      <c r="B654" s="334" t="s">
        <v>708</v>
      </c>
      <c r="C654" s="332" t="s">
        <v>179</v>
      </c>
      <c r="D654" s="333" t="s">
        <v>42</v>
      </c>
      <c r="E654" s="42"/>
      <c r="F654" s="9"/>
      <c r="G654" s="9"/>
      <c r="H654" s="9"/>
      <c r="I654" s="9"/>
      <c r="J654" s="9"/>
      <c r="K654" s="9"/>
      <c r="L654" s="9"/>
      <c r="M654" s="2"/>
      <c r="N654" s="2"/>
      <c r="O654" s="2"/>
      <c r="P654" s="2"/>
    </row>
    <row r="655" spans="1:16" ht="12.75">
      <c r="A655" s="331" t="s">
        <v>4551</v>
      </c>
      <c r="B655" s="331" t="s">
        <v>509</v>
      </c>
      <c r="C655" s="332" t="s">
        <v>511</v>
      </c>
      <c r="D655" s="333" t="s">
        <v>513</v>
      </c>
      <c r="E655" s="42"/>
      <c r="F655" s="9"/>
      <c r="G655" s="9"/>
      <c r="H655" s="9"/>
      <c r="I655" s="9"/>
      <c r="J655" s="9"/>
      <c r="K655" s="9"/>
      <c r="L655" s="9"/>
      <c r="M655" s="2"/>
      <c r="N655" s="2"/>
      <c r="O655" s="2"/>
      <c r="P655" s="2"/>
    </row>
    <row r="656" spans="1:16" ht="12.75">
      <c r="A656" s="334" t="s">
        <v>4551</v>
      </c>
      <c r="B656" s="334" t="s">
        <v>509</v>
      </c>
      <c r="C656" s="332" t="s">
        <v>511</v>
      </c>
      <c r="D656" s="333" t="s">
        <v>513</v>
      </c>
      <c r="E656" s="42"/>
      <c r="F656" s="9"/>
      <c r="G656" s="9"/>
      <c r="H656" s="9"/>
      <c r="I656" s="9"/>
      <c r="J656" s="9"/>
      <c r="K656" s="9"/>
      <c r="L656" s="9"/>
      <c r="M656" s="2"/>
      <c r="N656" s="2"/>
      <c r="O656" s="2"/>
      <c r="P656" s="2"/>
    </row>
    <row r="657" spans="1:16" ht="12.75">
      <c r="A657" s="331" t="s">
        <v>4551</v>
      </c>
      <c r="B657" s="331" t="s">
        <v>509</v>
      </c>
      <c r="C657" s="332" t="s">
        <v>511</v>
      </c>
      <c r="D657" s="333" t="s">
        <v>513</v>
      </c>
      <c r="E657" s="42"/>
      <c r="F657" s="9"/>
      <c r="G657" s="9"/>
      <c r="H657" s="9"/>
      <c r="I657" s="9"/>
      <c r="J657" s="9"/>
      <c r="K657" s="9"/>
      <c r="L657" s="9"/>
      <c r="M657" s="2"/>
      <c r="N657" s="2"/>
      <c r="O657" s="2"/>
      <c r="P657" s="2"/>
    </row>
    <row r="658" spans="1:16" ht="12.75">
      <c r="A658" s="334" t="s">
        <v>680</v>
      </c>
      <c r="B658" s="334" t="s">
        <v>681</v>
      </c>
      <c r="C658" s="332" t="s">
        <v>179</v>
      </c>
      <c r="D658" s="333" t="s">
        <v>180</v>
      </c>
      <c r="E658" s="42"/>
      <c r="F658" s="9"/>
      <c r="G658" s="9"/>
      <c r="H658" s="9"/>
      <c r="I658" s="9"/>
      <c r="J658" s="9"/>
      <c r="K658" s="9"/>
      <c r="L658" s="9"/>
      <c r="M658" s="2"/>
      <c r="N658" s="2"/>
      <c r="O658" s="2"/>
      <c r="P658" s="2"/>
    </row>
    <row r="659" spans="1:16" ht="12.75">
      <c r="A659" s="331" t="s">
        <v>177</v>
      </c>
      <c r="B659" s="331" t="s">
        <v>178</v>
      </c>
      <c r="C659" s="332" t="s">
        <v>179</v>
      </c>
      <c r="D659" s="333" t="s">
        <v>180</v>
      </c>
      <c r="E659" s="42"/>
      <c r="F659" s="9"/>
      <c r="G659" s="9"/>
      <c r="H659" s="9"/>
      <c r="I659" s="9"/>
      <c r="J659" s="9"/>
      <c r="K659" s="9"/>
      <c r="L659" s="9"/>
      <c r="M659" s="2"/>
      <c r="N659" s="2"/>
      <c r="O659" s="2"/>
      <c r="P659" s="2"/>
    </row>
    <row r="660" spans="1:16" ht="12.75">
      <c r="A660" s="334" t="s">
        <v>4560</v>
      </c>
      <c r="B660" s="334" t="s">
        <v>222</v>
      </c>
      <c r="C660" s="332" t="s">
        <v>223</v>
      </c>
      <c r="D660" s="333" t="s">
        <v>224</v>
      </c>
      <c r="E660" s="42"/>
      <c r="F660" s="9"/>
      <c r="G660" s="9"/>
      <c r="H660" s="9"/>
      <c r="I660" s="9"/>
      <c r="J660" s="9"/>
      <c r="K660" s="9"/>
      <c r="L660" s="9"/>
      <c r="M660" s="2"/>
      <c r="N660" s="2"/>
      <c r="O660" s="2"/>
      <c r="P660" s="2"/>
    </row>
    <row r="661" spans="1:16" ht="12.75">
      <c r="A661" s="331" t="s">
        <v>4545</v>
      </c>
      <c r="B661" s="331" t="s">
        <v>1306</v>
      </c>
      <c r="C661" s="332" t="s">
        <v>1308</v>
      </c>
      <c r="D661" s="333" t="s">
        <v>1309</v>
      </c>
      <c r="E661" s="42"/>
      <c r="F661" s="9"/>
      <c r="G661" s="9"/>
      <c r="H661" s="9"/>
      <c r="I661" s="9"/>
      <c r="J661" s="9"/>
      <c r="K661" s="9"/>
      <c r="L661" s="9"/>
      <c r="M661" s="2"/>
      <c r="N661" s="2"/>
      <c r="O661" s="2"/>
      <c r="P661" s="2"/>
    </row>
    <row r="662" spans="1:16" ht="12.75">
      <c r="A662" s="334" t="s">
        <v>4562</v>
      </c>
      <c r="B662" s="334" t="s">
        <v>581</v>
      </c>
      <c r="C662" s="332" t="s">
        <v>583</v>
      </c>
      <c r="D662" s="339" t="s">
        <v>246</v>
      </c>
      <c r="E662" s="42"/>
      <c r="F662" s="9"/>
      <c r="G662" s="9"/>
      <c r="H662" s="9"/>
      <c r="I662" s="9"/>
      <c r="J662" s="9"/>
      <c r="K662" s="9"/>
      <c r="L662" s="9"/>
      <c r="M662" s="2"/>
      <c r="N662" s="2"/>
      <c r="O662" s="2"/>
      <c r="P662" s="2"/>
    </row>
    <row r="663" spans="1:16" ht="12.75">
      <c r="A663" s="331" t="s">
        <v>998</v>
      </c>
      <c r="B663" s="331" t="s">
        <v>827</v>
      </c>
      <c r="C663" s="332" t="s">
        <v>245</v>
      </c>
      <c r="D663" s="333" t="s">
        <v>246</v>
      </c>
      <c r="E663" s="42"/>
      <c r="F663" s="9"/>
      <c r="G663" s="9"/>
      <c r="H663" s="9"/>
      <c r="I663" s="9"/>
      <c r="J663" s="9"/>
      <c r="K663" s="9"/>
      <c r="L663" s="9"/>
      <c r="M663" s="2"/>
      <c r="N663" s="2"/>
      <c r="O663" s="2"/>
      <c r="P663" s="2"/>
    </row>
    <row r="664" spans="1:16" ht="12.75">
      <c r="A664" s="334" t="s">
        <v>4562</v>
      </c>
      <c r="B664" s="334" t="s">
        <v>827</v>
      </c>
      <c r="C664" s="332" t="s">
        <v>245</v>
      </c>
      <c r="D664" s="333" t="s">
        <v>828</v>
      </c>
      <c r="E664" s="42"/>
      <c r="F664" s="9"/>
      <c r="G664" s="9"/>
      <c r="H664" s="9"/>
      <c r="I664" s="9"/>
      <c r="J664" s="9"/>
      <c r="K664" s="9"/>
      <c r="L664" s="9"/>
      <c r="M664" s="2"/>
      <c r="N664" s="2"/>
      <c r="O664" s="2"/>
      <c r="P664" s="2"/>
    </row>
    <row r="665" spans="1:16" ht="12.75">
      <c r="A665" s="331" t="s">
        <v>4547</v>
      </c>
      <c r="B665" s="331" t="s">
        <v>383</v>
      </c>
      <c r="C665" s="332" t="s">
        <v>385</v>
      </c>
      <c r="D665" s="333" t="s">
        <v>386</v>
      </c>
      <c r="E665" s="42"/>
      <c r="F665" s="9"/>
      <c r="G665" s="9"/>
      <c r="H665" s="9"/>
      <c r="I665" s="9"/>
      <c r="J665" s="9"/>
      <c r="K665" s="9"/>
      <c r="L665" s="9"/>
      <c r="M665" s="2"/>
      <c r="N665" s="2"/>
      <c r="O665" s="2"/>
      <c r="P665" s="2"/>
    </row>
    <row r="666" spans="1:16" ht="12.75">
      <c r="A666" s="334" t="s">
        <v>4547</v>
      </c>
      <c r="B666" s="334" t="s">
        <v>383</v>
      </c>
      <c r="C666" s="332" t="s">
        <v>385</v>
      </c>
      <c r="D666" s="333" t="s">
        <v>386</v>
      </c>
      <c r="E666" s="42"/>
      <c r="F666" s="9"/>
      <c r="G666" s="9"/>
      <c r="H666" s="9"/>
      <c r="I666" s="9"/>
      <c r="J666" s="9"/>
      <c r="K666" s="9"/>
      <c r="L666" s="9"/>
      <c r="M666" s="2"/>
      <c r="N666" s="2"/>
      <c r="O666" s="2"/>
      <c r="P666" s="2"/>
    </row>
    <row r="667" spans="1:16" ht="12.75">
      <c r="A667" s="331" t="s">
        <v>4560</v>
      </c>
      <c r="B667" s="331" t="s">
        <v>243</v>
      </c>
      <c r="C667" s="332" t="s">
        <v>245</v>
      </c>
      <c r="D667" s="333" t="s">
        <v>246</v>
      </c>
      <c r="E667" s="42"/>
      <c r="F667" s="9"/>
      <c r="G667" s="9"/>
      <c r="H667" s="9"/>
      <c r="I667" s="9"/>
      <c r="J667" s="9"/>
      <c r="K667" s="9"/>
      <c r="L667" s="9"/>
      <c r="M667" s="2"/>
      <c r="N667" s="2"/>
      <c r="O667" s="2"/>
      <c r="P667" s="2"/>
    </row>
    <row r="668" spans="1:16" ht="12.75">
      <c r="A668" s="331" t="s">
        <v>4560</v>
      </c>
      <c r="B668" s="331" t="s">
        <v>243</v>
      </c>
      <c r="C668" s="332" t="s">
        <v>245</v>
      </c>
      <c r="D668" s="333" t="s">
        <v>246</v>
      </c>
      <c r="E668" s="42"/>
      <c r="F668" s="9"/>
      <c r="G668" s="9"/>
      <c r="H668" s="9"/>
      <c r="I668" s="9"/>
      <c r="J668" s="9"/>
      <c r="K668" s="9"/>
      <c r="L668" s="9"/>
      <c r="M668" s="2"/>
      <c r="N668" s="2"/>
      <c r="O668" s="2"/>
      <c r="P668" s="2"/>
    </row>
    <row r="669" spans="1:16">
      <c r="A669" s="334" t="s">
        <v>4560</v>
      </c>
      <c r="B669" s="334" t="s">
        <v>243</v>
      </c>
      <c r="C669" s="332" t="s">
        <v>245</v>
      </c>
      <c r="D669" s="347" t="s">
        <v>246</v>
      </c>
      <c r="E669" s="42"/>
      <c r="F669" s="9"/>
      <c r="G669" s="9"/>
      <c r="H669" s="9"/>
      <c r="I669" s="9"/>
      <c r="J669" s="9"/>
      <c r="K669" s="9"/>
      <c r="L669" s="9"/>
      <c r="M669" s="2"/>
      <c r="N669" s="2"/>
      <c r="O669" s="2"/>
      <c r="P669" s="2"/>
    </row>
    <row r="670" spans="1:16" ht="12.75">
      <c r="A670" s="331" t="s">
        <v>4546</v>
      </c>
      <c r="B670" s="331" t="s">
        <v>1845</v>
      </c>
      <c r="C670" s="332" t="s">
        <v>1498</v>
      </c>
      <c r="D670" s="333" t="s">
        <v>1847</v>
      </c>
      <c r="E670" s="42"/>
      <c r="F670" s="9"/>
      <c r="G670" s="9"/>
      <c r="H670" s="9"/>
      <c r="I670" s="9"/>
      <c r="J670" s="9"/>
      <c r="K670" s="9"/>
      <c r="L670" s="9"/>
      <c r="M670" s="2"/>
      <c r="N670" s="2"/>
      <c r="O670" s="2"/>
      <c r="P670" s="2"/>
    </row>
    <row r="671" spans="1:16" ht="12.75">
      <c r="A671" s="334" t="s">
        <v>4562</v>
      </c>
      <c r="B671" s="334" t="s">
        <v>1089</v>
      </c>
      <c r="C671" s="332" t="s">
        <v>1091</v>
      </c>
      <c r="D671" s="333" t="s">
        <v>1092</v>
      </c>
      <c r="E671" s="42"/>
      <c r="F671" s="9"/>
      <c r="G671" s="9"/>
      <c r="H671" s="9"/>
      <c r="I671" s="9"/>
      <c r="J671" s="9"/>
      <c r="K671" s="9"/>
      <c r="L671" s="9"/>
      <c r="M671" s="2"/>
      <c r="N671" s="2"/>
      <c r="O671" s="2"/>
      <c r="P671" s="2"/>
    </row>
    <row r="672" spans="1:16" ht="12.75">
      <c r="A672" s="331" t="s">
        <v>4562</v>
      </c>
      <c r="B672" s="331" t="s">
        <v>1089</v>
      </c>
      <c r="C672" s="332" t="s">
        <v>1091</v>
      </c>
      <c r="D672" s="333" t="s">
        <v>1092</v>
      </c>
      <c r="E672" s="42"/>
      <c r="F672" s="9"/>
      <c r="G672" s="9"/>
      <c r="H672" s="9"/>
      <c r="I672" s="9"/>
      <c r="J672" s="9"/>
      <c r="K672" s="9"/>
      <c r="L672" s="9"/>
      <c r="M672" s="2"/>
      <c r="N672" s="2"/>
      <c r="O672" s="2"/>
      <c r="P672" s="2"/>
    </row>
    <row r="673" spans="1:16" ht="12.75">
      <c r="A673" s="334" t="s">
        <v>4562</v>
      </c>
      <c r="B673" s="334" t="s">
        <v>730</v>
      </c>
      <c r="C673" s="332" t="s">
        <v>732</v>
      </c>
      <c r="D673" s="333" t="s">
        <v>733</v>
      </c>
      <c r="E673" s="42"/>
      <c r="F673" s="9"/>
      <c r="G673" s="9"/>
      <c r="H673" s="9"/>
      <c r="I673" s="9"/>
      <c r="J673" s="9"/>
      <c r="K673" s="9"/>
      <c r="L673" s="9"/>
      <c r="M673" s="2"/>
      <c r="N673" s="2"/>
      <c r="O673" s="2"/>
      <c r="P673" s="2"/>
    </row>
    <row r="674" spans="1:16" ht="12.75">
      <c r="A674" s="344" t="s">
        <v>4562</v>
      </c>
      <c r="B674" s="331" t="s">
        <v>1700</v>
      </c>
      <c r="C674" s="332" t="s">
        <v>726</v>
      </c>
      <c r="D674" s="333" t="s">
        <v>1702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spans="1:16" ht="12.75">
      <c r="A675" s="334" t="s">
        <v>4546</v>
      </c>
      <c r="B675" s="334" t="s">
        <v>560</v>
      </c>
      <c r="C675" s="332" t="s">
        <v>1099</v>
      </c>
      <c r="D675" s="333" t="s">
        <v>363</v>
      </c>
      <c r="E675" s="42"/>
      <c r="F675" s="9"/>
      <c r="G675" s="9"/>
      <c r="H675" s="9"/>
      <c r="I675" s="9"/>
      <c r="J675" s="9"/>
      <c r="K675" s="9"/>
      <c r="L675" s="9"/>
      <c r="M675" s="2"/>
      <c r="N675" s="2"/>
      <c r="O675" s="2"/>
      <c r="P675" s="2"/>
    </row>
    <row r="676" spans="1:16" ht="12.75">
      <c r="A676" s="331" t="s">
        <v>4553</v>
      </c>
      <c r="B676" s="331" t="s">
        <v>361</v>
      </c>
      <c r="C676" s="332" t="s">
        <v>1099</v>
      </c>
      <c r="D676" s="333" t="s">
        <v>363</v>
      </c>
      <c r="E676" s="42"/>
      <c r="F676" s="9"/>
      <c r="G676" s="9"/>
      <c r="H676" s="9"/>
      <c r="I676" s="9"/>
      <c r="J676" s="9"/>
      <c r="K676" s="9"/>
      <c r="L676" s="9"/>
      <c r="M676" s="2"/>
      <c r="N676" s="2"/>
      <c r="O676" s="2"/>
      <c r="P676" s="2"/>
    </row>
    <row r="677" spans="1:16" ht="12.75">
      <c r="A677" s="334" t="s">
        <v>4560</v>
      </c>
      <c r="B677" s="334" t="s">
        <v>184</v>
      </c>
      <c r="C677" s="332" t="s">
        <v>186</v>
      </c>
      <c r="D677" s="333" t="s">
        <v>187</v>
      </c>
      <c r="E677" s="42"/>
      <c r="F677" s="9"/>
      <c r="G677" s="9"/>
      <c r="H677" s="9"/>
      <c r="I677" s="9"/>
      <c r="J677" s="9"/>
      <c r="K677" s="9"/>
      <c r="L677" s="9"/>
      <c r="M677" s="2"/>
      <c r="N677" s="2"/>
      <c r="O677" s="2"/>
      <c r="P677" s="2"/>
    </row>
    <row r="678" spans="1:16" ht="12.75">
      <c r="A678" s="331" t="s">
        <v>4545</v>
      </c>
      <c r="B678" s="331" t="s">
        <v>831</v>
      </c>
      <c r="C678" s="332" t="s">
        <v>833</v>
      </c>
      <c r="D678" s="333" t="s">
        <v>834</v>
      </c>
      <c r="E678" s="42"/>
      <c r="F678" s="9"/>
      <c r="G678" s="9"/>
      <c r="H678" s="9"/>
      <c r="I678" s="9"/>
      <c r="J678" s="9"/>
      <c r="K678" s="9"/>
      <c r="L678" s="9"/>
      <c r="M678" s="2"/>
      <c r="N678" s="2"/>
      <c r="O678" s="2"/>
      <c r="P678" s="2"/>
    </row>
    <row r="679" spans="1:16" ht="12.75">
      <c r="A679" s="334" t="s">
        <v>4562</v>
      </c>
      <c r="B679" s="334" t="s">
        <v>1874</v>
      </c>
      <c r="C679" s="332" t="s">
        <v>1876</v>
      </c>
      <c r="D679" s="339" t="s">
        <v>1877</v>
      </c>
      <c r="E679" s="42"/>
      <c r="F679" s="9"/>
      <c r="G679" s="9"/>
      <c r="H679" s="9"/>
      <c r="I679" s="9"/>
      <c r="J679" s="9"/>
      <c r="K679" s="9"/>
      <c r="L679" s="9"/>
      <c r="M679" s="2"/>
      <c r="N679" s="2"/>
      <c r="O679" s="2"/>
      <c r="P679" s="2"/>
    </row>
    <row r="680" spans="1:16" ht="12.75">
      <c r="A680" s="331" t="s">
        <v>4572</v>
      </c>
      <c r="B680" s="331" t="s">
        <v>655</v>
      </c>
      <c r="C680" s="332" t="s">
        <v>237</v>
      </c>
      <c r="D680" s="333" t="s">
        <v>658</v>
      </c>
      <c r="E680" s="42"/>
      <c r="F680" s="9"/>
      <c r="G680" s="9"/>
      <c r="H680" s="9"/>
      <c r="I680" s="9"/>
      <c r="J680" s="9"/>
      <c r="K680" s="9"/>
      <c r="L680" s="9"/>
      <c r="M680" s="2"/>
      <c r="N680" s="2"/>
      <c r="O680" s="2"/>
      <c r="P680" s="2"/>
    </row>
    <row r="681" spans="1:16" ht="12.75">
      <c r="A681" s="335" t="s">
        <v>4571</v>
      </c>
      <c r="B681" s="334" t="s">
        <v>1850</v>
      </c>
      <c r="C681" s="332" t="s">
        <v>1852</v>
      </c>
      <c r="D681" s="333" t="s">
        <v>1854</v>
      </c>
      <c r="E681" s="42"/>
      <c r="F681" s="9"/>
      <c r="G681" s="9"/>
      <c r="H681" s="9"/>
      <c r="I681" s="9"/>
      <c r="J681" s="9"/>
      <c r="K681" s="9"/>
      <c r="L681" s="9"/>
      <c r="M681" s="2"/>
      <c r="N681" s="2"/>
      <c r="O681" s="2"/>
      <c r="P681" s="2"/>
    </row>
    <row r="682" spans="1:16" ht="12.75">
      <c r="A682" s="364" t="s">
        <v>4546</v>
      </c>
      <c r="B682" s="331" t="s">
        <v>1344</v>
      </c>
      <c r="C682" s="332" t="s">
        <v>218</v>
      </c>
      <c r="D682" s="333" t="s">
        <v>1346</v>
      </c>
      <c r="E682" s="42"/>
      <c r="F682" s="9"/>
      <c r="G682" s="9"/>
      <c r="H682" s="9"/>
      <c r="I682" s="9"/>
      <c r="J682" s="9"/>
      <c r="K682" s="9"/>
      <c r="L682" s="9"/>
      <c r="M682" s="2"/>
      <c r="N682" s="2"/>
      <c r="O682" s="2"/>
      <c r="P682" s="2"/>
    </row>
    <row r="683" spans="1:16" ht="12.75">
      <c r="A683" s="331" t="s">
        <v>4550</v>
      </c>
      <c r="B683" s="331" t="s">
        <v>235</v>
      </c>
      <c r="C683" s="332" t="s">
        <v>237</v>
      </c>
      <c r="D683" s="333" t="s">
        <v>239</v>
      </c>
      <c r="E683" s="42"/>
      <c r="F683" s="9"/>
      <c r="G683" s="9"/>
      <c r="H683" s="9"/>
      <c r="I683" s="9"/>
      <c r="J683" s="9"/>
      <c r="K683" s="9"/>
      <c r="L683" s="9"/>
      <c r="M683" s="2"/>
      <c r="N683" s="2"/>
      <c r="O683" s="2"/>
      <c r="P683" s="2"/>
    </row>
    <row r="684" spans="1:16" ht="12.75">
      <c r="A684" s="334" t="s">
        <v>1599</v>
      </c>
      <c r="B684" s="334" t="s">
        <v>1601</v>
      </c>
      <c r="C684" s="332" t="s">
        <v>1603</v>
      </c>
      <c r="D684" s="333" t="s">
        <v>1604</v>
      </c>
      <c r="E684" s="42"/>
      <c r="F684" s="9"/>
      <c r="G684" s="9"/>
      <c r="H684" s="9"/>
      <c r="I684" s="9"/>
      <c r="J684" s="9"/>
      <c r="K684" s="9"/>
      <c r="L684" s="9"/>
      <c r="M684" s="2"/>
      <c r="N684" s="2"/>
      <c r="O684" s="2"/>
      <c r="P684" s="2"/>
    </row>
    <row r="685" spans="1:16" ht="12.75">
      <c r="A685" s="331" t="s">
        <v>4554</v>
      </c>
      <c r="B685" s="331" t="s">
        <v>1679</v>
      </c>
      <c r="C685" s="332" t="s">
        <v>245</v>
      </c>
      <c r="D685" s="333" t="s">
        <v>1681</v>
      </c>
      <c r="E685" s="42"/>
      <c r="F685" s="9"/>
      <c r="G685" s="9"/>
      <c r="H685" s="9"/>
      <c r="I685" s="9"/>
      <c r="J685" s="9"/>
      <c r="K685" s="9"/>
      <c r="L685" s="9"/>
      <c r="M685" s="2"/>
      <c r="N685" s="2"/>
      <c r="O685" s="2"/>
      <c r="P685" s="2"/>
    </row>
    <row r="686" spans="1:16" ht="12.75">
      <c r="A686" s="334" t="s">
        <v>4560</v>
      </c>
      <c r="B686" s="334" t="s">
        <v>2955</v>
      </c>
      <c r="C686" s="332" t="s">
        <v>2957</v>
      </c>
      <c r="D686" s="333" t="s">
        <v>411</v>
      </c>
      <c r="E686" s="42"/>
      <c r="F686" s="9"/>
      <c r="G686" s="9"/>
      <c r="H686" s="9"/>
      <c r="I686" s="9"/>
      <c r="J686" s="9"/>
      <c r="K686" s="9"/>
      <c r="L686" s="9"/>
      <c r="M686" s="2"/>
      <c r="N686" s="2"/>
      <c r="O686" s="2"/>
      <c r="P686" s="2"/>
    </row>
    <row r="687" spans="1:16" ht="12.75">
      <c r="A687" s="331" t="s">
        <v>4567</v>
      </c>
      <c r="B687" s="331" t="s">
        <v>692</v>
      </c>
      <c r="C687" s="332" t="s">
        <v>694</v>
      </c>
      <c r="D687" s="333" t="s">
        <v>695</v>
      </c>
      <c r="E687" s="42"/>
      <c r="F687" s="9"/>
      <c r="G687" s="9"/>
      <c r="H687" s="9"/>
      <c r="I687" s="9"/>
      <c r="J687" s="9"/>
      <c r="K687" s="9"/>
      <c r="L687" s="9"/>
      <c r="M687" s="2"/>
      <c r="N687" s="2"/>
      <c r="O687" s="2"/>
      <c r="P687" s="2"/>
    </row>
    <row r="688" spans="1:16" ht="12.75">
      <c r="A688" s="334" t="s">
        <v>4554</v>
      </c>
      <c r="B688" s="334" t="s">
        <v>755</v>
      </c>
      <c r="C688" s="332" t="s">
        <v>757</v>
      </c>
      <c r="D688" s="333" t="s">
        <v>758</v>
      </c>
      <c r="E688" s="42"/>
      <c r="F688" s="9"/>
      <c r="G688" s="9"/>
      <c r="H688" s="9"/>
      <c r="I688" s="9"/>
      <c r="J688" s="9"/>
      <c r="K688" s="9"/>
      <c r="L688" s="9"/>
      <c r="M688" s="2"/>
      <c r="N688" s="2"/>
      <c r="O688" s="2"/>
      <c r="P688" s="2"/>
    </row>
    <row r="689" spans="1:16" ht="12.75">
      <c r="A689" s="331" t="s">
        <v>4557</v>
      </c>
      <c r="B689" s="331" t="s">
        <v>823</v>
      </c>
      <c r="C689" s="332" t="s">
        <v>269</v>
      </c>
      <c r="D689" s="333" t="s">
        <v>824</v>
      </c>
      <c r="E689" s="42"/>
      <c r="F689" s="9"/>
      <c r="G689" s="9"/>
      <c r="H689" s="9"/>
      <c r="I689" s="9"/>
      <c r="J689" s="9"/>
      <c r="K689" s="9"/>
      <c r="L689" s="9"/>
      <c r="M689" s="2"/>
      <c r="N689" s="2"/>
      <c r="O689" s="2"/>
      <c r="P689" s="2"/>
    </row>
    <row r="690" spans="1:16" ht="12.75">
      <c r="A690" s="334" t="s">
        <v>4558</v>
      </c>
      <c r="B690" s="334" t="s">
        <v>1054</v>
      </c>
      <c r="C690" s="332" t="s">
        <v>1056</v>
      </c>
      <c r="D690" s="333" t="s">
        <v>1057</v>
      </c>
      <c r="E690" s="42"/>
      <c r="F690" s="9"/>
      <c r="G690" s="9"/>
      <c r="H690" s="9"/>
      <c r="I690" s="9"/>
      <c r="J690" s="9"/>
      <c r="K690" s="9"/>
      <c r="L690" s="9"/>
      <c r="M690" s="2"/>
      <c r="N690" s="2"/>
      <c r="O690" s="2"/>
      <c r="P690" s="2"/>
    </row>
    <row r="691" spans="1:16" ht="12.75">
      <c r="A691" s="331" t="s">
        <v>4554</v>
      </c>
      <c r="B691" s="331" t="s">
        <v>975</v>
      </c>
      <c r="C691" s="332" t="s">
        <v>977</v>
      </c>
      <c r="D691" s="333" t="s">
        <v>978</v>
      </c>
      <c r="E691" s="42"/>
      <c r="F691" s="9"/>
      <c r="G691" s="9"/>
      <c r="H691" s="9"/>
      <c r="I691" s="9"/>
      <c r="J691" s="9"/>
      <c r="K691" s="9"/>
      <c r="L691" s="9"/>
      <c r="M691" s="2"/>
      <c r="N691" s="2"/>
      <c r="O691" s="2"/>
      <c r="P691" s="2"/>
    </row>
    <row r="692" spans="1:16" ht="12.75">
      <c r="A692" s="331" t="s">
        <v>4554</v>
      </c>
      <c r="B692" s="331" t="s">
        <v>975</v>
      </c>
      <c r="C692" s="332" t="s">
        <v>977</v>
      </c>
      <c r="D692" s="333" t="s">
        <v>978</v>
      </c>
      <c r="E692" s="42"/>
      <c r="F692" s="9"/>
      <c r="G692" s="9"/>
      <c r="H692" s="9"/>
      <c r="I692" s="9"/>
      <c r="J692" s="9"/>
      <c r="K692" s="9"/>
      <c r="L692" s="9"/>
      <c r="M692" s="2"/>
      <c r="N692" s="2"/>
      <c r="O692" s="2"/>
      <c r="P692" s="2"/>
    </row>
    <row r="693" spans="1:16" ht="12.75">
      <c r="A693" s="334" t="s">
        <v>4554</v>
      </c>
      <c r="B693" s="334" t="s">
        <v>975</v>
      </c>
      <c r="C693" s="332" t="s">
        <v>977</v>
      </c>
      <c r="D693" s="333" t="s">
        <v>978</v>
      </c>
      <c r="E693" s="42"/>
      <c r="F693" s="9"/>
      <c r="G693" s="9"/>
      <c r="H693" s="9"/>
      <c r="I693" s="9"/>
      <c r="J693" s="9"/>
      <c r="K693" s="9"/>
      <c r="L693" s="9"/>
      <c r="M693" s="2"/>
      <c r="N693" s="2"/>
      <c r="O693" s="2"/>
      <c r="P693" s="2"/>
    </row>
    <row r="694" spans="1:16" ht="12.75">
      <c r="A694" s="331" t="s">
        <v>4545</v>
      </c>
      <c r="B694" s="331" t="s">
        <v>881</v>
      </c>
      <c r="C694" s="332" t="s">
        <v>86</v>
      </c>
      <c r="D694" s="333" t="s">
        <v>787</v>
      </c>
      <c r="E694" s="42"/>
      <c r="F694" s="9"/>
      <c r="G694" s="9"/>
      <c r="H694" s="9"/>
      <c r="I694" s="9"/>
      <c r="J694" s="9"/>
      <c r="K694" s="9"/>
      <c r="L694" s="9"/>
      <c r="M694" s="2"/>
      <c r="N694" s="2"/>
      <c r="O694" s="2"/>
      <c r="P694" s="2"/>
    </row>
    <row r="695" spans="1:16" ht="12.75">
      <c r="A695" s="334" t="s">
        <v>4545</v>
      </c>
      <c r="B695" s="334" t="s">
        <v>2958</v>
      </c>
      <c r="C695" s="332" t="s">
        <v>1410</v>
      </c>
      <c r="D695" s="333" t="s">
        <v>758</v>
      </c>
      <c r="E695" s="42"/>
      <c r="F695" s="9"/>
      <c r="G695" s="9"/>
      <c r="H695" s="9"/>
      <c r="I695" s="9"/>
      <c r="J695" s="9"/>
      <c r="K695" s="9"/>
      <c r="L695" s="9"/>
      <c r="M695" s="2"/>
      <c r="N695" s="2"/>
      <c r="O695" s="2"/>
      <c r="P695" s="2"/>
    </row>
    <row r="696" spans="1:16" ht="12.75">
      <c r="A696" s="331" t="s">
        <v>4553</v>
      </c>
      <c r="B696" s="331" t="s">
        <v>1288</v>
      </c>
      <c r="C696" s="332" t="s">
        <v>1290</v>
      </c>
      <c r="D696" s="333" t="s">
        <v>1291</v>
      </c>
      <c r="E696" s="42"/>
      <c r="F696" s="9"/>
      <c r="G696" s="9"/>
      <c r="H696" s="9"/>
      <c r="I696" s="9"/>
      <c r="J696" s="9"/>
      <c r="K696" s="9"/>
      <c r="L696" s="9"/>
      <c r="M696" s="2"/>
      <c r="N696" s="2"/>
      <c r="O696" s="2"/>
      <c r="P696" s="2"/>
    </row>
    <row r="697" spans="1:16" ht="12.75">
      <c r="A697" s="334" t="s">
        <v>1878</v>
      </c>
      <c r="B697" s="334" t="s">
        <v>1879</v>
      </c>
      <c r="C697" s="332" t="s">
        <v>1881</v>
      </c>
      <c r="D697" s="333" t="s">
        <v>1882</v>
      </c>
      <c r="E697" s="42"/>
      <c r="F697" s="9"/>
      <c r="G697" s="9"/>
      <c r="H697" s="9"/>
      <c r="I697" s="9"/>
      <c r="J697" s="9"/>
      <c r="K697" s="9"/>
      <c r="L697" s="9"/>
      <c r="M697" s="2"/>
      <c r="N697" s="2"/>
      <c r="O697" s="2"/>
      <c r="P697" s="2"/>
    </row>
    <row r="698" spans="1:16" ht="12.75">
      <c r="A698" s="331" t="s">
        <v>4562</v>
      </c>
      <c r="B698" s="331" t="s">
        <v>1735</v>
      </c>
      <c r="C698" s="332" t="s">
        <v>237</v>
      </c>
      <c r="D698" s="333" t="s">
        <v>1424</v>
      </c>
      <c r="E698" s="42"/>
      <c r="F698" s="9"/>
      <c r="G698" s="9"/>
      <c r="H698" s="9"/>
      <c r="I698" s="9"/>
      <c r="J698" s="9"/>
      <c r="K698" s="9"/>
      <c r="L698" s="9"/>
      <c r="M698" s="2"/>
      <c r="N698" s="2"/>
      <c r="O698" s="2"/>
      <c r="P698" s="2"/>
    </row>
    <row r="699" spans="1:16" ht="12.75">
      <c r="A699" s="331" t="s">
        <v>4572</v>
      </c>
      <c r="B699" s="355" t="s">
        <v>1422</v>
      </c>
      <c r="C699" s="332" t="s">
        <v>269</v>
      </c>
      <c r="D699" s="333" t="s">
        <v>1424</v>
      </c>
      <c r="E699" s="42"/>
      <c r="F699" s="9"/>
      <c r="G699" s="9"/>
      <c r="H699" s="9"/>
      <c r="I699" s="9"/>
      <c r="J699" s="9"/>
      <c r="K699" s="9"/>
      <c r="L699" s="9"/>
      <c r="M699" s="2"/>
      <c r="N699" s="2"/>
      <c r="O699" s="2"/>
      <c r="P699" s="2"/>
    </row>
    <row r="700" spans="1:16" ht="12.75">
      <c r="A700" s="334" t="s">
        <v>4562</v>
      </c>
      <c r="B700" s="334" t="s">
        <v>1631</v>
      </c>
      <c r="C700" s="332" t="s">
        <v>269</v>
      </c>
      <c r="D700" s="333" t="s">
        <v>1632</v>
      </c>
      <c r="E700" s="42"/>
      <c r="F700" s="9"/>
      <c r="G700" s="9"/>
      <c r="H700" s="9"/>
      <c r="I700" s="9"/>
      <c r="J700" s="9"/>
      <c r="K700" s="9"/>
      <c r="L700" s="9"/>
      <c r="M700" s="2"/>
      <c r="N700" s="2"/>
      <c r="O700" s="2"/>
      <c r="P700" s="2"/>
    </row>
    <row r="701" spans="1:16" ht="12.75">
      <c r="A701" s="331" t="s">
        <v>4560</v>
      </c>
      <c r="B701" s="331" t="s">
        <v>455</v>
      </c>
      <c r="C701" s="332" t="s">
        <v>218</v>
      </c>
      <c r="D701" s="333" t="s">
        <v>457</v>
      </c>
      <c r="E701" s="42"/>
      <c r="F701" s="9"/>
      <c r="G701" s="9"/>
      <c r="H701" s="9"/>
      <c r="I701" s="9"/>
      <c r="J701" s="9"/>
      <c r="K701" s="9"/>
      <c r="L701" s="9"/>
      <c r="M701" s="2"/>
      <c r="N701" s="2"/>
      <c r="O701" s="2"/>
      <c r="P701" s="2"/>
    </row>
    <row r="702" spans="1:16" ht="12.75">
      <c r="A702" s="334" t="s">
        <v>4553</v>
      </c>
      <c r="B702" s="334" t="s">
        <v>267</v>
      </c>
      <c r="C702" s="332" t="s">
        <v>269</v>
      </c>
      <c r="D702" s="333" t="s">
        <v>270</v>
      </c>
      <c r="E702" s="42"/>
      <c r="F702" s="9"/>
      <c r="G702" s="9"/>
      <c r="H702" s="9"/>
      <c r="I702" s="9"/>
      <c r="J702" s="9"/>
      <c r="K702" s="9"/>
      <c r="L702" s="9"/>
      <c r="M702" s="2"/>
      <c r="N702" s="2"/>
      <c r="O702" s="2"/>
      <c r="P702" s="2"/>
    </row>
    <row r="703" spans="1:16" ht="12.75">
      <c r="A703" s="331" t="s">
        <v>4562</v>
      </c>
      <c r="B703" s="331" t="s">
        <v>1713</v>
      </c>
      <c r="C703" s="332" t="s">
        <v>1715</v>
      </c>
      <c r="D703" s="333" t="s">
        <v>1716</v>
      </c>
      <c r="E703" s="42"/>
      <c r="F703" s="9"/>
      <c r="G703" s="9"/>
      <c r="H703" s="9"/>
      <c r="I703" s="9"/>
      <c r="J703" s="9"/>
      <c r="K703" s="9"/>
      <c r="L703" s="9"/>
      <c r="M703" s="2"/>
      <c r="N703" s="2"/>
      <c r="O703" s="2"/>
      <c r="P703" s="2"/>
    </row>
    <row r="704" spans="1:16" ht="12.75">
      <c r="A704" s="334" t="s">
        <v>4562</v>
      </c>
      <c r="B704" s="334" t="s">
        <v>1294</v>
      </c>
      <c r="C704" s="332" t="s">
        <v>732</v>
      </c>
      <c r="D704" s="333" t="s">
        <v>1296</v>
      </c>
      <c r="E704" s="42"/>
      <c r="F704" s="9"/>
      <c r="G704" s="9"/>
      <c r="H704" s="9"/>
      <c r="I704" s="9"/>
      <c r="J704" s="9"/>
      <c r="K704" s="9"/>
      <c r="L704" s="9"/>
      <c r="M704" s="2"/>
      <c r="N704" s="2"/>
      <c r="O704" s="2"/>
      <c r="P704" s="2"/>
    </row>
    <row r="705" spans="1:16" ht="12.75">
      <c r="A705" s="331" t="s">
        <v>4554</v>
      </c>
      <c r="B705" s="331" t="s">
        <v>902</v>
      </c>
      <c r="C705" s="332" t="s">
        <v>59</v>
      </c>
      <c r="D705" s="333" t="s">
        <v>904</v>
      </c>
      <c r="E705" s="42"/>
      <c r="F705" s="9"/>
      <c r="G705" s="9"/>
      <c r="H705" s="9"/>
      <c r="I705" s="9"/>
      <c r="J705" s="9"/>
      <c r="K705" s="9"/>
      <c r="L705" s="9"/>
      <c r="M705" s="2"/>
      <c r="N705" s="2"/>
      <c r="O705" s="2"/>
      <c r="P705" s="2"/>
    </row>
    <row r="706" spans="1:16" ht="12.75">
      <c r="A706" s="334" t="s">
        <v>4554</v>
      </c>
      <c r="B706" s="334" t="s">
        <v>902</v>
      </c>
      <c r="C706" s="332" t="s">
        <v>887</v>
      </c>
      <c r="D706" s="333" t="s">
        <v>904</v>
      </c>
      <c r="E706" s="42"/>
      <c r="F706" s="9"/>
      <c r="G706" s="9"/>
      <c r="H706" s="9"/>
      <c r="I706" s="9"/>
      <c r="J706" s="9"/>
      <c r="K706" s="9"/>
      <c r="L706" s="9"/>
      <c r="M706" s="2"/>
      <c r="N706" s="2"/>
      <c r="O706" s="2"/>
      <c r="P706" s="2"/>
    </row>
    <row r="707" spans="1:16" ht="12.75">
      <c r="A707" s="331" t="s">
        <v>4562</v>
      </c>
      <c r="B707" s="331" t="s">
        <v>1730</v>
      </c>
      <c r="C707" s="332" t="s">
        <v>59</v>
      </c>
      <c r="D707" s="333" t="s">
        <v>1732</v>
      </c>
      <c r="E707" s="42"/>
      <c r="F707" s="9"/>
      <c r="G707" s="9"/>
      <c r="H707" s="9"/>
      <c r="I707" s="9"/>
      <c r="J707" s="9"/>
      <c r="K707" s="9"/>
      <c r="L707" s="9"/>
      <c r="M707" s="2"/>
      <c r="N707" s="2"/>
      <c r="O707" s="2"/>
      <c r="P707" s="2"/>
    </row>
    <row r="708" spans="1:16" ht="12.75">
      <c r="A708" s="334" t="s">
        <v>4562</v>
      </c>
      <c r="B708" s="334" t="s">
        <v>1730</v>
      </c>
      <c r="C708" s="332" t="s">
        <v>59</v>
      </c>
      <c r="D708" s="333" t="s">
        <v>1732</v>
      </c>
      <c r="E708" s="42"/>
      <c r="F708" s="9"/>
      <c r="G708" s="9"/>
      <c r="H708" s="9"/>
      <c r="I708" s="9"/>
      <c r="J708" s="9"/>
      <c r="K708" s="9"/>
      <c r="L708" s="9"/>
      <c r="M708" s="2"/>
      <c r="N708" s="2"/>
      <c r="O708" s="2"/>
      <c r="P708" s="2"/>
    </row>
    <row r="709" spans="1:16" ht="12.75">
      <c r="A709" s="331" t="s">
        <v>4553</v>
      </c>
      <c r="B709" s="331" t="s">
        <v>1496</v>
      </c>
      <c r="C709" s="332" t="s">
        <v>1498</v>
      </c>
      <c r="D709" s="333" t="s">
        <v>1499</v>
      </c>
      <c r="E709" s="42"/>
      <c r="F709" s="9"/>
      <c r="G709" s="9"/>
      <c r="H709" s="9"/>
      <c r="I709" s="9"/>
      <c r="J709" s="9"/>
      <c r="K709" s="9"/>
      <c r="L709" s="9"/>
      <c r="M709" s="2"/>
      <c r="N709" s="2"/>
      <c r="O709" s="2"/>
      <c r="P709" s="2"/>
    </row>
    <row r="710" spans="1:16" ht="12.75">
      <c r="A710" s="334" t="s">
        <v>4553</v>
      </c>
      <c r="B710" s="334" t="s">
        <v>1523</v>
      </c>
      <c r="C710" s="332" t="s">
        <v>1525</v>
      </c>
      <c r="D710" s="333" t="s">
        <v>1526</v>
      </c>
      <c r="E710" s="42"/>
      <c r="F710" s="9"/>
      <c r="G710" s="9"/>
      <c r="H710" s="9"/>
      <c r="I710" s="9"/>
      <c r="J710" s="9"/>
      <c r="K710" s="9"/>
      <c r="L710" s="9"/>
      <c r="M710" s="2"/>
      <c r="N710" s="2"/>
      <c r="O710" s="2"/>
      <c r="P710" s="2"/>
    </row>
    <row r="711" spans="1:16" ht="12.75">
      <c r="A711" s="331" t="s">
        <v>4562</v>
      </c>
      <c r="B711" s="331" t="s">
        <v>1762</v>
      </c>
      <c r="C711" s="332" t="s">
        <v>1764</v>
      </c>
      <c r="D711" s="333" t="s">
        <v>1765</v>
      </c>
      <c r="E711" s="42"/>
      <c r="F711" s="9"/>
      <c r="G711" s="9"/>
      <c r="H711" s="9"/>
      <c r="I711" s="9"/>
      <c r="J711" s="9"/>
      <c r="K711" s="9"/>
      <c r="L711" s="9"/>
      <c r="M711" s="2"/>
      <c r="N711" s="2"/>
      <c r="O711" s="2"/>
      <c r="P711" s="2"/>
    </row>
    <row r="712" spans="1:16" ht="12.75">
      <c r="A712" s="334" t="s">
        <v>4554</v>
      </c>
      <c r="B712" s="334" t="s">
        <v>724</v>
      </c>
      <c r="C712" s="332" t="s">
        <v>726</v>
      </c>
      <c r="D712" s="333" t="s">
        <v>727</v>
      </c>
      <c r="E712" s="42"/>
      <c r="F712" s="9"/>
      <c r="G712" s="9"/>
      <c r="H712" s="9"/>
      <c r="I712" s="9"/>
      <c r="J712" s="9"/>
      <c r="K712" s="9"/>
      <c r="L712" s="9"/>
      <c r="M712" s="2"/>
      <c r="N712" s="2"/>
      <c r="O712" s="2"/>
      <c r="P712" s="2"/>
    </row>
    <row r="713" spans="1:16" ht="12.75">
      <c r="A713" s="334" t="s">
        <v>4554</v>
      </c>
      <c r="B713" s="334" t="s">
        <v>850</v>
      </c>
      <c r="C713" s="332" t="s">
        <v>852</v>
      </c>
      <c r="D713" s="333" t="s">
        <v>853</v>
      </c>
      <c r="E713" s="42"/>
      <c r="F713" s="9"/>
      <c r="G713" s="9"/>
      <c r="H713" s="9"/>
      <c r="I713" s="9"/>
      <c r="J713" s="9"/>
      <c r="K713" s="9"/>
      <c r="L713" s="9"/>
      <c r="M713" s="2"/>
      <c r="N713" s="2"/>
      <c r="O713" s="2"/>
      <c r="P713" s="2"/>
    </row>
    <row r="714" spans="1:16" ht="12.75">
      <c r="A714" s="331" t="s">
        <v>4557</v>
      </c>
      <c r="B714" s="331" t="s">
        <v>1530</v>
      </c>
      <c r="C714" s="332" t="s">
        <v>1225</v>
      </c>
      <c r="D714" s="333" t="s">
        <v>1533</v>
      </c>
      <c r="E714" s="42"/>
      <c r="F714" s="9"/>
      <c r="G714" s="9"/>
      <c r="H714" s="9"/>
      <c r="I714" s="9"/>
      <c r="J714" s="9"/>
      <c r="K714" s="9"/>
      <c r="L714" s="9"/>
      <c r="M714" s="2"/>
      <c r="N714" s="2"/>
      <c r="O714" s="2"/>
      <c r="P714" s="2"/>
    </row>
    <row r="715" spans="1:16" ht="12.75">
      <c r="A715" s="334" t="s">
        <v>4557</v>
      </c>
      <c r="B715" s="334" t="s">
        <v>597</v>
      </c>
      <c r="C715" s="332" t="s">
        <v>599</v>
      </c>
      <c r="D715" s="333" t="s">
        <v>601</v>
      </c>
      <c r="E715" s="42"/>
      <c r="F715" s="9"/>
      <c r="G715" s="9"/>
      <c r="H715" s="9"/>
      <c r="I715" s="9"/>
      <c r="J715" s="9"/>
      <c r="K715" s="9"/>
      <c r="L715" s="9"/>
      <c r="M715" s="2"/>
      <c r="N715" s="2"/>
      <c r="O715" s="2"/>
      <c r="P715" s="2"/>
    </row>
    <row r="716" spans="1:16" ht="12.75">
      <c r="A716" s="331" t="s">
        <v>4557</v>
      </c>
      <c r="B716" s="331" t="s">
        <v>597</v>
      </c>
      <c r="C716" s="332" t="s">
        <v>599</v>
      </c>
      <c r="D716" s="333" t="s">
        <v>601</v>
      </c>
      <c r="E716" s="42"/>
      <c r="F716" s="9"/>
      <c r="G716" s="9"/>
      <c r="H716" s="9"/>
      <c r="I716" s="9"/>
      <c r="J716" s="9"/>
      <c r="K716" s="9"/>
      <c r="L716" s="9"/>
      <c r="M716" s="2"/>
      <c r="N716" s="2"/>
      <c r="O716" s="2"/>
      <c r="P716" s="2"/>
    </row>
    <row r="717" spans="1:16" ht="12.75">
      <c r="A717" s="334" t="s">
        <v>4557</v>
      </c>
      <c r="B717" s="334" t="s">
        <v>597</v>
      </c>
      <c r="C717" s="332" t="s">
        <v>599</v>
      </c>
      <c r="D717" s="333" t="s">
        <v>601</v>
      </c>
      <c r="E717" s="42"/>
      <c r="F717" s="9"/>
      <c r="G717" s="9"/>
      <c r="H717" s="9"/>
      <c r="I717" s="9"/>
      <c r="J717" s="9"/>
      <c r="K717" s="9"/>
      <c r="L717" s="9"/>
      <c r="M717" s="2"/>
      <c r="N717" s="2"/>
      <c r="O717" s="2"/>
      <c r="P717" s="2"/>
    </row>
    <row r="718" spans="1:16" ht="12.75">
      <c r="A718" s="331" t="s">
        <v>4547</v>
      </c>
      <c r="B718" s="331" t="s">
        <v>79</v>
      </c>
      <c r="C718" s="332" t="s">
        <v>1357</v>
      </c>
      <c r="D718" s="333" t="s">
        <v>1101</v>
      </c>
      <c r="E718" s="42"/>
      <c r="F718" s="9"/>
      <c r="G718" s="9"/>
      <c r="H718" s="9"/>
      <c r="I718" s="9"/>
      <c r="J718" s="9"/>
      <c r="K718" s="9"/>
      <c r="L718" s="9"/>
      <c r="M718" s="2"/>
      <c r="N718" s="2"/>
      <c r="O718" s="2"/>
      <c r="P718" s="2"/>
    </row>
    <row r="719" spans="1:16" ht="12.75">
      <c r="A719" s="334" t="s">
        <v>4548</v>
      </c>
      <c r="B719" s="334" t="s">
        <v>1193</v>
      </c>
      <c r="C719" s="332" t="s">
        <v>1195</v>
      </c>
      <c r="D719" s="333" t="s">
        <v>1101</v>
      </c>
      <c r="E719" s="42"/>
      <c r="F719" s="9"/>
      <c r="G719" s="9"/>
      <c r="H719" s="9"/>
      <c r="I719" s="9"/>
      <c r="J719" s="9"/>
      <c r="K719" s="9"/>
      <c r="L719" s="9"/>
      <c r="M719" s="2"/>
      <c r="N719" s="2"/>
      <c r="O719" s="2"/>
      <c r="P719" s="2"/>
    </row>
    <row r="720" spans="1:16" ht="12.75">
      <c r="A720" s="331" t="s">
        <v>4579</v>
      </c>
      <c r="B720" s="331" t="s">
        <v>1160</v>
      </c>
      <c r="C720" s="332" t="s">
        <v>100</v>
      </c>
      <c r="D720" s="333" t="s">
        <v>1101</v>
      </c>
      <c r="E720" s="42"/>
      <c r="F720" s="9"/>
      <c r="G720" s="9"/>
      <c r="H720" s="9"/>
      <c r="I720" s="9"/>
      <c r="J720" s="9"/>
      <c r="K720" s="9"/>
      <c r="L720" s="9"/>
      <c r="M720" s="2"/>
      <c r="N720" s="2"/>
      <c r="O720" s="2"/>
      <c r="P720" s="2"/>
    </row>
    <row r="721" spans="1:16" ht="12.75">
      <c r="A721" s="334" t="s">
        <v>4579</v>
      </c>
      <c r="B721" s="334" t="s">
        <v>1160</v>
      </c>
      <c r="C721" s="332" t="s">
        <v>100</v>
      </c>
      <c r="D721" s="333" t="s">
        <v>1101</v>
      </c>
      <c r="E721" s="42"/>
      <c r="F721" s="9"/>
      <c r="G721" s="9"/>
      <c r="H721" s="9"/>
      <c r="I721" s="9"/>
      <c r="J721" s="9"/>
      <c r="K721" s="9"/>
      <c r="L721" s="9"/>
      <c r="M721" s="2"/>
      <c r="N721" s="2"/>
      <c r="O721" s="2"/>
      <c r="P721" s="2"/>
    </row>
    <row r="722" spans="1:16" ht="12.75">
      <c r="A722" s="331" t="s">
        <v>4545</v>
      </c>
      <c r="B722" s="331" t="s">
        <v>800</v>
      </c>
      <c r="C722" s="332" t="s">
        <v>802</v>
      </c>
      <c r="D722" s="333" t="s">
        <v>803</v>
      </c>
      <c r="E722" s="42"/>
      <c r="F722" s="9"/>
      <c r="G722" s="9"/>
      <c r="H722" s="9"/>
      <c r="I722" s="9"/>
      <c r="J722" s="9"/>
      <c r="K722" s="9"/>
      <c r="L722" s="9"/>
      <c r="M722" s="2"/>
      <c r="N722" s="2"/>
      <c r="O722" s="2"/>
      <c r="P722" s="2"/>
    </row>
    <row r="723" spans="1:16" ht="12.75">
      <c r="A723" s="334" t="s">
        <v>4548</v>
      </c>
      <c r="B723" s="334" t="s">
        <v>800</v>
      </c>
      <c r="C723" s="332" t="s">
        <v>1596</v>
      </c>
      <c r="D723" s="333" t="s">
        <v>1597</v>
      </c>
      <c r="E723" s="42"/>
      <c r="F723" s="9"/>
      <c r="G723" s="9"/>
      <c r="H723" s="9"/>
      <c r="I723" s="9"/>
      <c r="J723" s="9"/>
      <c r="K723" s="9"/>
      <c r="L723" s="9"/>
      <c r="M723" s="2"/>
      <c r="N723" s="2"/>
      <c r="O723" s="2"/>
      <c r="P723" s="2"/>
    </row>
    <row r="724" spans="1:16" ht="12.75">
      <c r="A724" s="331" t="s">
        <v>4561</v>
      </c>
      <c r="B724" s="331" t="s">
        <v>767</v>
      </c>
      <c r="C724" s="332" t="s">
        <v>218</v>
      </c>
      <c r="D724" s="333" t="s">
        <v>769</v>
      </c>
      <c r="E724" s="42"/>
      <c r="F724" s="9"/>
      <c r="G724" s="9"/>
      <c r="H724" s="9"/>
      <c r="I724" s="9"/>
      <c r="J724" s="9"/>
      <c r="K724" s="9"/>
      <c r="L724" s="9"/>
      <c r="M724" s="2"/>
      <c r="N724" s="2"/>
      <c r="O724" s="2"/>
      <c r="P724" s="2"/>
    </row>
    <row r="725" spans="1:16" ht="12.75">
      <c r="A725" s="334" t="s">
        <v>4559</v>
      </c>
      <c r="B725" s="334" t="s">
        <v>1668</v>
      </c>
      <c r="C725" s="332" t="s">
        <v>237</v>
      </c>
      <c r="D725" s="333" t="s">
        <v>1670</v>
      </c>
      <c r="E725" s="42"/>
      <c r="F725" s="9"/>
      <c r="G725" s="9"/>
      <c r="H725" s="9"/>
      <c r="I725" s="9"/>
      <c r="J725" s="9"/>
      <c r="K725" s="9"/>
      <c r="L725" s="9"/>
      <c r="M725" s="2"/>
      <c r="N725" s="2"/>
      <c r="O725" s="2"/>
      <c r="P725" s="2"/>
    </row>
    <row r="726" spans="1:16" ht="12.75">
      <c r="A726" s="331" t="s">
        <v>4557</v>
      </c>
      <c r="B726" s="331" t="s">
        <v>662</v>
      </c>
      <c r="C726" s="332" t="s">
        <v>664</v>
      </c>
      <c r="D726" s="333" t="s">
        <v>665</v>
      </c>
      <c r="E726" s="42"/>
      <c r="F726" s="9"/>
      <c r="G726" s="9"/>
      <c r="H726" s="9"/>
      <c r="I726" s="9"/>
      <c r="J726" s="9"/>
      <c r="K726" s="9"/>
      <c r="L726" s="9"/>
      <c r="M726" s="2"/>
      <c r="N726" s="2"/>
      <c r="O726" s="2"/>
      <c r="P726" s="2"/>
    </row>
    <row r="727" spans="1:16" ht="12.75">
      <c r="A727" s="334" t="s">
        <v>4557</v>
      </c>
      <c r="B727" s="334" t="s">
        <v>325</v>
      </c>
      <c r="C727" s="332" t="s">
        <v>203</v>
      </c>
      <c r="D727" s="333" t="s">
        <v>327</v>
      </c>
      <c r="E727" s="42"/>
      <c r="F727" s="9"/>
      <c r="G727" s="9"/>
      <c r="H727" s="9"/>
      <c r="I727" s="9"/>
      <c r="J727" s="9"/>
      <c r="K727" s="9"/>
      <c r="L727" s="9"/>
      <c r="M727" s="2"/>
      <c r="N727" s="2"/>
      <c r="O727" s="2"/>
      <c r="P727" s="2"/>
    </row>
    <row r="728" spans="1:16" ht="12.75">
      <c r="A728" s="331" t="s">
        <v>4560</v>
      </c>
      <c r="B728" s="331" t="s">
        <v>892</v>
      </c>
      <c r="C728" s="332" t="s">
        <v>237</v>
      </c>
      <c r="D728" s="333" t="s">
        <v>894</v>
      </c>
      <c r="E728" s="42"/>
      <c r="F728" s="9"/>
      <c r="G728" s="9"/>
      <c r="H728" s="9"/>
      <c r="I728" s="9"/>
      <c r="J728" s="9"/>
      <c r="K728" s="9"/>
      <c r="L728" s="9"/>
      <c r="M728" s="2"/>
      <c r="N728" s="2"/>
      <c r="O728" s="2"/>
      <c r="P728" s="2"/>
    </row>
    <row r="729" spans="1:16" ht="12.75">
      <c r="A729" s="334" t="s">
        <v>4546</v>
      </c>
      <c r="B729" s="334" t="s">
        <v>1081</v>
      </c>
      <c r="C729" s="332" t="s">
        <v>237</v>
      </c>
      <c r="D729" s="333" t="s">
        <v>1083</v>
      </c>
      <c r="E729" s="42"/>
      <c r="F729" s="9"/>
      <c r="G729" s="9"/>
      <c r="H729" s="9"/>
      <c r="I729" s="9"/>
      <c r="J729" s="9"/>
      <c r="K729" s="9"/>
      <c r="L729" s="9"/>
      <c r="M729" s="2"/>
      <c r="N729" s="2"/>
      <c r="O729" s="2"/>
      <c r="P729" s="2"/>
    </row>
    <row r="730" spans="1:16" ht="12.75">
      <c r="A730" s="331" t="s">
        <v>4547</v>
      </c>
      <c r="B730" s="331" t="s">
        <v>375</v>
      </c>
      <c r="C730" s="332" t="s">
        <v>377</v>
      </c>
      <c r="D730" s="333" t="s">
        <v>379</v>
      </c>
      <c r="E730" s="42"/>
      <c r="F730" s="9"/>
      <c r="G730" s="9"/>
      <c r="H730" s="9"/>
      <c r="I730" s="9"/>
      <c r="J730" s="9"/>
      <c r="K730" s="9"/>
      <c r="L730" s="9"/>
      <c r="M730" s="2"/>
      <c r="N730" s="2"/>
      <c r="O730" s="2"/>
      <c r="P730" s="2"/>
    </row>
    <row r="731" spans="1:16" ht="12.75">
      <c r="A731" s="334" t="s">
        <v>4545</v>
      </c>
      <c r="B731" s="334" t="s">
        <v>1097</v>
      </c>
      <c r="C731" s="332" t="s">
        <v>1099</v>
      </c>
      <c r="D731" s="333" t="s">
        <v>1101</v>
      </c>
      <c r="E731" s="42"/>
      <c r="F731" s="9"/>
      <c r="G731" s="9"/>
      <c r="H731" s="9"/>
      <c r="I731" s="9"/>
      <c r="J731" s="9"/>
      <c r="K731" s="9"/>
      <c r="L731" s="9"/>
      <c r="M731" s="2"/>
      <c r="N731" s="2"/>
      <c r="O731" s="2"/>
      <c r="P731" s="2"/>
    </row>
    <row r="732" spans="1:16" ht="15">
      <c r="A732" s="334" t="s">
        <v>4545</v>
      </c>
      <c r="B732" s="334" t="s">
        <v>1808</v>
      </c>
      <c r="C732" s="332" t="s">
        <v>1810</v>
      </c>
      <c r="D732" s="372" t="s">
        <v>1812</v>
      </c>
      <c r="E732" s="42"/>
      <c r="F732" s="9"/>
      <c r="G732" s="9"/>
      <c r="H732" s="9"/>
      <c r="I732" s="9"/>
      <c r="J732" s="9"/>
      <c r="K732" s="9"/>
      <c r="L732" s="9"/>
      <c r="M732" s="2"/>
      <c r="N732" s="2"/>
      <c r="O732" s="2"/>
      <c r="P732" s="2"/>
    </row>
    <row r="733" spans="1:16" ht="12.75">
      <c r="A733" s="334" t="s">
        <v>4560</v>
      </c>
      <c r="B733" s="334" t="s">
        <v>743</v>
      </c>
      <c r="C733" s="332" t="s">
        <v>745</v>
      </c>
      <c r="D733" s="333" t="s">
        <v>746</v>
      </c>
      <c r="E733" s="42"/>
      <c r="F733" s="9"/>
      <c r="G733" s="9"/>
      <c r="H733" s="9"/>
      <c r="I733" s="9"/>
      <c r="J733" s="9"/>
      <c r="K733" s="9"/>
      <c r="L733" s="9"/>
      <c r="M733" s="2"/>
      <c r="N733" s="2"/>
      <c r="O733" s="2"/>
      <c r="P733" s="2"/>
    </row>
    <row r="734" spans="1:16" ht="12.75">
      <c r="A734" s="331" t="s">
        <v>4553</v>
      </c>
      <c r="B734" s="331" t="s">
        <v>156</v>
      </c>
      <c r="C734" s="332" t="s">
        <v>158</v>
      </c>
      <c r="D734" s="333" t="s">
        <v>160</v>
      </c>
      <c r="E734" s="42"/>
      <c r="F734" s="9"/>
      <c r="G734" s="9"/>
      <c r="H734" s="9"/>
      <c r="I734" s="9"/>
      <c r="J734" s="9"/>
      <c r="K734" s="9"/>
      <c r="L734" s="9"/>
      <c r="M734" s="2"/>
      <c r="N734" s="2"/>
      <c r="O734" s="2"/>
      <c r="P734" s="2"/>
    </row>
    <row r="735" spans="1:16" ht="12.75">
      <c r="A735" s="334" t="s">
        <v>4553</v>
      </c>
      <c r="B735" s="334" t="s">
        <v>156</v>
      </c>
      <c r="C735" s="332" t="s">
        <v>158</v>
      </c>
      <c r="D735" s="333" t="s">
        <v>160</v>
      </c>
      <c r="E735" s="42"/>
      <c r="F735" s="9"/>
      <c r="G735" s="9"/>
      <c r="H735" s="9"/>
      <c r="I735" s="9"/>
      <c r="J735" s="9"/>
      <c r="K735" s="9"/>
      <c r="L735" s="9"/>
      <c r="M735" s="2"/>
      <c r="N735" s="2"/>
      <c r="O735" s="2"/>
      <c r="P735" s="2"/>
    </row>
    <row r="736" spans="1:16" ht="12.75">
      <c r="A736" s="361" t="s">
        <v>4560</v>
      </c>
      <c r="B736" s="361" t="s">
        <v>1489</v>
      </c>
      <c r="C736" s="360" t="s">
        <v>1491</v>
      </c>
      <c r="D736" s="367" t="s">
        <v>1492</v>
      </c>
      <c r="E736" s="42"/>
      <c r="F736" s="9"/>
      <c r="G736" s="9"/>
      <c r="H736" s="9"/>
      <c r="I736" s="9"/>
      <c r="J736" s="9"/>
      <c r="K736" s="9"/>
      <c r="L736" s="9"/>
      <c r="M736" s="2"/>
      <c r="N736" s="2"/>
      <c r="O736" s="2"/>
      <c r="P736" s="2"/>
    </row>
    <row r="737" spans="1:16" ht="12.75">
      <c r="A737" s="334" t="s">
        <v>4560</v>
      </c>
      <c r="B737" s="334" t="s">
        <v>1110</v>
      </c>
      <c r="C737" s="332" t="s">
        <v>1112</v>
      </c>
      <c r="D737" s="333" t="s">
        <v>1113</v>
      </c>
      <c r="E737" s="42"/>
      <c r="F737" s="9"/>
      <c r="G737" s="9"/>
      <c r="H737" s="9"/>
      <c r="I737" s="9"/>
      <c r="J737" s="9"/>
      <c r="K737" s="9"/>
      <c r="L737" s="9"/>
      <c r="M737" s="2"/>
      <c r="N737" s="2"/>
      <c r="O737" s="2"/>
      <c r="P737" s="2"/>
    </row>
    <row r="738" spans="1:16" ht="12.75">
      <c r="A738" s="331" t="s">
        <v>4550</v>
      </c>
      <c r="B738" s="331" t="s">
        <v>885</v>
      </c>
      <c r="C738" s="332" t="s">
        <v>887</v>
      </c>
      <c r="D738" s="333" t="s">
        <v>888</v>
      </c>
      <c r="E738" s="42"/>
      <c r="F738" s="9"/>
      <c r="G738" s="9"/>
      <c r="H738" s="9"/>
      <c r="I738" s="9"/>
      <c r="J738" s="9"/>
      <c r="K738" s="9"/>
      <c r="L738" s="9"/>
      <c r="M738" s="2"/>
      <c r="N738" s="2"/>
      <c r="O738" s="2"/>
      <c r="P738" s="2"/>
    </row>
    <row r="739" spans="1:16">
      <c r="A739" s="334" t="s">
        <v>4545</v>
      </c>
      <c r="B739" s="334" t="s">
        <v>295</v>
      </c>
      <c r="C739" s="332" t="s">
        <v>297</v>
      </c>
      <c r="D739" s="345" t="s">
        <v>298</v>
      </c>
      <c r="E739" s="42"/>
      <c r="F739" s="9"/>
      <c r="G739" s="9"/>
      <c r="H739" s="9"/>
      <c r="I739" s="9"/>
      <c r="J739" s="9"/>
      <c r="K739" s="9"/>
      <c r="L739" s="9"/>
      <c r="M739" s="2"/>
      <c r="N739" s="2"/>
      <c r="O739" s="2"/>
      <c r="P739" s="2"/>
    </row>
    <row r="740" spans="1:16" ht="12.75">
      <c r="A740" s="331" t="s">
        <v>4557</v>
      </c>
      <c r="B740" s="331" t="s">
        <v>586</v>
      </c>
      <c r="C740" s="332" t="s">
        <v>218</v>
      </c>
      <c r="D740" s="333" t="s">
        <v>588</v>
      </c>
      <c r="E740" s="42"/>
      <c r="F740" s="9"/>
      <c r="G740" s="9"/>
      <c r="H740" s="9"/>
      <c r="I740" s="9"/>
      <c r="J740" s="9"/>
      <c r="K740" s="9"/>
      <c r="L740" s="9"/>
      <c r="M740" s="2"/>
      <c r="N740" s="2"/>
      <c r="O740" s="2"/>
      <c r="P740" s="2"/>
    </row>
    <row r="741" spans="1:16" ht="12.75">
      <c r="A741" s="334" t="s">
        <v>4548</v>
      </c>
      <c r="B741" s="334" t="s">
        <v>554</v>
      </c>
      <c r="C741" s="332" t="s">
        <v>556</v>
      </c>
      <c r="D741" s="333" t="s">
        <v>557</v>
      </c>
      <c r="E741" s="42"/>
      <c r="F741" s="9"/>
      <c r="G741" s="9"/>
      <c r="H741" s="9"/>
      <c r="I741" s="9"/>
      <c r="J741" s="9"/>
      <c r="K741" s="9"/>
      <c r="L741" s="9"/>
      <c r="M741" s="2"/>
      <c r="N741" s="2"/>
      <c r="O741" s="2"/>
      <c r="P741" s="2"/>
    </row>
    <row r="742" spans="1:16" ht="12.75">
      <c r="A742" s="331" t="s">
        <v>4557</v>
      </c>
      <c r="B742" s="331" t="s">
        <v>164</v>
      </c>
      <c r="C742" s="332" t="s">
        <v>166</v>
      </c>
      <c r="D742" s="339" t="s">
        <v>167</v>
      </c>
      <c r="E742" s="42"/>
      <c r="F742" s="9"/>
      <c r="G742" s="9"/>
      <c r="H742" s="9"/>
      <c r="I742" s="9"/>
      <c r="J742" s="9"/>
      <c r="K742" s="9"/>
      <c r="L742" s="9"/>
      <c r="M742" s="2"/>
      <c r="N742" s="2"/>
      <c r="O742" s="2"/>
      <c r="P742" s="2"/>
    </row>
    <row r="743" spans="1:16" ht="12.75">
      <c r="A743" s="334" t="s">
        <v>4560</v>
      </c>
      <c r="B743" s="334" t="s">
        <v>199</v>
      </c>
      <c r="C743" s="332" t="s">
        <v>59</v>
      </c>
      <c r="D743" s="333" t="s">
        <v>60</v>
      </c>
      <c r="E743" s="42"/>
      <c r="F743" s="9"/>
      <c r="G743" s="9"/>
      <c r="H743" s="9"/>
      <c r="I743" s="9"/>
      <c r="J743" s="9"/>
      <c r="K743" s="9"/>
      <c r="L743" s="9"/>
      <c r="M743" s="2"/>
      <c r="N743" s="2"/>
      <c r="O743" s="2"/>
      <c r="P743" s="2"/>
    </row>
    <row r="744" spans="1:16" ht="12.75">
      <c r="A744" s="331" t="s">
        <v>4560</v>
      </c>
      <c r="B744" s="331" t="s">
        <v>1743</v>
      </c>
      <c r="C744" s="332" t="s">
        <v>59</v>
      </c>
      <c r="D744" s="333" t="s">
        <v>1745</v>
      </c>
      <c r="E744" s="42"/>
      <c r="F744" s="9"/>
      <c r="G744" s="9"/>
      <c r="H744" s="9"/>
      <c r="I744" s="9"/>
      <c r="J744" s="9"/>
      <c r="K744" s="9"/>
      <c r="L744" s="9"/>
      <c r="M744" s="2"/>
      <c r="N744" s="2"/>
      <c r="O744" s="2"/>
      <c r="P744" s="2"/>
    </row>
    <row r="745" spans="1:16" ht="12.75">
      <c r="A745" s="334" t="s">
        <v>4562</v>
      </c>
      <c r="B745" s="334" t="s">
        <v>811</v>
      </c>
      <c r="C745" s="332" t="s">
        <v>59</v>
      </c>
      <c r="D745" s="333" t="s">
        <v>60</v>
      </c>
      <c r="E745" s="42"/>
      <c r="F745" s="9"/>
      <c r="G745" s="9"/>
      <c r="H745" s="9"/>
      <c r="I745" s="9"/>
      <c r="J745" s="9"/>
      <c r="K745" s="9"/>
      <c r="L745" s="9"/>
      <c r="M745" s="2"/>
      <c r="N745" s="2"/>
      <c r="O745" s="2"/>
      <c r="P745" s="2"/>
    </row>
    <row r="746" spans="1:16" ht="12.75">
      <c r="A746" s="331" t="s">
        <v>4560</v>
      </c>
      <c r="B746" s="331" t="s">
        <v>57</v>
      </c>
      <c r="C746" s="332" t="s">
        <v>59</v>
      </c>
      <c r="D746" s="333" t="s">
        <v>60</v>
      </c>
      <c r="E746" s="42"/>
      <c r="F746" s="9"/>
      <c r="G746" s="9"/>
      <c r="H746" s="9"/>
      <c r="I746" s="9"/>
      <c r="J746" s="9"/>
      <c r="K746" s="9"/>
      <c r="L746" s="9"/>
      <c r="M746" s="2"/>
      <c r="N746" s="2"/>
      <c r="O746" s="2"/>
      <c r="P746" s="2"/>
    </row>
    <row r="747" spans="1:16" ht="12.75">
      <c r="A747" s="334" t="s">
        <v>4562</v>
      </c>
      <c r="B747" s="334" t="s">
        <v>57</v>
      </c>
      <c r="C747" s="332" t="s">
        <v>59</v>
      </c>
      <c r="D747" s="333" t="s">
        <v>60</v>
      </c>
      <c r="E747" s="42"/>
      <c r="F747" s="9"/>
      <c r="G747" s="9"/>
      <c r="H747" s="9"/>
      <c r="I747" s="9"/>
      <c r="J747" s="9"/>
      <c r="K747" s="9"/>
      <c r="L747" s="9"/>
      <c r="M747" s="2"/>
      <c r="N747" s="2"/>
      <c r="O747" s="2"/>
      <c r="P747" s="2"/>
    </row>
    <row r="748" spans="1:16" ht="12.75">
      <c r="A748" s="331" t="s">
        <v>4562</v>
      </c>
      <c r="B748" s="331" t="s">
        <v>57</v>
      </c>
      <c r="C748" s="332" t="s">
        <v>59</v>
      </c>
      <c r="D748" s="333" t="s">
        <v>60</v>
      </c>
      <c r="E748" s="42"/>
      <c r="F748" s="9"/>
      <c r="G748" s="9"/>
      <c r="H748" s="9"/>
      <c r="I748" s="9"/>
      <c r="J748" s="9"/>
      <c r="K748" s="9"/>
      <c r="L748" s="9"/>
      <c r="M748" s="2"/>
      <c r="N748" s="2"/>
      <c r="O748" s="2"/>
      <c r="P748" s="2"/>
    </row>
    <row r="749" spans="1:16" ht="12.75">
      <c r="A749" s="334" t="s">
        <v>4546</v>
      </c>
      <c r="B749" s="334" t="s">
        <v>1466</v>
      </c>
      <c r="C749" s="332" t="s">
        <v>1468</v>
      </c>
      <c r="D749" s="333" t="s">
        <v>1469</v>
      </c>
      <c r="E749" s="42"/>
      <c r="F749" s="9"/>
      <c r="G749" s="9"/>
      <c r="H749" s="9"/>
      <c r="I749" s="9"/>
      <c r="J749" s="9"/>
      <c r="K749" s="9"/>
      <c r="L749" s="9"/>
      <c r="M749" s="2"/>
      <c r="N749" s="2"/>
      <c r="O749" s="2"/>
      <c r="P749" s="2"/>
    </row>
    <row r="750" spans="1:16" ht="12.75">
      <c r="A750" s="331" t="s">
        <v>4554</v>
      </c>
      <c r="B750" s="331" t="s">
        <v>1796</v>
      </c>
      <c r="C750" s="332" t="s">
        <v>193</v>
      </c>
      <c r="D750" s="333" t="s">
        <v>1798</v>
      </c>
      <c r="E750" s="42"/>
      <c r="F750" s="9"/>
      <c r="G750" s="9"/>
      <c r="H750" s="9"/>
      <c r="I750" s="9"/>
      <c r="J750" s="9"/>
      <c r="K750" s="9"/>
      <c r="L750" s="9"/>
      <c r="M750" s="2"/>
      <c r="N750" s="2"/>
      <c r="O750" s="2"/>
      <c r="P750" s="2"/>
    </row>
    <row r="751" spans="1:16" ht="12.75">
      <c r="A751" s="334" t="s">
        <v>4547</v>
      </c>
      <c r="B751" s="334" t="s">
        <v>1693</v>
      </c>
      <c r="C751" s="332" t="s">
        <v>237</v>
      </c>
      <c r="D751" s="333" t="s">
        <v>1696</v>
      </c>
      <c r="E751" s="42"/>
      <c r="F751" s="9"/>
      <c r="G751" s="9"/>
      <c r="H751" s="9"/>
      <c r="I751" s="9"/>
      <c r="J751" s="9"/>
      <c r="K751" s="9"/>
      <c r="L751" s="9"/>
      <c r="M751" s="2"/>
      <c r="N751" s="2"/>
      <c r="O751" s="2"/>
      <c r="P751" s="2"/>
    </row>
    <row r="752" spans="1:16" ht="12.75">
      <c r="A752" s="331" t="s">
        <v>4548</v>
      </c>
      <c r="B752" s="331" t="s">
        <v>1693</v>
      </c>
      <c r="C752" s="332" t="s">
        <v>237</v>
      </c>
      <c r="D752" s="333" t="s">
        <v>1696</v>
      </c>
      <c r="E752" s="42"/>
      <c r="F752" s="9"/>
      <c r="G752" s="9"/>
      <c r="H752" s="9"/>
      <c r="I752" s="9"/>
      <c r="J752" s="9"/>
      <c r="K752" s="9"/>
      <c r="L752" s="9"/>
      <c r="M752" s="2"/>
      <c r="N752" s="2"/>
      <c r="O752" s="2"/>
      <c r="P752" s="2"/>
    </row>
    <row r="753" spans="1:16" ht="12.75">
      <c r="A753" s="331" t="s">
        <v>4562</v>
      </c>
      <c r="B753" s="331" t="s">
        <v>862</v>
      </c>
      <c r="C753" s="332" t="s">
        <v>218</v>
      </c>
      <c r="D753" s="362" t="s">
        <v>864</v>
      </c>
      <c r="E753" s="42"/>
      <c r="F753" s="9"/>
      <c r="G753" s="9"/>
      <c r="H753" s="9"/>
      <c r="I753" s="9"/>
      <c r="J753" s="9"/>
      <c r="K753" s="9"/>
      <c r="L753" s="9"/>
      <c r="M753" s="2"/>
      <c r="N753" s="2"/>
      <c r="O753" s="2"/>
      <c r="P753" s="2"/>
    </row>
    <row r="754" spans="1:16" ht="12.75">
      <c r="A754" s="334" t="s">
        <v>4562</v>
      </c>
      <c r="B754" s="338" t="s">
        <v>862</v>
      </c>
      <c r="C754" s="332" t="s">
        <v>218</v>
      </c>
      <c r="D754" s="333" t="s">
        <v>864</v>
      </c>
      <c r="E754" s="42"/>
      <c r="F754" s="9"/>
      <c r="G754" s="9"/>
      <c r="H754" s="9"/>
      <c r="I754" s="9"/>
      <c r="J754" s="9"/>
      <c r="K754" s="9"/>
      <c r="L754" s="9"/>
      <c r="M754" s="2"/>
      <c r="N754" s="2"/>
      <c r="O754" s="2"/>
      <c r="P754" s="2"/>
    </row>
    <row r="755" spans="1:16" ht="12.75">
      <c r="A755" s="334" t="s">
        <v>4559</v>
      </c>
      <c r="B755" s="334" t="s">
        <v>1449</v>
      </c>
      <c r="C755" s="332" t="s">
        <v>1451</v>
      </c>
      <c r="D755" s="333" t="s">
        <v>1452</v>
      </c>
      <c r="E755" s="42"/>
      <c r="F755" s="9"/>
      <c r="G755" s="9"/>
      <c r="H755" s="9"/>
      <c r="I755" s="9"/>
      <c r="J755" s="9"/>
      <c r="K755" s="9"/>
      <c r="L755" s="9"/>
      <c r="M755" s="2"/>
      <c r="N755" s="2"/>
      <c r="O755" s="2"/>
      <c r="P755" s="2"/>
    </row>
    <row r="756" spans="1:16" ht="12.75">
      <c r="A756" s="331" t="s">
        <v>4560</v>
      </c>
      <c r="B756" s="331" t="s">
        <v>668</v>
      </c>
      <c r="C756" s="332" t="s">
        <v>237</v>
      </c>
      <c r="D756" s="333" t="s">
        <v>670</v>
      </c>
      <c r="E756" s="42"/>
      <c r="F756" s="9"/>
      <c r="G756" s="9"/>
      <c r="H756" s="9"/>
      <c r="I756" s="9"/>
      <c r="J756" s="9"/>
      <c r="K756" s="9"/>
      <c r="L756" s="9"/>
      <c r="M756" s="2"/>
      <c r="N756" s="2"/>
      <c r="O756" s="2"/>
      <c r="P756" s="2"/>
    </row>
    <row r="757" spans="1:16" ht="12.75">
      <c r="A757" s="334" t="s">
        <v>4554</v>
      </c>
      <c r="B757" s="334" t="s">
        <v>700</v>
      </c>
      <c r="C757" s="332" t="s">
        <v>451</v>
      </c>
      <c r="D757" s="333" t="s">
        <v>87</v>
      </c>
      <c r="E757" s="42"/>
      <c r="F757" s="9"/>
      <c r="G757" s="9"/>
      <c r="H757" s="9"/>
      <c r="I757" s="9"/>
      <c r="J757" s="9"/>
      <c r="K757" s="9"/>
      <c r="L757" s="9"/>
      <c r="M757" s="2"/>
      <c r="N757" s="2"/>
      <c r="O757" s="2"/>
      <c r="P757" s="2"/>
    </row>
    <row r="758" spans="1:16" ht="12.75">
      <c r="A758" s="331" t="s">
        <v>4560</v>
      </c>
      <c r="B758" s="331" t="s">
        <v>700</v>
      </c>
      <c r="C758" s="332" t="s">
        <v>451</v>
      </c>
      <c r="D758" s="333" t="s">
        <v>87</v>
      </c>
      <c r="E758" s="42"/>
      <c r="F758" s="9"/>
      <c r="G758" s="9"/>
      <c r="H758" s="9"/>
      <c r="I758" s="9"/>
      <c r="J758" s="9"/>
      <c r="K758" s="9"/>
      <c r="L758" s="9"/>
      <c r="M758" s="2"/>
      <c r="N758" s="2"/>
      <c r="O758" s="2"/>
      <c r="P758" s="2"/>
    </row>
    <row r="759" spans="1:16" ht="12.75">
      <c r="A759" s="334" t="s">
        <v>4562</v>
      </c>
      <c r="B759" s="334" t="s">
        <v>700</v>
      </c>
      <c r="C759" s="332" t="s">
        <v>451</v>
      </c>
      <c r="D759" s="333" t="s">
        <v>87</v>
      </c>
      <c r="E759" s="42"/>
      <c r="F759" s="9"/>
      <c r="G759" s="9"/>
      <c r="H759" s="9"/>
      <c r="I759" s="9"/>
      <c r="J759" s="9"/>
      <c r="K759" s="9"/>
      <c r="L759" s="9"/>
      <c r="M759" s="2"/>
      <c r="N759" s="2"/>
      <c r="O759" s="2"/>
      <c r="P759" s="2"/>
    </row>
    <row r="760" spans="1:16" ht="12.75">
      <c r="A760" s="331" t="s">
        <v>4553</v>
      </c>
      <c r="B760" s="331" t="s">
        <v>1574</v>
      </c>
      <c r="C760" s="332" t="s">
        <v>1576</v>
      </c>
      <c r="D760" s="333" t="s">
        <v>1577</v>
      </c>
      <c r="E760" s="42"/>
      <c r="F760" s="9"/>
      <c r="G760" s="9"/>
      <c r="H760" s="9"/>
      <c r="I760" s="9"/>
      <c r="J760" s="9"/>
      <c r="K760" s="9"/>
      <c r="L760" s="9"/>
      <c r="M760" s="2"/>
      <c r="N760" s="2"/>
      <c r="O760" s="2"/>
      <c r="P760" s="2"/>
    </row>
    <row r="761" spans="1:16" ht="12.75">
      <c r="A761" s="335" t="s">
        <v>4546</v>
      </c>
      <c r="B761" s="334" t="s">
        <v>1144</v>
      </c>
      <c r="C761" s="332" t="s">
        <v>1146</v>
      </c>
      <c r="D761" s="333" t="s">
        <v>1148</v>
      </c>
      <c r="E761" s="42"/>
      <c r="F761" s="9"/>
      <c r="G761" s="9"/>
      <c r="H761" s="9"/>
      <c r="I761" s="9"/>
      <c r="J761" s="9"/>
      <c r="K761" s="9"/>
      <c r="L761" s="9"/>
      <c r="M761" s="2"/>
      <c r="N761" s="2"/>
      <c r="O761" s="2"/>
      <c r="P761" s="2"/>
    </row>
    <row r="762" spans="1:16" ht="12.75">
      <c r="A762" s="331" t="s">
        <v>4557</v>
      </c>
      <c r="B762" s="331" t="s">
        <v>1649</v>
      </c>
      <c r="C762" s="332" t="s">
        <v>677</v>
      </c>
      <c r="D762" s="333" t="s">
        <v>1652</v>
      </c>
      <c r="E762" s="42"/>
      <c r="F762" s="9"/>
      <c r="G762" s="9"/>
      <c r="H762" s="9"/>
      <c r="I762" s="9"/>
      <c r="J762" s="9"/>
      <c r="K762" s="9"/>
      <c r="L762" s="9"/>
      <c r="M762" s="2"/>
      <c r="N762" s="2"/>
      <c r="O762" s="2"/>
      <c r="P762" s="2"/>
    </row>
    <row r="763" spans="1:16" ht="15">
      <c r="A763" s="334" t="s">
        <v>4562</v>
      </c>
      <c r="B763" s="334" t="s">
        <v>1779</v>
      </c>
      <c r="C763" s="332" t="s">
        <v>1781</v>
      </c>
      <c r="D763" s="391" t="s">
        <v>1782</v>
      </c>
      <c r="E763" s="42"/>
      <c r="F763" s="9"/>
      <c r="G763" s="9"/>
      <c r="H763" s="9"/>
      <c r="I763" s="9"/>
      <c r="J763" s="9"/>
      <c r="K763" s="9"/>
      <c r="L763" s="9"/>
      <c r="M763" s="2"/>
      <c r="N763" s="2"/>
      <c r="O763" s="2"/>
      <c r="P763" s="2"/>
    </row>
    <row r="764" spans="1:16" ht="12.75">
      <c r="A764" s="344" t="s">
        <v>4567</v>
      </c>
      <c r="B764" s="331" t="s">
        <v>641</v>
      </c>
      <c r="C764" s="332" t="s">
        <v>643</v>
      </c>
      <c r="D764" s="333" t="s">
        <v>645</v>
      </c>
      <c r="E764" s="42"/>
      <c r="F764" s="9"/>
      <c r="G764" s="9"/>
      <c r="H764" s="9"/>
      <c r="I764" s="9"/>
      <c r="J764" s="9"/>
      <c r="K764" s="9"/>
      <c r="L764" s="9"/>
      <c r="M764" s="2"/>
      <c r="N764" s="2"/>
      <c r="O764" s="2"/>
      <c r="P764" s="2"/>
    </row>
    <row r="765" spans="1:16" ht="12.75">
      <c r="A765" s="334" t="s">
        <v>4546</v>
      </c>
      <c r="B765" s="334" t="s">
        <v>1514</v>
      </c>
      <c r="C765" s="332" t="s">
        <v>59</v>
      </c>
      <c r="D765" s="333" t="s">
        <v>1517</v>
      </c>
      <c r="E765" s="42"/>
      <c r="F765" s="9"/>
      <c r="G765" s="9"/>
      <c r="H765" s="9"/>
      <c r="I765" s="9"/>
      <c r="J765" s="9"/>
      <c r="K765" s="9"/>
      <c r="L765" s="9"/>
      <c r="M765" s="2"/>
      <c r="N765" s="2"/>
      <c r="O765" s="2"/>
      <c r="P765" s="2"/>
    </row>
    <row r="766" spans="1:16" ht="12.75">
      <c r="A766" s="331" t="s">
        <v>4558</v>
      </c>
      <c r="B766" s="331" t="s">
        <v>2963</v>
      </c>
      <c r="C766" s="332" t="s">
        <v>2965</v>
      </c>
      <c r="D766" s="333" t="s">
        <v>2966</v>
      </c>
      <c r="E766" s="42"/>
      <c r="F766" s="9"/>
      <c r="G766" s="9"/>
      <c r="H766" s="9"/>
      <c r="I766" s="9"/>
      <c r="J766" s="9"/>
      <c r="K766" s="9"/>
      <c r="L766" s="9"/>
      <c r="M766" s="2"/>
      <c r="N766" s="2"/>
      <c r="O766" s="2"/>
      <c r="P766" s="2"/>
    </row>
    <row r="767" spans="1:16" ht="12.75">
      <c r="A767" s="334" t="s">
        <v>4562</v>
      </c>
      <c r="B767" s="334" t="s">
        <v>191</v>
      </c>
      <c r="C767" s="332" t="s">
        <v>193</v>
      </c>
      <c r="D767" s="333" t="s">
        <v>195</v>
      </c>
      <c r="E767" s="42"/>
      <c r="F767" s="9"/>
      <c r="G767" s="9"/>
      <c r="H767" s="9"/>
      <c r="I767" s="9"/>
      <c r="J767" s="9"/>
      <c r="K767" s="9"/>
      <c r="L767" s="9"/>
      <c r="M767" s="2"/>
      <c r="N767" s="2"/>
      <c r="O767" s="2"/>
      <c r="P767" s="2"/>
    </row>
    <row r="768" spans="1:16" ht="12.75">
      <c r="A768" s="331" t="s">
        <v>4606</v>
      </c>
      <c r="B768" s="331" t="s">
        <v>593</v>
      </c>
      <c r="C768" s="332" t="s">
        <v>203</v>
      </c>
      <c r="D768" s="333" t="s">
        <v>204</v>
      </c>
      <c r="E768" s="42"/>
      <c r="F768" s="9"/>
      <c r="G768" s="9"/>
      <c r="H768" s="9"/>
      <c r="I768" s="9"/>
      <c r="J768" s="9"/>
      <c r="K768" s="9"/>
      <c r="L768" s="9"/>
      <c r="M768" s="2"/>
      <c r="N768" s="2"/>
      <c r="O768" s="2"/>
      <c r="P768" s="2"/>
    </row>
    <row r="769" spans="1:16" ht="12.75">
      <c r="A769" s="334" t="s">
        <v>4545</v>
      </c>
      <c r="B769" s="334" t="s">
        <v>1615</v>
      </c>
      <c r="C769" s="332" t="s">
        <v>1616</v>
      </c>
      <c r="D769" s="333" t="s">
        <v>1617</v>
      </c>
      <c r="E769" s="42"/>
      <c r="F769" s="9"/>
      <c r="G769" s="9"/>
      <c r="H769" s="9"/>
      <c r="I769" s="9"/>
      <c r="J769" s="9"/>
      <c r="K769" s="9"/>
      <c r="L769" s="9"/>
      <c r="M769" s="2"/>
      <c r="N769" s="2"/>
      <c r="O769" s="2"/>
      <c r="P769" s="2"/>
    </row>
    <row r="770" spans="1:16" ht="12.75">
      <c r="A770" s="331" t="s">
        <v>4554</v>
      </c>
      <c r="B770" s="331" t="s">
        <v>318</v>
      </c>
      <c r="C770" s="332" t="s">
        <v>320</v>
      </c>
      <c r="D770" s="333" t="s">
        <v>321</v>
      </c>
      <c r="E770" s="42"/>
      <c r="F770" s="9"/>
      <c r="G770" s="9"/>
      <c r="H770" s="9"/>
      <c r="I770" s="9"/>
      <c r="J770" s="9"/>
      <c r="K770" s="9"/>
      <c r="L770" s="9"/>
      <c r="M770" s="2"/>
      <c r="N770" s="2"/>
      <c r="O770" s="2"/>
      <c r="P770" s="2"/>
    </row>
    <row r="771" spans="1:16" ht="12.75">
      <c r="A771" s="363" t="s">
        <v>4545</v>
      </c>
      <c r="B771" s="334" t="s">
        <v>1121</v>
      </c>
      <c r="C771" s="332" t="s">
        <v>1123</v>
      </c>
      <c r="D771" s="333" t="s">
        <v>1124</v>
      </c>
      <c r="E771" s="42"/>
      <c r="F771" s="9"/>
      <c r="G771" s="9"/>
      <c r="H771" s="9"/>
      <c r="I771" s="9"/>
      <c r="J771" s="9"/>
      <c r="K771" s="9"/>
      <c r="L771" s="9"/>
      <c r="M771" s="2"/>
      <c r="N771" s="2"/>
      <c r="O771" s="2"/>
      <c r="P771" s="2"/>
    </row>
    <row r="772" spans="1:16" ht="12.75">
      <c r="A772" s="344" t="s">
        <v>4546</v>
      </c>
      <c r="B772" s="331" t="s">
        <v>574</v>
      </c>
      <c r="C772" s="332" t="s">
        <v>576</v>
      </c>
      <c r="D772" s="333" t="s">
        <v>578</v>
      </c>
      <c r="E772" s="42"/>
      <c r="F772" s="9"/>
      <c r="G772" s="9"/>
      <c r="H772" s="9"/>
      <c r="I772" s="9"/>
      <c r="J772" s="9"/>
      <c r="K772" s="9"/>
      <c r="L772" s="9"/>
      <c r="M772" s="2"/>
      <c r="N772" s="2"/>
      <c r="O772" s="2"/>
      <c r="P772" s="2"/>
    </row>
    <row r="773" spans="1:16" ht="12.75">
      <c r="A773" s="334" t="s">
        <v>4553</v>
      </c>
      <c r="B773" s="334" t="s">
        <v>1107</v>
      </c>
      <c r="C773" s="332" t="s">
        <v>1472</v>
      </c>
      <c r="D773" s="333" t="s">
        <v>105</v>
      </c>
      <c r="E773" s="42"/>
      <c r="F773" s="9"/>
      <c r="G773" s="9"/>
      <c r="H773" s="9"/>
      <c r="I773" s="9"/>
      <c r="J773" s="9"/>
      <c r="K773" s="9"/>
      <c r="L773" s="9"/>
      <c r="M773" s="2"/>
      <c r="N773" s="2"/>
      <c r="O773" s="2"/>
      <c r="P773" s="2"/>
    </row>
    <row r="774" spans="1:16" ht="12.75">
      <c r="A774" s="335" t="s">
        <v>4560</v>
      </c>
      <c r="B774" s="334" t="s">
        <v>141</v>
      </c>
      <c r="C774" s="332" t="s">
        <v>143</v>
      </c>
      <c r="D774" s="333" t="s">
        <v>145</v>
      </c>
      <c r="E774" s="42"/>
      <c r="F774" s="9"/>
      <c r="G774" s="9"/>
      <c r="H774" s="9"/>
      <c r="I774" s="9"/>
      <c r="J774" s="9"/>
      <c r="K774" s="9"/>
      <c r="L774" s="9"/>
      <c r="M774" s="2"/>
      <c r="N774" s="2"/>
      <c r="O774" s="2"/>
      <c r="P774" s="2"/>
    </row>
    <row r="775" spans="1:16" ht="12.75">
      <c r="A775" s="373" t="s">
        <v>4554</v>
      </c>
      <c r="B775" s="331" t="s">
        <v>1833</v>
      </c>
      <c r="C775" s="332" t="s">
        <v>269</v>
      </c>
      <c r="D775" s="333" t="s">
        <v>1836</v>
      </c>
      <c r="E775" s="42"/>
      <c r="F775" s="9"/>
      <c r="G775" s="9"/>
      <c r="H775" s="9"/>
      <c r="I775" s="9"/>
      <c r="J775" s="9"/>
      <c r="K775" s="9"/>
      <c r="L775" s="9"/>
      <c r="M775" s="2"/>
      <c r="N775" s="2"/>
      <c r="O775" s="2"/>
      <c r="P775" s="2"/>
    </row>
    <row r="776" spans="1:16" ht="12.75">
      <c r="A776" s="334" t="s">
        <v>4562</v>
      </c>
      <c r="B776" s="334" t="s">
        <v>72</v>
      </c>
      <c r="C776" s="332" t="s">
        <v>74</v>
      </c>
      <c r="D776" s="333" t="s">
        <v>75</v>
      </c>
      <c r="E776" s="42"/>
      <c r="F776" s="9"/>
      <c r="G776" s="9"/>
      <c r="H776" s="9"/>
      <c r="I776" s="9"/>
      <c r="J776" s="9"/>
      <c r="K776" s="9"/>
      <c r="L776" s="9"/>
      <c r="M776" s="2"/>
      <c r="N776" s="2"/>
      <c r="O776" s="2"/>
      <c r="P776" s="2"/>
    </row>
    <row r="777" spans="1:16" ht="12.75">
      <c r="A777" s="331" t="s">
        <v>4554</v>
      </c>
      <c r="B777" s="331" t="s">
        <v>776</v>
      </c>
      <c r="C777" s="332" t="s">
        <v>778</v>
      </c>
      <c r="D777" s="333" t="s">
        <v>780</v>
      </c>
      <c r="E777" s="42"/>
      <c r="F777" s="9"/>
      <c r="G777" s="9"/>
      <c r="H777" s="9"/>
      <c r="I777" s="9"/>
      <c r="J777" s="9"/>
      <c r="K777" s="9"/>
      <c r="L777" s="9"/>
      <c r="M777" s="2"/>
      <c r="N777" s="2"/>
      <c r="O777" s="2"/>
      <c r="P777" s="2"/>
    </row>
    <row r="778" spans="1:16">
      <c r="A778" s="331" t="s">
        <v>4545</v>
      </c>
      <c r="B778" s="331" t="s">
        <v>1839</v>
      </c>
      <c r="C778" s="332" t="s">
        <v>356</v>
      </c>
      <c r="D778" s="347" t="s">
        <v>1842</v>
      </c>
      <c r="E778" s="42"/>
      <c r="F778" s="9"/>
      <c r="G778" s="9"/>
      <c r="H778" s="9"/>
      <c r="I778" s="9"/>
      <c r="J778" s="9"/>
      <c r="K778" s="9"/>
      <c r="L778" s="9"/>
      <c r="M778" s="2"/>
      <c r="N778" s="2"/>
      <c r="O778" s="2"/>
      <c r="P778" s="2"/>
    </row>
    <row r="779" spans="1:16" ht="12.75">
      <c r="A779" s="334" t="s">
        <v>4562</v>
      </c>
      <c r="B779" s="334" t="s">
        <v>897</v>
      </c>
      <c r="C779" s="332" t="s">
        <v>59</v>
      </c>
      <c r="D779" s="333" t="s">
        <v>898</v>
      </c>
      <c r="E779" s="42"/>
      <c r="F779" s="9"/>
      <c r="G779" s="9"/>
      <c r="H779" s="9"/>
      <c r="I779" s="9"/>
      <c r="J779" s="9"/>
      <c r="K779" s="9"/>
      <c r="L779" s="9"/>
      <c r="M779" s="2"/>
      <c r="N779" s="2"/>
      <c r="O779" s="2"/>
      <c r="P779" s="2"/>
    </row>
    <row r="780" spans="1:16" ht="12.75">
      <c r="A780" s="334" t="s">
        <v>4562</v>
      </c>
      <c r="B780" s="334" t="s">
        <v>611</v>
      </c>
      <c r="C780" s="332" t="s">
        <v>59</v>
      </c>
      <c r="D780" s="333" t="s">
        <v>612</v>
      </c>
      <c r="E780" s="42"/>
      <c r="F780" s="9"/>
      <c r="G780" s="9"/>
      <c r="H780" s="9"/>
      <c r="I780" s="9"/>
      <c r="J780" s="9"/>
      <c r="K780" s="9"/>
      <c r="L780" s="9"/>
      <c r="M780" s="2"/>
      <c r="N780" s="2"/>
      <c r="O780" s="2"/>
      <c r="P780" s="2"/>
    </row>
    <row r="781" spans="1:16" ht="12.75">
      <c r="A781" s="331" t="s">
        <v>2894</v>
      </c>
      <c r="B781" s="331" t="s">
        <v>517</v>
      </c>
      <c r="C781" s="332" t="s">
        <v>356</v>
      </c>
      <c r="D781" s="333" t="s">
        <v>519</v>
      </c>
      <c r="E781" s="42"/>
      <c r="F781" s="9"/>
      <c r="G781" s="9"/>
      <c r="H781" s="9"/>
      <c r="I781" s="9"/>
      <c r="J781" s="9"/>
      <c r="K781" s="9"/>
      <c r="L781" s="9"/>
      <c r="M781" s="2"/>
      <c r="N781" s="2"/>
      <c r="O781" s="2"/>
      <c r="P781" s="2"/>
    </row>
    <row r="782" spans="1:16" ht="12.75">
      <c r="A782" s="331" t="s">
        <v>4554</v>
      </c>
      <c r="B782" s="331" t="s">
        <v>1820</v>
      </c>
      <c r="C782" s="332" t="s">
        <v>65</v>
      </c>
      <c r="D782" s="333" t="s">
        <v>1822</v>
      </c>
      <c r="E782" s="42"/>
      <c r="F782" s="9"/>
      <c r="G782" s="9"/>
      <c r="H782" s="9"/>
      <c r="I782" s="9"/>
      <c r="J782" s="9"/>
      <c r="K782" s="9"/>
      <c r="L782" s="9"/>
      <c r="M782" s="2"/>
      <c r="N782" s="2"/>
      <c r="O782" s="2"/>
      <c r="P782" s="2"/>
    </row>
    <row r="783" spans="1:16" ht="12.75">
      <c r="A783" s="334" t="s">
        <v>4545</v>
      </c>
      <c r="B783" s="334" t="s">
        <v>63</v>
      </c>
      <c r="C783" s="332" t="s">
        <v>65</v>
      </c>
      <c r="D783" s="333" t="s">
        <v>66</v>
      </c>
      <c r="E783" s="42"/>
      <c r="F783" s="9"/>
      <c r="G783" s="9"/>
      <c r="H783" s="9"/>
      <c r="I783" s="9"/>
      <c r="J783" s="9"/>
      <c r="K783" s="9"/>
      <c r="L783" s="9"/>
      <c r="M783" s="2"/>
      <c r="N783" s="2"/>
      <c r="O783" s="2"/>
      <c r="P783" s="2"/>
    </row>
    <row r="784" spans="1:16" ht="12.75">
      <c r="A784" s="331" t="s">
        <v>4545</v>
      </c>
      <c r="B784" s="331" t="s">
        <v>1725</v>
      </c>
      <c r="C784" s="332" t="s">
        <v>599</v>
      </c>
      <c r="D784" s="333" t="s">
        <v>1727</v>
      </c>
      <c r="E784" s="42"/>
      <c r="F784" s="9"/>
      <c r="G784" s="9"/>
      <c r="H784" s="9"/>
      <c r="I784" s="9"/>
      <c r="J784" s="9"/>
      <c r="K784" s="9"/>
      <c r="L784" s="9"/>
      <c r="M784" s="2"/>
      <c r="N784" s="2"/>
      <c r="O784" s="2"/>
      <c r="P784" s="2"/>
    </row>
    <row r="785" spans="1:16" ht="12.75">
      <c r="A785" s="334" t="s">
        <v>4557</v>
      </c>
      <c r="B785" s="334" t="s">
        <v>1271</v>
      </c>
      <c r="C785" s="332" t="s">
        <v>1273</v>
      </c>
      <c r="D785" s="333" t="s">
        <v>1274</v>
      </c>
      <c r="E785" s="42"/>
      <c r="F785" s="9"/>
      <c r="G785" s="9"/>
      <c r="H785" s="9"/>
      <c r="I785" s="9"/>
      <c r="J785" s="9"/>
      <c r="K785" s="9"/>
      <c r="L785" s="9"/>
      <c r="M785" s="2"/>
      <c r="N785" s="2"/>
      <c r="O785" s="2"/>
      <c r="P785" s="2"/>
    </row>
    <row r="786" spans="1:16" ht="12.75">
      <c r="A786" s="331" t="s">
        <v>4577</v>
      </c>
      <c r="B786" s="331" t="s">
        <v>1223</v>
      </c>
      <c r="C786" s="332" t="s">
        <v>1225</v>
      </c>
      <c r="D786" s="333" t="s">
        <v>1226</v>
      </c>
      <c r="E786" s="42"/>
      <c r="F786" s="9"/>
      <c r="G786" s="9"/>
      <c r="H786" s="9"/>
      <c r="I786" s="9"/>
      <c r="J786" s="9"/>
      <c r="K786" s="9"/>
      <c r="L786" s="9"/>
      <c r="M786" s="2"/>
      <c r="N786" s="2"/>
      <c r="O786" s="2"/>
      <c r="P786" s="2"/>
    </row>
    <row r="787" spans="1:16" ht="12.75">
      <c r="A787" s="334" t="s">
        <v>4605</v>
      </c>
      <c r="B787" s="334" t="s">
        <v>2972</v>
      </c>
      <c r="C787" s="332" t="s">
        <v>2974</v>
      </c>
      <c r="D787" s="333" t="s">
        <v>2975</v>
      </c>
      <c r="E787" s="42"/>
      <c r="F787" s="9"/>
      <c r="G787" s="9"/>
      <c r="H787" s="9"/>
      <c r="I787" s="9"/>
      <c r="J787" s="9"/>
      <c r="K787" s="9"/>
      <c r="L787" s="9"/>
      <c r="M787" s="2"/>
      <c r="N787" s="2"/>
      <c r="O787" s="2"/>
      <c r="P787" s="2"/>
    </row>
    <row r="788" spans="1:16" ht="12.75">
      <c r="A788" s="331" t="s">
        <v>4560</v>
      </c>
      <c r="B788" s="331" t="s">
        <v>481</v>
      </c>
      <c r="C788" s="332" t="s">
        <v>483</v>
      </c>
      <c r="D788" s="333" t="s">
        <v>484</v>
      </c>
      <c r="E788" s="42"/>
      <c r="F788" s="9"/>
      <c r="G788" s="9"/>
      <c r="H788" s="9"/>
      <c r="I788" s="9"/>
      <c r="J788" s="9"/>
      <c r="K788" s="9"/>
      <c r="L788" s="9"/>
      <c r="M788" s="2"/>
      <c r="N788" s="2"/>
      <c r="O788" s="2"/>
      <c r="P788" s="2"/>
    </row>
    <row r="789" spans="1:16" ht="12.75">
      <c r="A789" s="334" t="s">
        <v>4557</v>
      </c>
      <c r="B789" s="334" t="s">
        <v>1562</v>
      </c>
      <c r="C789" s="332" t="s">
        <v>1564</v>
      </c>
      <c r="D789" s="333" t="s">
        <v>1566</v>
      </c>
      <c r="E789" s="42"/>
      <c r="F789" s="9"/>
      <c r="G789" s="9"/>
      <c r="H789" s="9"/>
      <c r="I789" s="9"/>
      <c r="J789" s="9"/>
      <c r="K789" s="9"/>
      <c r="L789" s="9"/>
      <c r="M789" s="2"/>
      <c r="N789" s="2"/>
      <c r="O789" s="2"/>
      <c r="P789" s="2"/>
    </row>
    <row r="790" spans="1:16" ht="12.75">
      <c r="A790" s="331" t="s">
        <v>4550</v>
      </c>
      <c r="B790" s="331" t="s">
        <v>1256</v>
      </c>
      <c r="C790" s="332" t="s">
        <v>100</v>
      </c>
      <c r="D790" s="333" t="s">
        <v>1258</v>
      </c>
      <c r="E790" s="42"/>
      <c r="F790" s="9"/>
      <c r="G790" s="9"/>
      <c r="H790" s="9"/>
      <c r="I790" s="9"/>
      <c r="J790" s="9"/>
      <c r="K790" s="9"/>
      <c r="L790" s="9"/>
      <c r="M790" s="2"/>
      <c r="N790" s="2"/>
      <c r="O790" s="2"/>
      <c r="P790" s="2"/>
    </row>
    <row r="791" spans="1:16" ht="12.75">
      <c r="A791" s="334" t="s">
        <v>4546</v>
      </c>
      <c r="B791" s="334" t="s">
        <v>1588</v>
      </c>
      <c r="C791" s="332" t="s">
        <v>726</v>
      </c>
      <c r="D791" s="333" t="s">
        <v>1591</v>
      </c>
      <c r="E791" s="42"/>
      <c r="F791" s="9"/>
      <c r="G791" s="9"/>
      <c r="H791" s="9"/>
      <c r="I791" s="9"/>
      <c r="J791" s="9"/>
      <c r="K791" s="9"/>
      <c r="L791" s="9"/>
      <c r="M791" s="2"/>
      <c r="N791" s="2"/>
      <c r="O791" s="2"/>
      <c r="P791" s="2"/>
    </row>
    <row r="792" spans="1:16" ht="12.75">
      <c r="A792" s="331" t="s">
        <v>4562</v>
      </c>
      <c r="B792" s="331" t="s">
        <v>216</v>
      </c>
      <c r="C792" s="332" t="s">
        <v>218</v>
      </c>
      <c r="D792" s="333" t="s">
        <v>219</v>
      </c>
      <c r="E792" s="42"/>
      <c r="F792" s="9"/>
      <c r="G792" s="9"/>
      <c r="H792" s="9"/>
      <c r="I792" s="9"/>
      <c r="J792" s="9"/>
      <c r="K792" s="9"/>
      <c r="L792" s="9"/>
      <c r="M792" s="2"/>
      <c r="N792" s="2"/>
      <c r="O792" s="2"/>
      <c r="P792" s="2"/>
    </row>
    <row r="793" spans="1:16" ht="12.75">
      <c r="A793" s="334" t="s">
        <v>4562</v>
      </c>
      <c r="B793" s="334" t="s">
        <v>1009</v>
      </c>
      <c r="C793" s="332" t="s">
        <v>1010</v>
      </c>
      <c r="D793" s="333" t="s">
        <v>1011</v>
      </c>
      <c r="E793" s="42"/>
      <c r="F793" s="9"/>
      <c r="G793" s="9"/>
      <c r="H793" s="9"/>
      <c r="I793" s="9"/>
      <c r="J793" s="9"/>
      <c r="K793" s="9"/>
      <c r="L793" s="9"/>
      <c r="M793" s="2"/>
      <c r="N793" s="2"/>
      <c r="O793" s="2"/>
      <c r="P793" s="2"/>
    </row>
    <row r="794" spans="1:16" ht="12.75">
      <c r="A794" s="334" t="s">
        <v>4554</v>
      </c>
      <c r="B794" s="334" t="s">
        <v>1537</v>
      </c>
      <c r="C794" s="332" t="s">
        <v>1539</v>
      </c>
      <c r="D794" s="333" t="s">
        <v>1540</v>
      </c>
      <c r="E794" s="42"/>
      <c r="F794" s="9"/>
      <c r="G794" s="9"/>
      <c r="H794" s="9"/>
      <c r="I794" s="9"/>
      <c r="J794" s="9"/>
      <c r="K794" s="9"/>
      <c r="L794" s="9"/>
      <c r="M794" s="2"/>
      <c r="N794" s="2"/>
      <c r="O794" s="2"/>
      <c r="P794" s="2"/>
    </row>
    <row r="795" spans="1:16" ht="12.75">
      <c r="A795" s="338" t="s">
        <v>4562</v>
      </c>
      <c r="B795" s="334" t="s">
        <v>1181</v>
      </c>
      <c r="C795" s="332" t="s">
        <v>1429</v>
      </c>
      <c r="D795" s="333" t="s">
        <v>1182</v>
      </c>
      <c r="E795" s="42"/>
      <c r="F795" s="9"/>
      <c r="G795" s="9"/>
      <c r="H795" s="9"/>
      <c r="I795" s="9"/>
      <c r="J795" s="9"/>
      <c r="K795" s="9"/>
      <c r="L795" s="9"/>
      <c r="M795" s="2"/>
      <c r="N795" s="2"/>
      <c r="O795" s="2"/>
      <c r="P795" s="2"/>
    </row>
    <row r="796" spans="1:16" ht="12.75">
      <c r="A796" s="331" t="s">
        <v>4548</v>
      </c>
      <c r="B796" s="331" t="s">
        <v>1890</v>
      </c>
      <c r="C796" s="332" t="s">
        <v>1410</v>
      </c>
      <c r="D796" s="333" t="s">
        <v>1892</v>
      </c>
      <c r="E796" s="42"/>
      <c r="F796" s="9"/>
      <c r="G796" s="9"/>
      <c r="H796" s="9"/>
      <c r="I796" s="9"/>
      <c r="J796" s="9"/>
      <c r="K796" s="9"/>
      <c r="L796" s="9"/>
      <c r="M796" s="2"/>
      <c r="N796" s="2"/>
      <c r="O796" s="2"/>
      <c r="P796" s="2"/>
    </row>
    <row r="797" spans="1:16" ht="12.75">
      <c r="A797" s="334" t="s">
        <v>4560</v>
      </c>
      <c r="B797" s="334" t="s">
        <v>1895</v>
      </c>
      <c r="C797" s="332" t="s">
        <v>887</v>
      </c>
      <c r="D797" s="333" t="s">
        <v>1296</v>
      </c>
      <c r="E797" s="42"/>
      <c r="F797" s="9"/>
      <c r="G797" s="9"/>
      <c r="H797" s="9"/>
      <c r="I797" s="9"/>
      <c r="J797" s="9"/>
      <c r="K797" s="9"/>
      <c r="L797" s="9"/>
      <c r="M797" s="2"/>
      <c r="N797" s="2"/>
      <c r="O797" s="2"/>
      <c r="P797" s="2"/>
    </row>
    <row r="798" spans="1:16" ht="12.75">
      <c r="A798" s="331" t="s">
        <v>4569</v>
      </c>
      <c r="B798" s="331" t="s">
        <v>1900</v>
      </c>
      <c r="C798" s="332" t="s">
        <v>1902</v>
      </c>
      <c r="D798" s="333" t="s">
        <v>1903</v>
      </c>
      <c r="E798" s="42"/>
      <c r="F798" s="9"/>
      <c r="G798" s="9"/>
      <c r="H798" s="9"/>
      <c r="I798" s="9"/>
      <c r="J798" s="9"/>
      <c r="K798" s="9"/>
      <c r="L798" s="9"/>
      <c r="M798" s="2"/>
      <c r="N798" s="2"/>
      <c r="O798" s="2"/>
      <c r="P798" s="2"/>
    </row>
    <row r="799" spans="1:16" ht="12.75">
      <c r="A799" s="334" t="s">
        <v>4550</v>
      </c>
      <c r="B799" s="334" t="s">
        <v>1906</v>
      </c>
      <c r="C799" s="332" t="s">
        <v>1908</v>
      </c>
      <c r="D799" s="333" t="s">
        <v>1909</v>
      </c>
      <c r="E799" s="42"/>
      <c r="F799" s="9"/>
      <c r="G799" s="9"/>
      <c r="H799" s="9"/>
      <c r="I799" s="9"/>
      <c r="J799" s="9"/>
      <c r="K799" s="9"/>
      <c r="L799" s="9"/>
      <c r="M799" s="2"/>
      <c r="N799" s="2"/>
      <c r="O799" s="2"/>
      <c r="P799" s="2"/>
    </row>
    <row r="800" spans="1:16" ht="12.75">
      <c r="A800" s="331" t="s">
        <v>4548</v>
      </c>
      <c r="B800" s="331" t="s">
        <v>1361</v>
      </c>
      <c r="C800" s="332" t="s">
        <v>1363</v>
      </c>
      <c r="D800" s="333" t="s">
        <v>1364</v>
      </c>
      <c r="E800" s="42"/>
      <c r="F800" s="9"/>
      <c r="G800" s="9"/>
      <c r="H800" s="9"/>
      <c r="I800" s="9"/>
      <c r="J800" s="9"/>
      <c r="K800" s="9"/>
      <c r="L800" s="9"/>
      <c r="M800" s="2"/>
      <c r="N800" s="2"/>
      <c r="O800" s="2"/>
      <c r="P800" s="2"/>
    </row>
    <row r="801" spans="1:16" ht="12.75">
      <c r="A801" s="331" t="s">
        <v>4548</v>
      </c>
      <c r="B801" s="331" t="s">
        <v>1237</v>
      </c>
      <c r="C801" s="332" t="s">
        <v>1239</v>
      </c>
      <c r="D801" s="333" t="s">
        <v>1240</v>
      </c>
      <c r="E801" s="42"/>
      <c r="F801" s="9"/>
      <c r="G801" s="9"/>
      <c r="H801" s="9"/>
      <c r="I801" s="9"/>
      <c r="J801" s="9"/>
      <c r="K801" s="9"/>
      <c r="L801" s="9"/>
      <c r="M801" s="2"/>
      <c r="N801" s="2"/>
      <c r="O801" s="2"/>
      <c r="P801" s="2"/>
    </row>
    <row r="802" spans="1:16" ht="12.75">
      <c r="A802" s="331" t="s">
        <v>4562</v>
      </c>
      <c r="B802" s="331" t="s">
        <v>993</v>
      </c>
      <c r="C802" s="332" t="s">
        <v>269</v>
      </c>
      <c r="D802" s="333" t="s">
        <v>995</v>
      </c>
      <c r="E802" s="42"/>
      <c r="F802" s="9"/>
      <c r="G802" s="9"/>
      <c r="H802" s="9"/>
      <c r="I802" s="9"/>
      <c r="J802" s="9"/>
      <c r="K802" s="9"/>
      <c r="L802" s="9"/>
      <c r="M802" s="2"/>
      <c r="N802" s="2"/>
      <c r="O802" s="2"/>
      <c r="P802" s="2"/>
    </row>
    <row r="803" spans="1:16" ht="12.75">
      <c r="A803" s="331" t="s">
        <v>4557</v>
      </c>
      <c r="B803" s="331" t="s">
        <v>1152</v>
      </c>
      <c r="C803" s="332" t="s">
        <v>1154</v>
      </c>
      <c r="D803" s="333" t="s">
        <v>1155</v>
      </c>
      <c r="E803" s="42"/>
      <c r="F803" s="9"/>
      <c r="G803" s="9"/>
      <c r="H803" s="9"/>
      <c r="I803" s="9"/>
      <c r="J803" s="9"/>
      <c r="K803" s="9"/>
      <c r="L803" s="9"/>
      <c r="M803" s="2"/>
      <c r="N803" s="2"/>
      <c r="O803" s="2"/>
      <c r="P803" s="2"/>
    </row>
    <row r="804" spans="1:16" ht="12.75">
      <c r="A804" s="334" t="s">
        <v>4562</v>
      </c>
      <c r="B804" s="334" t="s">
        <v>342</v>
      </c>
      <c r="C804" s="332" t="s">
        <v>356</v>
      </c>
      <c r="D804" s="333" t="s">
        <v>105</v>
      </c>
      <c r="E804" s="42"/>
      <c r="F804" s="9"/>
      <c r="G804" s="9"/>
      <c r="H804" s="9"/>
      <c r="I804" s="9"/>
      <c r="J804" s="9"/>
      <c r="K804" s="9"/>
      <c r="L804" s="9"/>
      <c r="M804" s="2"/>
      <c r="N804" s="2"/>
      <c r="O804" s="2"/>
      <c r="P804" s="2"/>
    </row>
    <row r="805" spans="1:16" ht="12.75">
      <c r="A805" s="331" t="s">
        <v>2894</v>
      </c>
      <c r="B805" s="331" t="s">
        <v>517</v>
      </c>
      <c r="C805" s="332"/>
      <c r="D805" s="333" t="s">
        <v>519</v>
      </c>
      <c r="E805" s="42"/>
      <c r="F805" s="9"/>
      <c r="G805" s="9"/>
      <c r="H805" s="9"/>
      <c r="I805" s="9"/>
      <c r="J805" s="9"/>
      <c r="K805" s="9"/>
      <c r="L805" s="9"/>
      <c r="M805" s="2"/>
      <c r="N805" s="2"/>
      <c r="O805" s="2"/>
      <c r="P805" s="2"/>
    </row>
    <row r="806" spans="1:16" ht="12.75">
      <c r="A806" s="334" t="s">
        <v>4554</v>
      </c>
      <c r="B806" s="334" t="s">
        <v>1913</v>
      </c>
      <c r="C806" s="332" t="s">
        <v>1915</v>
      </c>
      <c r="D806" s="333" t="s">
        <v>1916</v>
      </c>
      <c r="E806" s="42"/>
      <c r="F806" s="9"/>
      <c r="G806" s="9"/>
      <c r="H806" s="9"/>
      <c r="I806" s="9"/>
      <c r="J806" s="9"/>
      <c r="K806" s="9"/>
      <c r="L806" s="9"/>
      <c r="M806" s="2"/>
      <c r="N806" s="2"/>
      <c r="O806" s="2"/>
      <c r="P806" s="2"/>
    </row>
    <row r="807" spans="1:16" ht="12.75">
      <c r="A807" s="331" t="s">
        <v>4551</v>
      </c>
      <c r="B807" s="331" t="s">
        <v>178</v>
      </c>
      <c r="C807" s="332" t="s">
        <v>179</v>
      </c>
      <c r="D807" s="333" t="s">
        <v>180</v>
      </c>
      <c r="E807" s="42"/>
      <c r="F807" s="9"/>
      <c r="G807" s="9"/>
      <c r="H807" s="9"/>
      <c r="I807" s="9"/>
      <c r="J807" s="9"/>
      <c r="K807" s="9"/>
      <c r="L807" s="9"/>
      <c r="M807" s="2"/>
      <c r="N807" s="2"/>
      <c r="O807" s="2"/>
      <c r="P807" s="2"/>
    </row>
    <row r="808" spans="1:16" ht="12.75">
      <c r="A808" s="334" t="s">
        <v>4557</v>
      </c>
      <c r="B808" s="334" t="s">
        <v>1925</v>
      </c>
      <c r="C808" s="332" t="s">
        <v>599</v>
      </c>
      <c r="D808" s="333" t="s">
        <v>1927</v>
      </c>
      <c r="E808" s="42"/>
      <c r="F808" s="9"/>
      <c r="G808" s="9"/>
      <c r="H808" s="9"/>
      <c r="I808" s="9"/>
      <c r="J808" s="9"/>
      <c r="K808" s="9"/>
      <c r="L808" s="9"/>
      <c r="M808" s="2"/>
      <c r="N808" s="2"/>
      <c r="O808" s="2"/>
      <c r="P808" s="2"/>
    </row>
    <row r="809" spans="1:16" ht="12.75">
      <c r="A809" s="331" t="s">
        <v>4553</v>
      </c>
      <c r="B809" s="331" t="s">
        <v>1930</v>
      </c>
      <c r="C809" s="332" t="s">
        <v>65</v>
      </c>
      <c r="D809" s="333" t="s">
        <v>1933</v>
      </c>
      <c r="E809" s="42"/>
      <c r="F809" s="9"/>
      <c r="G809" s="9"/>
      <c r="H809" s="9"/>
      <c r="I809" s="9"/>
      <c r="J809" s="9"/>
      <c r="K809" s="9"/>
      <c r="L809" s="9"/>
      <c r="M809" s="2"/>
      <c r="N809" s="2"/>
      <c r="O809" s="2"/>
      <c r="P809" s="2"/>
    </row>
    <row r="810" spans="1:16" ht="12.75">
      <c r="A810" s="334" t="s">
        <v>4560</v>
      </c>
      <c r="B810" s="334" t="s">
        <v>1442</v>
      </c>
      <c r="C810" s="332" t="s">
        <v>1940</v>
      </c>
      <c r="D810" s="333" t="s">
        <v>1941</v>
      </c>
      <c r="E810" s="42"/>
      <c r="F810" s="9"/>
      <c r="G810" s="9"/>
      <c r="H810" s="9"/>
      <c r="I810" s="9"/>
      <c r="J810" s="9"/>
      <c r="K810" s="9"/>
      <c r="L810" s="9"/>
      <c r="M810" s="2"/>
      <c r="N810" s="2"/>
      <c r="O810" s="2"/>
      <c r="P810" s="2"/>
    </row>
    <row r="811" spans="1:16" ht="12.75">
      <c r="A811" s="334" t="s">
        <v>4552</v>
      </c>
      <c r="B811" s="334" t="s">
        <v>1386</v>
      </c>
      <c r="C811" s="332" t="s">
        <v>218</v>
      </c>
      <c r="D811" s="333" t="s">
        <v>1942</v>
      </c>
      <c r="E811" s="42"/>
      <c r="F811" s="9"/>
      <c r="G811" s="9"/>
      <c r="H811" s="9"/>
      <c r="I811" s="9"/>
      <c r="J811" s="9"/>
      <c r="K811" s="9"/>
      <c r="L811" s="9"/>
      <c r="M811" s="2"/>
      <c r="N811" s="2"/>
      <c r="O811" s="2"/>
      <c r="P811" s="2"/>
    </row>
    <row r="812" spans="1:16" ht="12.75">
      <c r="A812" s="331" t="s">
        <v>4546</v>
      </c>
      <c r="B812" s="331" t="s">
        <v>1945</v>
      </c>
      <c r="C812" s="332" t="s">
        <v>1947</v>
      </c>
      <c r="D812" s="333" t="s">
        <v>1750</v>
      </c>
      <c r="E812" s="42"/>
      <c r="F812" s="9"/>
      <c r="G812" s="9"/>
      <c r="H812" s="9"/>
      <c r="I812" s="9"/>
      <c r="J812" s="9"/>
      <c r="K812" s="9"/>
      <c r="L812" s="9"/>
      <c r="M812" s="2"/>
      <c r="N812" s="2"/>
      <c r="O812" s="2"/>
      <c r="P812" s="2"/>
    </row>
    <row r="813" spans="1:16" ht="12.75">
      <c r="A813" s="334" t="s">
        <v>4560</v>
      </c>
      <c r="B813" s="334" t="s">
        <v>1950</v>
      </c>
      <c r="C813" s="332" t="s">
        <v>218</v>
      </c>
      <c r="D813" s="333" t="s">
        <v>1952</v>
      </c>
      <c r="E813" s="42"/>
      <c r="F813" s="9"/>
      <c r="G813" s="9"/>
      <c r="H813" s="9"/>
      <c r="I813" s="9"/>
      <c r="J813" s="9"/>
      <c r="K813" s="9"/>
      <c r="L813" s="9"/>
      <c r="M813" s="2"/>
      <c r="N813" s="2"/>
      <c r="O813" s="2"/>
      <c r="P813" s="2"/>
    </row>
    <row r="814" spans="1:16" ht="12.75">
      <c r="A814" s="334" t="s">
        <v>4546</v>
      </c>
      <c r="B814" s="334" t="s">
        <v>1963</v>
      </c>
      <c r="C814" s="332" t="s">
        <v>218</v>
      </c>
      <c r="D814" s="333" t="s">
        <v>1966</v>
      </c>
      <c r="E814" s="42"/>
      <c r="F814" s="9"/>
      <c r="G814" s="9"/>
      <c r="H814" s="9"/>
      <c r="I814" s="9"/>
      <c r="J814" s="9"/>
      <c r="K814" s="9"/>
      <c r="L814" s="9"/>
      <c r="M814" s="2"/>
      <c r="N814" s="2"/>
      <c r="O814" s="2"/>
      <c r="P814" s="2"/>
    </row>
    <row r="815" spans="1:16" ht="12.75">
      <c r="A815" s="331" t="s">
        <v>4553</v>
      </c>
      <c r="B815" s="331" t="s">
        <v>1969</v>
      </c>
      <c r="C815" s="332" t="s">
        <v>1971</v>
      </c>
      <c r="D815" s="333" t="s">
        <v>1972</v>
      </c>
      <c r="E815" s="42"/>
      <c r="F815" s="9"/>
      <c r="G815" s="9"/>
      <c r="H815" s="9"/>
      <c r="I815" s="9"/>
      <c r="J815" s="9"/>
      <c r="K815" s="9"/>
      <c r="L815" s="9"/>
      <c r="M815" s="2"/>
      <c r="N815" s="2"/>
      <c r="O815" s="2"/>
      <c r="P815" s="2"/>
    </row>
    <row r="816" spans="1:16" ht="12.75">
      <c r="A816" s="392" t="s">
        <v>4551</v>
      </c>
      <c r="B816" s="334" t="s">
        <v>1975</v>
      </c>
      <c r="C816" s="332" t="s">
        <v>1686</v>
      </c>
      <c r="D816" s="333" t="s">
        <v>1977</v>
      </c>
      <c r="E816" s="42"/>
      <c r="F816" s="9"/>
      <c r="G816" s="9"/>
      <c r="H816" s="9"/>
      <c r="I816" s="9"/>
      <c r="J816" s="9"/>
      <c r="K816" s="9"/>
      <c r="L816" s="9"/>
      <c r="M816" s="2"/>
      <c r="N816" s="2"/>
      <c r="O816" s="2"/>
      <c r="P816" s="2"/>
    </row>
    <row r="817" spans="1:16" ht="12.75">
      <c r="A817" s="339" t="s">
        <v>4546</v>
      </c>
      <c r="B817" s="331" t="s">
        <v>1981</v>
      </c>
      <c r="C817" s="332" t="s">
        <v>916</v>
      </c>
      <c r="D817" s="358" t="s">
        <v>2981</v>
      </c>
      <c r="E817" s="42"/>
      <c r="F817" s="9"/>
      <c r="G817" s="9"/>
      <c r="H817" s="9"/>
      <c r="I817" s="9"/>
      <c r="J817" s="9"/>
      <c r="K817" s="9"/>
      <c r="L817" s="9"/>
      <c r="M817" s="2"/>
      <c r="N817" s="2"/>
      <c r="O817" s="2"/>
      <c r="P817" s="2"/>
    </row>
    <row r="818" spans="1:16" ht="15.75" customHeight="1">
      <c r="A818" s="378" t="s">
        <v>4545</v>
      </c>
      <c r="B818" s="334" t="s">
        <v>1986</v>
      </c>
      <c r="C818" s="332" t="s">
        <v>100</v>
      </c>
      <c r="D818" s="333" t="s">
        <v>1988</v>
      </c>
      <c r="E818" s="42"/>
      <c r="F818" s="9"/>
      <c r="G818" s="9"/>
      <c r="H818" s="9"/>
      <c r="I818" s="9"/>
      <c r="J818" s="9"/>
      <c r="K818" s="9"/>
      <c r="L818" s="9"/>
      <c r="M818" s="2"/>
      <c r="N818" s="2"/>
      <c r="O818" s="2"/>
      <c r="P818" s="2"/>
    </row>
    <row r="819" spans="1:16" ht="15" customHeight="1">
      <c r="A819" s="364" t="s">
        <v>4562</v>
      </c>
      <c r="B819" s="379" t="s">
        <v>1992</v>
      </c>
      <c r="C819" s="332" t="s">
        <v>1994</v>
      </c>
      <c r="D819" s="333" t="s">
        <v>1995</v>
      </c>
      <c r="E819" s="42"/>
      <c r="F819" s="9"/>
      <c r="G819" s="9"/>
      <c r="H819" s="9"/>
      <c r="I819" s="9"/>
      <c r="J819" s="9"/>
      <c r="K819" s="9"/>
      <c r="L819" s="9"/>
      <c r="M819" s="2"/>
      <c r="N819" s="2"/>
      <c r="O819" s="2"/>
      <c r="P819" s="2"/>
    </row>
    <row r="820" spans="1:16" ht="12.75">
      <c r="A820" s="380" t="s">
        <v>2982</v>
      </c>
      <c r="B820" s="334" t="s">
        <v>1999</v>
      </c>
      <c r="C820" s="332" t="s">
        <v>2001</v>
      </c>
      <c r="D820" s="333" t="s">
        <v>1892</v>
      </c>
      <c r="E820" s="42"/>
      <c r="F820" s="9"/>
      <c r="G820" s="9"/>
      <c r="H820" s="9"/>
      <c r="I820" s="9"/>
      <c r="J820" s="9"/>
      <c r="K820" s="9"/>
      <c r="L820" s="9"/>
      <c r="M820" s="2"/>
      <c r="N820" s="2"/>
      <c r="O820" s="2"/>
      <c r="P820" s="2"/>
    </row>
    <row r="821" spans="1:16" ht="12.75">
      <c r="A821" s="331" t="s">
        <v>4562</v>
      </c>
      <c r="B821" s="331" t="s">
        <v>2004</v>
      </c>
      <c r="C821" s="332" t="s">
        <v>504</v>
      </c>
      <c r="D821" s="333" t="s">
        <v>2006</v>
      </c>
      <c r="E821" s="42"/>
      <c r="F821" s="9"/>
      <c r="G821" s="9"/>
      <c r="H821" s="9"/>
      <c r="I821" s="9"/>
      <c r="J821" s="9"/>
      <c r="K821" s="9"/>
      <c r="L821" s="9"/>
      <c r="M821" s="2"/>
      <c r="N821" s="2"/>
      <c r="O821" s="2"/>
      <c r="P821" s="2"/>
    </row>
    <row r="822" spans="1:16" ht="12.75">
      <c r="A822" s="334" t="s">
        <v>4604</v>
      </c>
      <c r="B822" s="334" t="s">
        <v>2010</v>
      </c>
      <c r="C822" s="332" t="s">
        <v>1429</v>
      </c>
      <c r="D822" s="333" t="s">
        <v>1892</v>
      </c>
      <c r="E822" s="42"/>
      <c r="F822" s="9"/>
      <c r="G822" s="9"/>
      <c r="H822" s="9"/>
      <c r="I822" s="9"/>
      <c r="J822" s="9"/>
      <c r="K822" s="9"/>
      <c r="L822" s="9"/>
      <c r="M822" s="2"/>
      <c r="N822" s="2"/>
      <c r="O822" s="2"/>
      <c r="P822" s="2"/>
    </row>
    <row r="823" spans="1:16" ht="12.75">
      <c r="A823" s="331" t="s">
        <v>4557</v>
      </c>
      <c r="B823" s="331" t="s">
        <v>2015</v>
      </c>
      <c r="C823" s="332" t="s">
        <v>2017</v>
      </c>
      <c r="D823" s="333" t="s">
        <v>2018</v>
      </c>
      <c r="E823" s="42"/>
      <c r="F823" s="9"/>
      <c r="G823" s="9"/>
      <c r="H823" s="9"/>
      <c r="I823" s="9"/>
      <c r="J823" s="9"/>
      <c r="K823" s="9"/>
      <c r="L823" s="9"/>
      <c r="M823" s="2"/>
      <c r="N823" s="2"/>
      <c r="O823" s="2"/>
      <c r="P823" s="2"/>
    </row>
    <row r="824" spans="1:16" ht="12.75">
      <c r="A824" s="334" t="s">
        <v>4557</v>
      </c>
      <c r="B824" s="334" t="s">
        <v>2021</v>
      </c>
      <c r="C824" s="332" t="s">
        <v>1793</v>
      </c>
      <c r="D824" s="333" t="s">
        <v>2023</v>
      </c>
      <c r="E824" s="42"/>
      <c r="F824" s="9"/>
      <c r="G824" s="9"/>
      <c r="H824" s="9"/>
      <c r="I824" s="9"/>
      <c r="J824" s="9"/>
      <c r="K824" s="9"/>
      <c r="L824" s="9"/>
      <c r="M824" s="2"/>
      <c r="N824" s="2"/>
      <c r="O824" s="2"/>
      <c r="P824" s="2"/>
    </row>
    <row r="825" spans="1:16" ht="12.75">
      <c r="A825" s="334" t="s">
        <v>4562</v>
      </c>
      <c r="B825" s="334" t="s">
        <v>2030</v>
      </c>
      <c r="C825" s="332" t="s">
        <v>65</v>
      </c>
      <c r="D825" s="333" t="s">
        <v>2032</v>
      </c>
      <c r="E825" s="42"/>
      <c r="F825" s="9"/>
      <c r="G825" s="9"/>
      <c r="H825" s="9"/>
      <c r="I825" s="9"/>
      <c r="J825" s="9"/>
      <c r="K825" s="9"/>
      <c r="L825" s="9"/>
      <c r="M825" s="2"/>
      <c r="N825" s="2"/>
      <c r="O825" s="2"/>
      <c r="P825" s="2"/>
    </row>
    <row r="826" spans="1:16" ht="12.75">
      <c r="A826" s="331" t="s">
        <v>4562</v>
      </c>
      <c r="B826" s="331" t="s">
        <v>1132</v>
      </c>
      <c r="C826" s="332" t="s">
        <v>858</v>
      </c>
      <c r="D826" s="333" t="s">
        <v>180</v>
      </c>
      <c r="E826" s="42"/>
      <c r="F826" s="9"/>
      <c r="G826" s="9"/>
      <c r="H826" s="9"/>
      <c r="I826" s="9"/>
      <c r="J826" s="9"/>
      <c r="K826" s="9"/>
      <c r="L826" s="9"/>
      <c r="M826" s="2"/>
      <c r="N826" s="2"/>
      <c r="O826" s="2"/>
      <c r="P826" s="2"/>
    </row>
    <row r="827" spans="1:16" ht="12.75">
      <c r="A827" s="334" t="s">
        <v>4560</v>
      </c>
      <c r="B827" s="334" t="s">
        <v>2039</v>
      </c>
      <c r="C827" s="332" t="s">
        <v>59</v>
      </c>
      <c r="D827" s="333" t="s">
        <v>612</v>
      </c>
      <c r="E827" s="42"/>
      <c r="F827" s="9"/>
      <c r="G827" s="9"/>
      <c r="H827" s="9"/>
      <c r="I827" s="9"/>
      <c r="J827" s="9"/>
      <c r="K827" s="9"/>
      <c r="L827" s="9"/>
      <c r="M827" s="2"/>
      <c r="N827" s="2"/>
      <c r="O827" s="2"/>
      <c r="P827" s="2"/>
    </row>
    <row r="828" spans="1:16" ht="12.75">
      <c r="A828" s="331" t="s">
        <v>4562</v>
      </c>
      <c r="B828" s="331" t="s">
        <v>1107</v>
      </c>
      <c r="C828" s="332" t="s">
        <v>14</v>
      </c>
      <c r="D828" s="333" t="s">
        <v>105</v>
      </c>
      <c r="E828" s="42"/>
      <c r="F828" s="9"/>
      <c r="G828" s="9"/>
      <c r="H828" s="9"/>
      <c r="I828" s="9"/>
      <c r="J828" s="9"/>
      <c r="K828" s="9"/>
      <c r="L828" s="9"/>
      <c r="M828" s="2"/>
      <c r="N828" s="2"/>
      <c r="O828" s="2"/>
      <c r="P828" s="2"/>
    </row>
    <row r="829" spans="1:16" ht="12.75">
      <c r="A829" s="334" t="s">
        <v>4569</v>
      </c>
      <c r="B829" s="334" t="s">
        <v>2046</v>
      </c>
      <c r="C829" s="332" t="s">
        <v>218</v>
      </c>
      <c r="D829" s="333" t="s">
        <v>1903</v>
      </c>
      <c r="E829" s="42"/>
      <c r="F829" s="9"/>
      <c r="G829" s="9"/>
      <c r="H829" s="9"/>
      <c r="I829" s="9"/>
      <c r="J829" s="9"/>
      <c r="K829" s="9"/>
      <c r="L829" s="9"/>
      <c r="M829" s="2"/>
      <c r="N829" s="2"/>
      <c r="O829" s="2"/>
      <c r="P829" s="2"/>
    </row>
    <row r="830" spans="1:16" ht="12.75">
      <c r="A830" s="331" t="s">
        <v>4560</v>
      </c>
      <c r="B830" s="331" t="s">
        <v>2050</v>
      </c>
      <c r="C830" s="332" t="s">
        <v>964</v>
      </c>
      <c r="D830" s="333" t="s">
        <v>2052</v>
      </c>
      <c r="E830" s="42"/>
      <c r="F830" s="9"/>
      <c r="G830" s="9"/>
      <c r="H830" s="9"/>
      <c r="I830" s="9"/>
      <c r="J830" s="9"/>
      <c r="K830" s="9"/>
      <c r="L830" s="9"/>
      <c r="M830" s="2"/>
      <c r="N830" s="2"/>
      <c r="O830" s="2"/>
      <c r="P830" s="2"/>
    </row>
    <row r="831" spans="1:16" ht="12.75">
      <c r="A831" s="334" t="s">
        <v>4558</v>
      </c>
      <c r="B831" s="334" t="s">
        <v>2055</v>
      </c>
      <c r="C831" s="332" t="s">
        <v>237</v>
      </c>
      <c r="D831" s="333" t="s">
        <v>2057</v>
      </c>
      <c r="E831" s="42"/>
      <c r="F831" s="9"/>
      <c r="G831" s="9"/>
      <c r="H831" s="9"/>
      <c r="I831" s="9"/>
      <c r="J831" s="9"/>
      <c r="K831" s="9"/>
      <c r="L831" s="9"/>
      <c r="M831" s="2"/>
      <c r="N831" s="2"/>
      <c r="O831" s="2"/>
      <c r="P831" s="2"/>
    </row>
    <row r="832" spans="1:16" ht="12.75">
      <c r="A832" s="331" t="s">
        <v>4572</v>
      </c>
      <c r="B832" s="331" t="s">
        <v>2060</v>
      </c>
      <c r="C832" s="332" t="s">
        <v>2062</v>
      </c>
      <c r="D832" s="369" t="s">
        <v>2063</v>
      </c>
      <c r="E832" s="42"/>
      <c r="F832" s="9"/>
      <c r="G832" s="9"/>
      <c r="H832" s="9"/>
      <c r="I832" s="9"/>
      <c r="J832" s="9"/>
      <c r="K832" s="9"/>
      <c r="L832" s="9"/>
      <c r="M832" s="2"/>
      <c r="N832" s="2"/>
      <c r="O832" s="2"/>
      <c r="P832" s="2"/>
    </row>
    <row r="833" spans="1:16" ht="12.75">
      <c r="A833" s="334" t="s">
        <v>4554</v>
      </c>
      <c r="B833" s="334" t="s">
        <v>2066</v>
      </c>
      <c r="C833" s="332" t="s">
        <v>269</v>
      </c>
      <c r="D833" s="333" t="s">
        <v>2068</v>
      </c>
      <c r="E833" s="42"/>
      <c r="F833" s="9"/>
      <c r="G833" s="9"/>
      <c r="H833" s="9"/>
      <c r="I833" s="9"/>
      <c r="J833" s="9"/>
      <c r="K833" s="9"/>
      <c r="L833" s="9"/>
      <c r="M833" s="2"/>
      <c r="N833" s="2"/>
      <c r="O833" s="2"/>
      <c r="P833" s="2"/>
    </row>
    <row r="834" spans="1:16" ht="12.75">
      <c r="A834" s="334" t="s">
        <v>4557</v>
      </c>
      <c r="B834" s="334" t="s">
        <v>2084</v>
      </c>
      <c r="C834" s="332" t="s">
        <v>2086</v>
      </c>
      <c r="D834" s="333" t="s">
        <v>2087</v>
      </c>
      <c r="E834" s="42"/>
      <c r="F834" s="9"/>
      <c r="G834" s="9"/>
      <c r="H834" s="9"/>
      <c r="I834" s="9"/>
      <c r="J834" s="9"/>
      <c r="K834" s="9"/>
      <c r="L834" s="9"/>
      <c r="M834" s="2"/>
      <c r="N834" s="2"/>
      <c r="O834" s="2"/>
      <c r="P834" s="2"/>
    </row>
    <row r="835" spans="1:16" ht="12.75">
      <c r="A835" s="331" t="s">
        <v>4560</v>
      </c>
      <c r="B835" s="331" t="s">
        <v>2090</v>
      </c>
      <c r="C835" s="332" t="s">
        <v>2092</v>
      </c>
      <c r="D835" s="333" t="s">
        <v>2093</v>
      </c>
      <c r="E835" s="42"/>
      <c r="F835" s="9"/>
      <c r="G835" s="9"/>
      <c r="H835" s="9"/>
      <c r="I835" s="9"/>
      <c r="J835" s="9"/>
      <c r="K835" s="9"/>
      <c r="L835" s="9"/>
      <c r="M835" s="2"/>
      <c r="N835" s="2"/>
      <c r="O835" s="2"/>
      <c r="P835" s="2"/>
    </row>
    <row r="836" spans="1:16" ht="12.75">
      <c r="A836" s="334" t="s">
        <v>4550</v>
      </c>
      <c r="B836" s="334" t="s">
        <v>2096</v>
      </c>
      <c r="C836" s="332" t="s">
        <v>2073</v>
      </c>
      <c r="D836" s="333" t="s">
        <v>2098</v>
      </c>
      <c r="E836" s="42"/>
      <c r="F836" s="9"/>
      <c r="G836" s="9"/>
      <c r="H836" s="9"/>
      <c r="I836" s="9"/>
      <c r="J836" s="9"/>
      <c r="K836" s="9"/>
      <c r="L836" s="9"/>
      <c r="M836" s="2"/>
      <c r="N836" s="2"/>
      <c r="O836" s="2"/>
      <c r="P836" s="2"/>
    </row>
    <row r="837" spans="1:16" ht="12.75">
      <c r="A837" s="331" t="s">
        <v>4572</v>
      </c>
      <c r="B837" s="331" t="s">
        <v>2101</v>
      </c>
      <c r="C837" s="332" t="s">
        <v>218</v>
      </c>
      <c r="D837" s="333" t="s">
        <v>2103</v>
      </c>
      <c r="E837" s="42"/>
      <c r="F837" s="9"/>
      <c r="G837" s="9"/>
      <c r="H837" s="9"/>
      <c r="I837" s="9"/>
      <c r="J837" s="9"/>
      <c r="K837" s="9"/>
      <c r="L837" s="9"/>
      <c r="M837" s="2"/>
      <c r="N837" s="2"/>
      <c r="O837" s="2"/>
      <c r="P837" s="2"/>
    </row>
    <row r="838" spans="1:16" ht="12.75">
      <c r="A838" s="334" t="s">
        <v>4562</v>
      </c>
      <c r="B838" s="334" t="s">
        <v>2106</v>
      </c>
      <c r="C838" s="332" t="s">
        <v>2108</v>
      </c>
      <c r="D838" s="333" t="s">
        <v>2109</v>
      </c>
      <c r="E838" s="42"/>
      <c r="F838" s="9"/>
      <c r="G838" s="9"/>
      <c r="H838" s="9"/>
      <c r="I838" s="9"/>
      <c r="J838" s="9"/>
      <c r="K838" s="9"/>
      <c r="L838" s="9"/>
      <c r="M838" s="2"/>
      <c r="N838" s="2"/>
      <c r="O838" s="2"/>
      <c r="P838" s="2"/>
    </row>
    <row r="839" spans="1:16" ht="12.75">
      <c r="A839" s="331" t="s">
        <v>4560</v>
      </c>
      <c r="B839" s="331" t="s">
        <v>2113</v>
      </c>
      <c r="C839" s="332" t="s">
        <v>2114</v>
      </c>
      <c r="D839" s="333" t="s">
        <v>2115</v>
      </c>
      <c r="E839" s="42"/>
      <c r="F839" s="9"/>
      <c r="G839" s="9"/>
      <c r="H839" s="9"/>
      <c r="I839" s="9"/>
      <c r="J839" s="9"/>
      <c r="K839" s="9"/>
      <c r="L839" s="9"/>
      <c r="M839" s="2"/>
      <c r="N839" s="2"/>
      <c r="O839" s="2"/>
      <c r="P839" s="2"/>
    </row>
    <row r="840" spans="1:16" ht="12.75">
      <c r="A840" s="331" t="s">
        <v>4603</v>
      </c>
      <c r="B840" s="331" t="s">
        <v>2123</v>
      </c>
      <c r="C840" s="332" t="s">
        <v>134</v>
      </c>
      <c r="D840" s="333" t="s">
        <v>2125</v>
      </c>
      <c r="E840" s="42"/>
      <c r="F840" s="9"/>
      <c r="G840" s="9"/>
      <c r="H840" s="9"/>
      <c r="I840" s="9"/>
      <c r="J840" s="9"/>
      <c r="K840" s="9"/>
      <c r="L840" s="9"/>
      <c r="M840" s="2"/>
      <c r="N840" s="2"/>
      <c r="O840" s="2"/>
      <c r="P840" s="2"/>
    </row>
    <row r="841" spans="1:16" ht="12.75">
      <c r="A841" s="334" t="s">
        <v>4548</v>
      </c>
      <c r="B841" s="334" t="s">
        <v>2129</v>
      </c>
      <c r="C841" s="332" t="s">
        <v>223</v>
      </c>
      <c r="D841" s="333" t="s">
        <v>2131</v>
      </c>
      <c r="E841" s="42"/>
      <c r="F841" s="9"/>
      <c r="G841" s="9"/>
      <c r="H841" s="9"/>
      <c r="I841" s="9"/>
      <c r="J841" s="9"/>
      <c r="K841" s="9"/>
      <c r="L841" s="9"/>
      <c r="M841" s="2"/>
      <c r="N841" s="2"/>
      <c r="O841" s="2"/>
      <c r="P841" s="2"/>
    </row>
    <row r="842" spans="1:16" ht="12.75">
      <c r="A842" s="331" t="s">
        <v>4560</v>
      </c>
      <c r="B842" s="331" t="s">
        <v>1547</v>
      </c>
      <c r="C842" s="332" t="s">
        <v>451</v>
      </c>
      <c r="D842" s="333" t="s">
        <v>87</v>
      </c>
      <c r="E842" s="42"/>
      <c r="F842" s="9"/>
      <c r="G842" s="9"/>
      <c r="H842" s="9"/>
      <c r="I842" s="9"/>
      <c r="J842" s="9"/>
      <c r="K842" s="9"/>
      <c r="L842" s="9"/>
      <c r="M842" s="2"/>
      <c r="N842" s="2"/>
      <c r="O842" s="2"/>
      <c r="P842" s="2"/>
    </row>
    <row r="843" spans="1:16" ht="12.75">
      <c r="A843" s="334" t="s">
        <v>4560</v>
      </c>
      <c r="B843" s="334" t="s">
        <v>2135</v>
      </c>
      <c r="C843" s="332" t="s">
        <v>2137</v>
      </c>
      <c r="D843" s="333" t="s">
        <v>2138</v>
      </c>
      <c r="E843" s="42"/>
      <c r="F843" s="9"/>
      <c r="G843" s="9"/>
      <c r="H843" s="9"/>
      <c r="I843" s="9"/>
      <c r="J843" s="9"/>
      <c r="K843" s="9"/>
      <c r="L843" s="9"/>
      <c r="M843" s="2"/>
      <c r="N843" s="2"/>
      <c r="O843" s="2"/>
      <c r="P843" s="2"/>
    </row>
    <row r="844" spans="1:16" ht="12.75">
      <c r="A844" s="334" t="s">
        <v>4545</v>
      </c>
      <c r="B844" s="334" t="s">
        <v>1826</v>
      </c>
      <c r="C844" s="332" t="s">
        <v>218</v>
      </c>
      <c r="D844" s="333" t="s">
        <v>1942</v>
      </c>
      <c r="E844" s="42"/>
      <c r="F844" s="9"/>
      <c r="G844" s="9"/>
      <c r="H844" s="9"/>
      <c r="I844" s="9"/>
      <c r="J844" s="9"/>
      <c r="K844" s="9"/>
      <c r="L844" s="9"/>
      <c r="M844" s="2"/>
      <c r="N844" s="2"/>
      <c r="O844" s="2"/>
      <c r="P844" s="2"/>
    </row>
    <row r="845" spans="1:16" ht="12.75">
      <c r="A845" s="331" t="s">
        <v>4553</v>
      </c>
      <c r="B845" s="331" t="s">
        <v>1574</v>
      </c>
      <c r="C845" s="332" t="s">
        <v>2141</v>
      </c>
      <c r="D845" s="333" t="s">
        <v>496</v>
      </c>
      <c r="E845" s="42"/>
      <c r="F845" s="9"/>
      <c r="G845" s="9"/>
      <c r="H845" s="9"/>
      <c r="I845" s="9"/>
      <c r="J845" s="9"/>
      <c r="K845" s="9"/>
      <c r="L845" s="9"/>
      <c r="M845" s="2"/>
      <c r="N845" s="2"/>
      <c r="O845" s="2"/>
      <c r="P845" s="2"/>
    </row>
    <row r="846" spans="1:16" ht="12.75">
      <c r="A846" s="331" t="s">
        <v>4602</v>
      </c>
      <c r="B846" s="331" t="s">
        <v>2150</v>
      </c>
      <c r="C846" s="332" t="s">
        <v>237</v>
      </c>
      <c r="D846" s="333" t="s">
        <v>2152</v>
      </c>
      <c r="E846" s="42"/>
      <c r="F846" s="9"/>
      <c r="G846" s="9"/>
      <c r="H846" s="9"/>
      <c r="I846" s="9"/>
      <c r="J846" s="9"/>
      <c r="K846" s="9"/>
      <c r="L846" s="9"/>
      <c r="M846" s="2"/>
      <c r="N846" s="2"/>
      <c r="O846" s="2"/>
      <c r="P846" s="2"/>
    </row>
    <row r="847" spans="1:16" ht="12.75">
      <c r="A847" s="381" t="s">
        <v>4562</v>
      </c>
      <c r="B847" s="381" t="s">
        <v>897</v>
      </c>
      <c r="C847" s="351" t="s">
        <v>59</v>
      </c>
      <c r="D847" s="343" t="s">
        <v>898</v>
      </c>
      <c r="E847" s="42"/>
      <c r="F847" s="9"/>
      <c r="G847" s="9"/>
      <c r="H847" s="9"/>
      <c r="I847" s="9"/>
      <c r="J847" s="9"/>
      <c r="K847" s="9"/>
      <c r="L847" s="9"/>
      <c r="M847" s="2"/>
      <c r="N847" s="2"/>
      <c r="O847" s="2"/>
      <c r="P847" s="2"/>
    </row>
    <row r="848" spans="1:16" ht="12.75">
      <c r="A848" s="334" t="s">
        <v>4562</v>
      </c>
      <c r="B848" s="334" t="s">
        <v>2160</v>
      </c>
      <c r="C848" s="332" t="s">
        <v>2162</v>
      </c>
      <c r="D848" s="333" t="s">
        <v>2006</v>
      </c>
      <c r="E848" s="42"/>
      <c r="F848" s="9"/>
      <c r="G848" s="9"/>
      <c r="H848" s="9"/>
      <c r="I848" s="9"/>
      <c r="J848" s="9"/>
      <c r="K848" s="9"/>
      <c r="L848" s="9"/>
      <c r="M848" s="2"/>
      <c r="N848" s="2"/>
      <c r="O848" s="2"/>
      <c r="P848" s="2"/>
    </row>
    <row r="849" spans="1:16" ht="12.75">
      <c r="A849" s="334" t="s">
        <v>4548</v>
      </c>
      <c r="B849" s="334" t="s">
        <v>2170</v>
      </c>
      <c r="C849" s="332" t="s">
        <v>59</v>
      </c>
      <c r="D849" s="333" t="s">
        <v>2172</v>
      </c>
      <c r="E849" s="42"/>
      <c r="F849" s="9"/>
      <c r="G849" s="9"/>
      <c r="H849" s="9"/>
      <c r="I849" s="9"/>
      <c r="J849" s="9"/>
      <c r="K849" s="9"/>
      <c r="L849" s="9"/>
      <c r="M849" s="2"/>
      <c r="N849" s="2"/>
      <c r="O849" s="2"/>
      <c r="P849" s="2"/>
    </row>
    <row r="850" spans="1:16" ht="12.75">
      <c r="A850" s="331" t="s">
        <v>2184</v>
      </c>
      <c r="B850" s="331" t="s">
        <v>2185</v>
      </c>
      <c r="C850" s="332" t="s">
        <v>59</v>
      </c>
      <c r="D850" s="333" t="s">
        <v>2187</v>
      </c>
      <c r="E850" s="42"/>
      <c r="F850" s="9"/>
      <c r="G850" s="9"/>
      <c r="H850" s="9"/>
      <c r="I850" s="9"/>
      <c r="J850" s="9"/>
      <c r="K850" s="9"/>
      <c r="L850" s="9"/>
      <c r="M850" s="2"/>
      <c r="N850" s="2"/>
      <c r="O850" s="2"/>
      <c r="P850" s="2"/>
    </row>
    <row r="851" spans="1:16" ht="12.75">
      <c r="A851" s="334" t="s">
        <v>4562</v>
      </c>
      <c r="B851" s="334" t="s">
        <v>2190</v>
      </c>
      <c r="C851" s="332" t="s">
        <v>2108</v>
      </c>
      <c r="D851" s="333" t="s">
        <v>2109</v>
      </c>
      <c r="E851" s="42"/>
      <c r="F851" s="9"/>
      <c r="G851" s="9"/>
      <c r="H851" s="9"/>
      <c r="I851" s="9"/>
      <c r="J851" s="9"/>
      <c r="K851" s="9"/>
      <c r="L851" s="9"/>
      <c r="M851" s="2"/>
      <c r="N851" s="2"/>
      <c r="O851" s="2"/>
      <c r="P851" s="2"/>
    </row>
    <row r="852" spans="1:16" ht="12.75">
      <c r="A852" s="334" t="s">
        <v>4560</v>
      </c>
      <c r="B852" s="334" t="s">
        <v>2199</v>
      </c>
      <c r="C852" s="393" t="s">
        <v>218</v>
      </c>
      <c r="D852" s="333" t="s">
        <v>2200</v>
      </c>
      <c r="E852" s="42"/>
      <c r="F852" s="9"/>
      <c r="G852" s="9"/>
      <c r="H852" s="9"/>
      <c r="I852" s="9"/>
      <c r="J852" s="9"/>
      <c r="K852" s="9"/>
      <c r="L852" s="9"/>
      <c r="M852" s="2"/>
      <c r="N852" s="2"/>
      <c r="O852" s="2"/>
      <c r="P852" s="2"/>
    </row>
    <row r="853" spans="1:16">
      <c r="A853" s="331" t="s">
        <v>4565</v>
      </c>
      <c r="B853" s="331" t="s">
        <v>2204</v>
      </c>
      <c r="C853" s="332" t="s">
        <v>14</v>
      </c>
      <c r="D853" s="382" t="s">
        <v>2206</v>
      </c>
      <c r="E853" s="42"/>
      <c r="F853" s="9"/>
      <c r="G853" s="9"/>
      <c r="H853" s="9"/>
      <c r="I853" s="9"/>
      <c r="J853" s="9"/>
      <c r="K853" s="9"/>
      <c r="L853" s="9"/>
      <c r="M853" s="2"/>
      <c r="N853" s="2"/>
      <c r="O853" s="2"/>
      <c r="P853" s="2"/>
    </row>
    <row r="854" spans="1:16" ht="12.75">
      <c r="A854" s="334" t="s">
        <v>4560</v>
      </c>
      <c r="B854" s="334" t="s">
        <v>2210</v>
      </c>
      <c r="C854" s="332" t="s">
        <v>59</v>
      </c>
      <c r="D854" s="333" t="s">
        <v>2212</v>
      </c>
      <c r="E854" s="42"/>
      <c r="F854" s="9"/>
      <c r="G854" s="9"/>
      <c r="H854" s="9"/>
      <c r="I854" s="9"/>
      <c r="J854" s="9"/>
      <c r="K854" s="9"/>
      <c r="L854" s="9"/>
      <c r="M854" s="2"/>
      <c r="N854" s="2"/>
      <c r="O854" s="2"/>
      <c r="P854" s="2"/>
    </row>
    <row r="855" spans="1:16" ht="12.75">
      <c r="A855" s="331" t="s">
        <v>4560</v>
      </c>
      <c r="B855" s="331" t="s">
        <v>2215</v>
      </c>
      <c r="C855" s="332" t="s">
        <v>218</v>
      </c>
      <c r="D855" s="333" t="s">
        <v>2216</v>
      </c>
      <c r="E855" s="42"/>
      <c r="F855" s="9"/>
      <c r="G855" s="9"/>
      <c r="H855" s="9"/>
      <c r="I855" s="9"/>
      <c r="J855" s="9"/>
      <c r="K855" s="9"/>
      <c r="L855" s="9"/>
      <c r="M855" s="2"/>
      <c r="N855" s="2"/>
      <c r="O855" s="2"/>
      <c r="P855" s="2"/>
    </row>
    <row r="856" spans="1:16" ht="12.75">
      <c r="A856" s="334" t="s">
        <v>4545</v>
      </c>
      <c r="B856" s="334" t="s">
        <v>2985</v>
      </c>
      <c r="C856" s="332" t="s">
        <v>650</v>
      </c>
      <c r="D856" s="333" t="s">
        <v>2986</v>
      </c>
      <c r="E856" s="42"/>
      <c r="F856" s="9"/>
      <c r="G856" s="9"/>
      <c r="H856" s="9"/>
      <c r="I856" s="9"/>
      <c r="J856" s="9"/>
      <c r="K856" s="9"/>
      <c r="L856" s="9"/>
      <c r="M856" s="2"/>
      <c r="N856" s="2"/>
      <c r="O856" s="2"/>
      <c r="P856" s="2"/>
    </row>
    <row r="857" spans="1:16" ht="12.75">
      <c r="A857" s="331" t="s">
        <v>4562</v>
      </c>
      <c r="B857" s="331" t="s">
        <v>2236</v>
      </c>
      <c r="C857" s="332" t="s">
        <v>763</v>
      </c>
      <c r="D857" s="333" t="s">
        <v>2239</v>
      </c>
      <c r="E857" s="42"/>
      <c r="F857" s="9"/>
      <c r="G857" s="9"/>
      <c r="H857" s="9"/>
      <c r="I857" s="9"/>
      <c r="J857" s="9"/>
      <c r="K857" s="9"/>
      <c r="L857" s="9"/>
      <c r="M857" s="2"/>
      <c r="N857" s="2"/>
      <c r="O857" s="2"/>
      <c r="P857" s="2"/>
    </row>
    <row r="858" spans="1:16" ht="12.75">
      <c r="A858" s="334" t="s">
        <v>4562</v>
      </c>
      <c r="B858" s="334" t="s">
        <v>2241</v>
      </c>
      <c r="C858" s="332" t="s">
        <v>1429</v>
      </c>
      <c r="D858" s="333" t="s">
        <v>2243</v>
      </c>
      <c r="E858" s="42"/>
      <c r="F858" s="9"/>
      <c r="G858" s="9"/>
      <c r="H858" s="9"/>
      <c r="I858" s="9"/>
      <c r="J858" s="9"/>
      <c r="K858" s="9"/>
      <c r="L858" s="9"/>
      <c r="M858" s="2"/>
      <c r="N858" s="2"/>
      <c r="O858" s="2"/>
      <c r="P858" s="2"/>
    </row>
    <row r="859" spans="1:16" ht="12.75">
      <c r="A859" s="331" t="s">
        <v>2245</v>
      </c>
      <c r="B859" s="331" t="s">
        <v>2246</v>
      </c>
      <c r="C859" s="332" t="s">
        <v>2247</v>
      </c>
      <c r="D859" s="333" t="s">
        <v>2249</v>
      </c>
      <c r="E859" s="42"/>
      <c r="F859" s="9"/>
      <c r="G859" s="9"/>
      <c r="H859" s="9"/>
      <c r="I859" s="9"/>
      <c r="J859" s="9"/>
      <c r="K859" s="9"/>
      <c r="L859" s="9"/>
      <c r="M859" s="2"/>
      <c r="N859" s="2"/>
      <c r="O859" s="2"/>
      <c r="P859" s="2"/>
    </row>
    <row r="860" spans="1:16" ht="12.75">
      <c r="A860" s="331" t="s">
        <v>4560</v>
      </c>
      <c r="B860" s="331" t="s">
        <v>2256</v>
      </c>
      <c r="C860" s="332" t="s">
        <v>887</v>
      </c>
      <c r="D860" s="333" t="s">
        <v>2212</v>
      </c>
      <c r="E860" s="42"/>
      <c r="F860" s="9"/>
      <c r="G860" s="9"/>
      <c r="H860" s="9"/>
      <c r="I860" s="9"/>
      <c r="J860" s="9"/>
      <c r="K860" s="9"/>
      <c r="L860" s="9"/>
      <c r="M860" s="2"/>
      <c r="N860" s="2"/>
      <c r="O860" s="2"/>
      <c r="P860" s="2"/>
    </row>
    <row r="861" spans="1:16" ht="12.75">
      <c r="A861" s="334" t="s">
        <v>4597</v>
      </c>
      <c r="B861" s="334" t="s">
        <v>2261</v>
      </c>
      <c r="C861" s="332" t="s">
        <v>1218</v>
      </c>
      <c r="D861" s="333" t="s">
        <v>2263</v>
      </c>
      <c r="E861" s="42"/>
      <c r="F861" s="9"/>
      <c r="G861" s="9"/>
      <c r="H861" s="9"/>
      <c r="I861" s="9"/>
      <c r="J861" s="9"/>
      <c r="K861" s="9"/>
      <c r="L861" s="9"/>
      <c r="M861" s="2"/>
      <c r="N861" s="2"/>
      <c r="O861" s="2"/>
      <c r="P861" s="2"/>
    </row>
    <row r="862" spans="1:16" ht="12.75">
      <c r="A862" s="331" t="s">
        <v>4545</v>
      </c>
      <c r="B862" s="331" t="s">
        <v>2266</v>
      </c>
      <c r="C862" s="332" t="s">
        <v>2017</v>
      </c>
      <c r="D862" s="333" t="s">
        <v>2268</v>
      </c>
      <c r="E862" s="42"/>
      <c r="F862" s="9"/>
      <c r="G862" s="9"/>
      <c r="H862" s="9"/>
      <c r="I862" s="9"/>
      <c r="J862" s="9"/>
      <c r="K862" s="9"/>
      <c r="L862" s="9"/>
      <c r="M862" s="2"/>
      <c r="N862" s="2"/>
      <c r="O862" s="2"/>
      <c r="P862" s="2"/>
    </row>
    <row r="863" spans="1:16" ht="12.75">
      <c r="A863" s="334" t="s">
        <v>4595</v>
      </c>
      <c r="B863" s="334" t="s">
        <v>2272</v>
      </c>
      <c r="C863" s="332" t="s">
        <v>14</v>
      </c>
      <c r="D863" s="333" t="s">
        <v>105</v>
      </c>
      <c r="E863" s="42"/>
      <c r="F863" s="9"/>
      <c r="G863" s="9"/>
      <c r="H863" s="9"/>
      <c r="I863" s="9"/>
      <c r="J863" s="9"/>
      <c r="K863" s="9"/>
      <c r="L863" s="9"/>
      <c r="M863" s="2"/>
      <c r="N863" s="2"/>
      <c r="O863" s="2"/>
      <c r="P863" s="2"/>
    </row>
    <row r="864" spans="1:16" ht="12.75">
      <c r="A864" s="331" t="s">
        <v>4562</v>
      </c>
      <c r="B864" s="383" t="s">
        <v>1485</v>
      </c>
      <c r="C864" s="332" t="s">
        <v>1218</v>
      </c>
      <c r="D864" s="333" t="s">
        <v>2277</v>
      </c>
      <c r="E864" s="42"/>
      <c r="F864" s="9"/>
      <c r="G864" s="9"/>
      <c r="H864" s="9"/>
      <c r="I864" s="9"/>
      <c r="J864" s="9"/>
      <c r="K864" s="9"/>
      <c r="L864" s="9"/>
      <c r="M864" s="2"/>
      <c r="N864" s="2"/>
      <c r="O864" s="2"/>
      <c r="P864" s="2"/>
    </row>
    <row r="865" spans="1:16" ht="12.75">
      <c r="A865" s="331" t="s">
        <v>4553</v>
      </c>
      <c r="B865" s="331" t="s">
        <v>2281</v>
      </c>
      <c r="C865" s="332" t="s">
        <v>2283</v>
      </c>
      <c r="D865" s="333" t="s">
        <v>2284</v>
      </c>
      <c r="E865" s="42"/>
      <c r="F865" s="9"/>
      <c r="G865" s="9"/>
      <c r="H865" s="9"/>
      <c r="I865" s="9"/>
      <c r="J865" s="9"/>
      <c r="K865" s="9"/>
      <c r="L865" s="9"/>
      <c r="M865" s="2"/>
      <c r="N865" s="2"/>
      <c r="O865" s="2"/>
      <c r="P865" s="2"/>
    </row>
    <row r="866" spans="1:16" ht="12.75">
      <c r="A866" s="334" t="s">
        <v>4545</v>
      </c>
      <c r="B866" s="334" t="s">
        <v>2287</v>
      </c>
      <c r="C866" s="332" t="s">
        <v>1357</v>
      </c>
      <c r="D866" s="333" t="s">
        <v>1988</v>
      </c>
      <c r="E866" s="42"/>
      <c r="F866" s="9"/>
      <c r="G866" s="9"/>
      <c r="H866" s="9"/>
      <c r="I866" s="9"/>
      <c r="J866" s="9"/>
      <c r="K866" s="9"/>
      <c r="L866" s="9"/>
      <c r="M866" s="2"/>
      <c r="N866" s="2"/>
      <c r="O866" s="2"/>
      <c r="P866" s="2"/>
    </row>
    <row r="867" spans="1:16" ht="12.75">
      <c r="A867" s="338" t="s">
        <v>4598</v>
      </c>
      <c r="B867" s="334" t="s">
        <v>2290</v>
      </c>
      <c r="C867" s="332" t="s">
        <v>223</v>
      </c>
      <c r="D867" s="333" t="s">
        <v>2295</v>
      </c>
      <c r="E867" s="42"/>
      <c r="F867" s="9"/>
      <c r="G867" s="9"/>
      <c r="H867" s="9"/>
      <c r="I867" s="9"/>
      <c r="J867" s="9"/>
      <c r="K867" s="9"/>
      <c r="L867" s="9"/>
      <c r="M867" s="2"/>
      <c r="N867" s="2"/>
      <c r="O867" s="2"/>
      <c r="P867" s="2"/>
    </row>
    <row r="868" spans="1:16" ht="12.75">
      <c r="A868" s="331" t="s">
        <v>4598</v>
      </c>
      <c r="B868" s="331" t="s">
        <v>2290</v>
      </c>
      <c r="C868" s="332" t="s">
        <v>223</v>
      </c>
      <c r="D868" s="333" t="s">
        <v>2295</v>
      </c>
      <c r="E868" s="42"/>
      <c r="F868" s="9"/>
      <c r="G868" s="9"/>
      <c r="H868" s="9"/>
      <c r="I868" s="9"/>
      <c r="J868" s="9"/>
      <c r="K868" s="9"/>
      <c r="L868" s="9"/>
      <c r="M868" s="2"/>
      <c r="N868" s="2"/>
      <c r="O868" s="2"/>
      <c r="P868" s="2"/>
    </row>
    <row r="869" spans="1:16" ht="12.75">
      <c r="A869" s="334" t="s">
        <v>4545</v>
      </c>
      <c r="B869" s="334" t="s">
        <v>2303</v>
      </c>
      <c r="C869" s="332" t="s">
        <v>495</v>
      </c>
      <c r="D869" s="333" t="s">
        <v>496</v>
      </c>
      <c r="E869" s="42"/>
      <c r="F869" s="9"/>
      <c r="G869" s="9"/>
      <c r="H869" s="9"/>
      <c r="I869" s="9"/>
      <c r="J869" s="9"/>
      <c r="K869" s="9"/>
      <c r="L869" s="9"/>
      <c r="M869" s="2"/>
      <c r="N869" s="2"/>
      <c r="O869" s="2"/>
      <c r="P869" s="2"/>
    </row>
    <row r="870" spans="1:16" ht="12.75">
      <c r="A870" s="331" t="s">
        <v>4562</v>
      </c>
      <c r="B870" s="331" t="s">
        <v>2303</v>
      </c>
      <c r="C870" s="332" t="s">
        <v>495</v>
      </c>
      <c r="D870" s="333" t="s">
        <v>496</v>
      </c>
      <c r="E870" s="42"/>
      <c r="F870" s="9"/>
      <c r="G870" s="9"/>
      <c r="H870" s="9"/>
      <c r="I870" s="9"/>
      <c r="J870" s="9"/>
      <c r="K870" s="9"/>
      <c r="L870" s="9"/>
      <c r="M870" s="2"/>
      <c r="N870" s="2"/>
      <c r="O870" s="2"/>
      <c r="P870" s="2"/>
    </row>
    <row r="871" spans="1:16" ht="12.75">
      <c r="A871" s="334" t="s">
        <v>4553</v>
      </c>
      <c r="B871" s="334" t="s">
        <v>2309</v>
      </c>
      <c r="C871" s="332" t="s">
        <v>2311</v>
      </c>
      <c r="D871" s="333" t="s">
        <v>2312</v>
      </c>
      <c r="E871" s="42"/>
      <c r="F871" s="9"/>
      <c r="G871" s="9"/>
      <c r="H871" s="9"/>
      <c r="I871" s="9"/>
      <c r="J871" s="9"/>
      <c r="K871" s="9"/>
      <c r="L871" s="9"/>
      <c r="M871" s="2"/>
      <c r="N871" s="2"/>
      <c r="O871" s="2"/>
      <c r="P871" s="2"/>
    </row>
    <row r="872" spans="1:16" ht="12.75">
      <c r="A872" s="331" t="s">
        <v>4549</v>
      </c>
      <c r="B872" s="331" t="s">
        <v>2316</v>
      </c>
      <c r="C872" s="332" t="s">
        <v>65</v>
      </c>
      <c r="D872" s="333" t="s">
        <v>2318</v>
      </c>
      <c r="E872" s="42"/>
      <c r="F872" s="9"/>
      <c r="G872" s="9"/>
      <c r="H872" s="9"/>
      <c r="I872" s="9"/>
      <c r="J872" s="9"/>
      <c r="K872" s="9"/>
      <c r="L872" s="9"/>
      <c r="M872" s="2"/>
      <c r="N872" s="2"/>
      <c r="O872" s="2"/>
      <c r="P872" s="2"/>
    </row>
    <row r="873" spans="1:16" ht="12.75">
      <c r="A873" s="334" t="s">
        <v>4553</v>
      </c>
      <c r="B873" s="334" t="s">
        <v>2321</v>
      </c>
      <c r="C873" s="332" t="s">
        <v>2323</v>
      </c>
      <c r="D873" s="333" t="s">
        <v>2324</v>
      </c>
      <c r="E873" s="42"/>
      <c r="F873" s="9"/>
      <c r="G873" s="9"/>
      <c r="H873" s="9"/>
      <c r="I873" s="9"/>
      <c r="J873" s="9"/>
      <c r="K873" s="9"/>
      <c r="L873" s="9"/>
      <c r="M873" s="2"/>
      <c r="N873" s="2"/>
      <c r="O873" s="2"/>
      <c r="P873" s="2"/>
    </row>
    <row r="874" spans="1:16" ht="15">
      <c r="A874" s="339" t="s">
        <v>4554</v>
      </c>
      <c r="B874" s="331" t="s">
        <v>2327</v>
      </c>
      <c r="C874" s="332" t="s">
        <v>218</v>
      </c>
      <c r="D874" s="384" t="s">
        <v>2330</v>
      </c>
      <c r="E874" s="42"/>
      <c r="F874" s="9"/>
      <c r="G874" s="9"/>
      <c r="H874" s="9"/>
      <c r="I874" s="9"/>
      <c r="J874" s="9"/>
      <c r="K874" s="9"/>
      <c r="L874" s="9"/>
      <c r="M874" s="2"/>
      <c r="N874" s="2"/>
      <c r="O874" s="2"/>
      <c r="P874" s="2"/>
    </row>
    <row r="875" spans="1:16" ht="16.5">
      <c r="A875" s="334" t="s">
        <v>4562</v>
      </c>
      <c r="B875" s="334" t="s">
        <v>2333</v>
      </c>
      <c r="C875" s="332" t="s">
        <v>269</v>
      </c>
      <c r="D875" s="385" t="s">
        <v>2336</v>
      </c>
      <c r="E875" s="42"/>
      <c r="F875" s="9"/>
      <c r="G875" s="9"/>
      <c r="H875" s="9"/>
      <c r="I875" s="9"/>
      <c r="J875" s="9"/>
      <c r="K875" s="9"/>
      <c r="L875" s="9"/>
      <c r="M875" s="2"/>
      <c r="N875" s="2"/>
      <c r="O875" s="2"/>
      <c r="P875" s="2"/>
    </row>
    <row r="876" spans="1:16" ht="12.75">
      <c r="A876" s="331" t="s">
        <v>4554</v>
      </c>
      <c r="B876" s="331" t="s">
        <v>2340</v>
      </c>
      <c r="C876" s="332" t="s">
        <v>2342</v>
      </c>
      <c r="D876" s="333" t="s">
        <v>978</v>
      </c>
      <c r="E876" s="42"/>
      <c r="F876" s="9"/>
      <c r="G876" s="9"/>
      <c r="H876" s="9"/>
      <c r="I876" s="9"/>
      <c r="J876" s="9"/>
      <c r="K876" s="9"/>
      <c r="L876" s="9"/>
      <c r="M876" s="2"/>
      <c r="N876" s="2"/>
      <c r="O876" s="2"/>
      <c r="P876" s="2"/>
    </row>
    <row r="877" spans="1:16" ht="12.75">
      <c r="A877" s="334" t="s">
        <v>4552</v>
      </c>
      <c r="B877" s="334" t="s">
        <v>2346</v>
      </c>
      <c r="C877" s="332" t="s">
        <v>237</v>
      </c>
      <c r="D877" s="333" t="s">
        <v>2348</v>
      </c>
      <c r="E877" s="42"/>
      <c r="F877" s="9"/>
      <c r="G877" s="9"/>
      <c r="H877" s="9"/>
      <c r="I877" s="9"/>
      <c r="J877" s="9"/>
      <c r="K877" s="9"/>
      <c r="L877" s="9"/>
      <c r="M877" s="2"/>
      <c r="N877" s="2"/>
      <c r="O877" s="2"/>
      <c r="P877" s="2"/>
    </row>
    <row r="878" spans="1:16" ht="12.75">
      <c r="A878" s="331" t="s">
        <v>4562</v>
      </c>
      <c r="B878" s="331" t="s">
        <v>199</v>
      </c>
      <c r="C878" s="332" t="s">
        <v>732</v>
      </c>
      <c r="D878" s="333" t="s">
        <v>2352</v>
      </c>
      <c r="E878" s="42"/>
      <c r="F878" s="9"/>
      <c r="G878" s="9"/>
      <c r="H878" s="9"/>
      <c r="I878" s="9"/>
      <c r="J878" s="9"/>
      <c r="K878" s="9"/>
      <c r="L878" s="9"/>
      <c r="M878" s="2"/>
      <c r="N878" s="2"/>
      <c r="O878" s="2"/>
      <c r="P878" s="2"/>
    </row>
    <row r="879" spans="1:16" ht="12.75">
      <c r="A879" s="334" t="s">
        <v>4554</v>
      </c>
      <c r="B879" s="334" t="s">
        <v>420</v>
      </c>
      <c r="C879" s="332" t="s">
        <v>562</v>
      </c>
      <c r="D879" s="333" t="s">
        <v>422</v>
      </c>
      <c r="E879" s="42"/>
      <c r="F879" s="9"/>
      <c r="G879" s="9"/>
      <c r="H879" s="9"/>
      <c r="I879" s="9"/>
      <c r="J879" s="9"/>
      <c r="K879" s="9"/>
      <c r="L879" s="9"/>
      <c r="M879" s="2"/>
      <c r="N879" s="2"/>
      <c r="O879" s="2"/>
      <c r="P879" s="2"/>
    </row>
    <row r="880" spans="1:16" ht="12.75">
      <c r="A880" s="331" t="s">
        <v>4554</v>
      </c>
      <c r="B880" s="331" t="s">
        <v>2359</v>
      </c>
      <c r="C880" s="332" t="s">
        <v>1225</v>
      </c>
      <c r="D880" s="333" t="s">
        <v>2361</v>
      </c>
      <c r="E880" s="42"/>
      <c r="F880" s="9"/>
      <c r="G880" s="9"/>
      <c r="H880" s="9"/>
      <c r="I880" s="9"/>
      <c r="J880" s="9"/>
      <c r="K880" s="9"/>
      <c r="L880" s="9"/>
      <c r="M880" s="2"/>
      <c r="N880" s="2"/>
      <c r="O880" s="2"/>
      <c r="P880" s="2"/>
    </row>
    <row r="881" spans="1:16" ht="12.75">
      <c r="A881" s="334" t="s">
        <v>4554</v>
      </c>
      <c r="B881" s="334" t="s">
        <v>2364</v>
      </c>
      <c r="C881" s="332" t="s">
        <v>218</v>
      </c>
      <c r="D881" s="333" t="s">
        <v>2366</v>
      </c>
      <c r="E881" s="42"/>
      <c r="F881" s="9"/>
      <c r="G881" s="9"/>
      <c r="H881" s="9"/>
      <c r="I881" s="9"/>
      <c r="J881" s="9"/>
      <c r="K881" s="9"/>
      <c r="L881" s="9"/>
      <c r="M881" s="2"/>
      <c r="N881" s="2"/>
      <c r="O881" s="2"/>
      <c r="P881" s="2"/>
    </row>
    <row r="882" spans="1:16" ht="12.75">
      <c r="A882" s="331" t="s">
        <v>4554</v>
      </c>
      <c r="B882" s="331" t="s">
        <v>2369</v>
      </c>
      <c r="C882" s="332" t="s">
        <v>1225</v>
      </c>
      <c r="D882" s="333" t="s">
        <v>2371</v>
      </c>
      <c r="E882" s="42"/>
      <c r="F882" s="9"/>
      <c r="G882" s="9"/>
      <c r="H882" s="9"/>
      <c r="I882" s="9"/>
      <c r="J882" s="9"/>
      <c r="K882" s="9"/>
      <c r="L882" s="9"/>
      <c r="M882" s="2"/>
      <c r="N882" s="2"/>
      <c r="O882" s="2"/>
      <c r="P882" s="2"/>
    </row>
    <row r="883" spans="1:16" ht="12.75">
      <c r="A883" s="334" t="s">
        <v>4554</v>
      </c>
      <c r="B883" s="394" t="s">
        <v>2390</v>
      </c>
      <c r="C883" s="332" t="s">
        <v>269</v>
      </c>
      <c r="D883" s="333" t="s">
        <v>2277</v>
      </c>
      <c r="E883" s="42"/>
      <c r="F883" s="9"/>
      <c r="G883" s="9"/>
      <c r="H883" s="9"/>
      <c r="I883" s="9"/>
      <c r="J883" s="9"/>
      <c r="K883" s="9"/>
      <c r="L883" s="9"/>
      <c r="M883" s="2"/>
      <c r="N883" s="2"/>
      <c r="O883" s="2"/>
      <c r="P883" s="2"/>
    </row>
    <row r="884" spans="1:16" ht="12.75">
      <c r="A884" s="331" t="s">
        <v>4562</v>
      </c>
      <c r="B884" s="331" t="s">
        <v>2394</v>
      </c>
      <c r="C884" s="332" t="s">
        <v>2396</v>
      </c>
      <c r="D884" s="333" t="s">
        <v>2397</v>
      </c>
      <c r="E884" s="42"/>
      <c r="F884" s="9"/>
      <c r="G884" s="9"/>
      <c r="H884" s="9"/>
      <c r="I884" s="9"/>
      <c r="J884" s="9"/>
      <c r="K884" s="9"/>
      <c r="L884" s="9"/>
      <c r="M884" s="2"/>
      <c r="N884" s="2"/>
      <c r="O884" s="2"/>
      <c r="P884" s="2"/>
    </row>
    <row r="885" spans="1:16" ht="12.75">
      <c r="A885" s="334" t="s">
        <v>4554</v>
      </c>
      <c r="B885" s="334" t="s">
        <v>2400</v>
      </c>
      <c r="C885" s="332" t="s">
        <v>1994</v>
      </c>
      <c r="D885" s="333" t="s">
        <v>2402</v>
      </c>
      <c r="E885" s="42"/>
      <c r="F885" s="9"/>
      <c r="G885" s="9"/>
      <c r="H885" s="9"/>
      <c r="I885" s="9"/>
      <c r="J885" s="9"/>
      <c r="K885" s="9"/>
      <c r="L885" s="9"/>
      <c r="M885" s="2"/>
      <c r="N885" s="2"/>
      <c r="O885" s="2"/>
      <c r="P885" s="2"/>
    </row>
    <row r="886" spans="1:16" ht="12.75">
      <c r="A886" s="331" t="s">
        <v>4545</v>
      </c>
      <c r="B886" s="331" t="s">
        <v>1620</v>
      </c>
      <c r="C886" s="332" t="s">
        <v>1793</v>
      </c>
      <c r="D886" s="333" t="s">
        <v>180</v>
      </c>
      <c r="E886" s="42"/>
      <c r="F886" s="9"/>
      <c r="G886" s="9"/>
      <c r="H886" s="9"/>
      <c r="I886" s="9"/>
      <c r="J886" s="9"/>
      <c r="K886" s="9"/>
      <c r="L886" s="9"/>
      <c r="M886" s="2"/>
      <c r="N886" s="2"/>
      <c r="O886" s="2"/>
      <c r="P886" s="2"/>
    </row>
    <row r="887" spans="1:16" ht="12.75">
      <c r="A887" s="334" t="s">
        <v>4562</v>
      </c>
      <c r="B887" s="334" t="s">
        <v>2409</v>
      </c>
      <c r="C887" s="332" t="s">
        <v>59</v>
      </c>
      <c r="D887" s="333" t="s">
        <v>2411</v>
      </c>
      <c r="E887" s="42"/>
      <c r="F887" s="9"/>
      <c r="G887" s="9"/>
      <c r="H887" s="9"/>
      <c r="I887" s="9"/>
      <c r="J887" s="9"/>
      <c r="K887" s="9"/>
      <c r="L887" s="9"/>
      <c r="M887" s="2"/>
      <c r="N887" s="2"/>
      <c r="O887" s="2"/>
      <c r="P887" s="2"/>
    </row>
    <row r="888" spans="1:16" ht="12.75">
      <c r="A888" s="331" t="s">
        <v>4545</v>
      </c>
      <c r="B888" s="331" t="s">
        <v>2414</v>
      </c>
      <c r="C888" s="332" t="s">
        <v>1472</v>
      </c>
      <c r="D888" s="369" t="s">
        <v>2416</v>
      </c>
      <c r="E888" s="42"/>
      <c r="F888" s="9"/>
      <c r="G888" s="9"/>
      <c r="H888" s="9"/>
      <c r="I888" s="9"/>
      <c r="J888" s="9"/>
      <c r="K888" s="9"/>
      <c r="L888" s="9"/>
      <c r="M888" s="2"/>
      <c r="N888" s="2"/>
      <c r="O888" s="2"/>
      <c r="P888" s="2"/>
    </row>
    <row r="889" spans="1:16" ht="12.75">
      <c r="A889" s="334" t="s">
        <v>4560</v>
      </c>
      <c r="B889" s="334" t="s">
        <v>2210</v>
      </c>
      <c r="C889" s="332" t="s">
        <v>59</v>
      </c>
      <c r="D889" s="333" t="s">
        <v>2212</v>
      </c>
      <c r="E889" s="42"/>
      <c r="F889" s="9"/>
      <c r="G889" s="9"/>
      <c r="H889" s="9"/>
      <c r="I889" s="9"/>
      <c r="J889" s="9"/>
      <c r="K889" s="9"/>
      <c r="L889" s="9"/>
      <c r="M889" s="2"/>
      <c r="N889" s="2"/>
      <c r="O889" s="2"/>
      <c r="P889" s="2"/>
    </row>
    <row r="890" spans="1:16" ht="12.75">
      <c r="A890" s="331" t="s">
        <v>4560</v>
      </c>
      <c r="B890" s="331" t="s">
        <v>2215</v>
      </c>
      <c r="C890" s="332" t="s">
        <v>218</v>
      </c>
      <c r="D890" s="333" t="s">
        <v>2216</v>
      </c>
      <c r="E890" s="42"/>
      <c r="F890" s="9"/>
      <c r="G890" s="9"/>
      <c r="H890" s="9"/>
      <c r="I890" s="9"/>
      <c r="J890" s="9"/>
      <c r="K890" s="9"/>
      <c r="L890" s="9"/>
      <c r="M890" s="2"/>
      <c r="N890" s="2"/>
      <c r="O890" s="2"/>
      <c r="P890" s="2"/>
    </row>
    <row r="891" spans="1:16" ht="12.75">
      <c r="A891" s="334" t="s">
        <v>4560</v>
      </c>
      <c r="B891" s="334" t="s">
        <v>2219</v>
      </c>
      <c r="C891" s="332" t="s">
        <v>763</v>
      </c>
      <c r="D891" s="333" t="s">
        <v>2221</v>
      </c>
      <c r="E891" s="42"/>
      <c r="F891" s="9"/>
      <c r="G891" s="9"/>
      <c r="H891" s="9"/>
      <c r="I891" s="9"/>
      <c r="J891" s="9"/>
      <c r="K891" s="9"/>
      <c r="L891" s="9"/>
      <c r="M891" s="2"/>
      <c r="N891" s="2"/>
      <c r="O891" s="2"/>
      <c r="P891" s="2"/>
    </row>
    <row r="892" spans="1:16" ht="12.75">
      <c r="A892" s="334" t="s">
        <v>4562</v>
      </c>
      <c r="B892" s="334" t="s">
        <v>2236</v>
      </c>
      <c r="C892" s="332" t="s">
        <v>763</v>
      </c>
      <c r="D892" s="333" t="s">
        <v>2239</v>
      </c>
      <c r="E892" s="42"/>
      <c r="F892" s="9"/>
      <c r="G892" s="9"/>
      <c r="H892" s="9"/>
      <c r="I892" s="9"/>
      <c r="J892" s="9"/>
      <c r="K892" s="9"/>
      <c r="L892" s="9"/>
      <c r="M892" s="2"/>
      <c r="N892" s="2"/>
      <c r="O892" s="2"/>
      <c r="P892" s="2"/>
    </row>
    <row r="893" spans="1:16" ht="12.75">
      <c r="A893" s="331" t="s">
        <v>4562</v>
      </c>
      <c r="B893" s="331" t="s">
        <v>2241</v>
      </c>
      <c r="C893" s="332" t="s">
        <v>1429</v>
      </c>
      <c r="D893" s="333" t="s">
        <v>2243</v>
      </c>
      <c r="E893" s="42"/>
      <c r="F893" s="9"/>
      <c r="G893" s="9"/>
      <c r="H893" s="9"/>
      <c r="I893" s="9"/>
      <c r="J893" s="9"/>
      <c r="K893" s="9"/>
      <c r="L893" s="9"/>
      <c r="M893" s="2"/>
      <c r="N893" s="2"/>
      <c r="O893" s="2"/>
      <c r="P893" s="2"/>
    </row>
    <row r="894" spans="1:16" ht="12.75">
      <c r="A894" s="334" t="s">
        <v>2245</v>
      </c>
      <c r="B894" s="334" t="s">
        <v>2246</v>
      </c>
      <c r="C894" s="332" t="s">
        <v>2247</v>
      </c>
      <c r="D894" s="333" t="s">
        <v>2249</v>
      </c>
      <c r="E894" s="42"/>
      <c r="F894" s="9"/>
      <c r="G894" s="9"/>
      <c r="H894" s="9"/>
      <c r="I894" s="9"/>
      <c r="J894" s="9"/>
      <c r="K894" s="9"/>
      <c r="L894" s="9"/>
      <c r="M894" s="2"/>
      <c r="N894" s="2"/>
      <c r="O894" s="2"/>
      <c r="P894" s="2"/>
    </row>
    <row r="895" spans="1:16" ht="12.75">
      <c r="A895" s="331" t="s">
        <v>4560</v>
      </c>
      <c r="B895" s="331" t="s">
        <v>2423</v>
      </c>
      <c r="C895" s="332" t="s">
        <v>1564</v>
      </c>
      <c r="D895" s="333" t="s">
        <v>2425</v>
      </c>
      <c r="E895" s="42"/>
      <c r="F895" s="9"/>
      <c r="G895" s="9"/>
      <c r="H895" s="9"/>
      <c r="I895" s="9"/>
      <c r="J895" s="9"/>
      <c r="K895" s="9"/>
      <c r="L895" s="9"/>
      <c r="M895" s="2"/>
      <c r="N895" s="2"/>
      <c r="O895" s="2"/>
      <c r="P895" s="2"/>
    </row>
    <row r="896" spans="1:16" ht="12.75">
      <c r="A896" s="334" t="s">
        <v>4553</v>
      </c>
      <c r="B896" s="334" t="s">
        <v>2429</v>
      </c>
      <c r="C896" s="332" t="s">
        <v>2431</v>
      </c>
      <c r="D896" s="333" t="s">
        <v>2432</v>
      </c>
      <c r="E896" s="42"/>
      <c r="F896" s="9"/>
      <c r="G896" s="9"/>
      <c r="H896" s="9"/>
      <c r="I896" s="9"/>
      <c r="J896" s="9"/>
      <c r="K896" s="9"/>
      <c r="L896" s="9"/>
      <c r="M896" s="2"/>
      <c r="N896" s="2"/>
      <c r="O896" s="2"/>
      <c r="P896" s="2"/>
    </row>
    <row r="897" spans="1:16" ht="12.75">
      <c r="A897" s="334" t="s">
        <v>4545</v>
      </c>
      <c r="B897" s="334" t="s">
        <v>2442</v>
      </c>
      <c r="C897" s="332" t="s">
        <v>1218</v>
      </c>
      <c r="D897" s="333" t="s">
        <v>2444</v>
      </c>
      <c r="E897" s="42"/>
      <c r="F897" s="9"/>
      <c r="G897" s="9"/>
      <c r="H897" s="9"/>
      <c r="I897" s="9"/>
      <c r="J897" s="9"/>
      <c r="K897" s="9"/>
      <c r="L897" s="9"/>
      <c r="M897" s="2"/>
      <c r="N897" s="2"/>
      <c r="O897" s="2"/>
      <c r="P897" s="2"/>
    </row>
    <row r="898" spans="1:16" ht="12.75">
      <c r="A898" s="331" t="s">
        <v>4545</v>
      </c>
      <c r="B898" s="331" t="s">
        <v>2447</v>
      </c>
      <c r="C898" s="332" t="s">
        <v>1218</v>
      </c>
      <c r="D898" s="333" t="s">
        <v>2449</v>
      </c>
      <c r="E898" s="42"/>
      <c r="F898" s="9"/>
      <c r="G898" s="9"/>
      <c r="H898" s="9"/>
      <c r="I898" s="9"/>
      <c r="J898" s="9"/>
      <c r="K898" s="9"/>
      <c r="L898" s="9"/>
      <c r="M898" s="2"/>
      <c r="N898" s="2"/>
      <c r="O898" s="2"/>
      <c r="P898" s="2"/>
    </row>
    <row r="899" spans="1:16" ht="12.75" customHeight="1">
      <c r="A899" s="334" t="s">
        <v>4572</v>
      </c>
      <c r="B899" s="334" t="s">
        <v>2465</v>
      </c>
      <c r="C899" s="332" t="s">
        <v>59</v>
      </c>
      <c r="D899" s="333" t="s">
        <v>1101</v>
      </c>
      <c r="E899" s="42"/>
      <c r="F899" s="9"/>
      <c r="G899" s="9"/>
      <c r="H899" s="9"/>
      <c r="I899" s="9"/>
      <c r="J899" s="9"/>
      <c r="K899" s="9"/>
      <c r="L899" s="9"/>
      <c r="M899" s="2"/>
      <c r="N899" s="2"/>
      <c r="O899" s="2"/>
      <c r="P899" s="2"/>
    </row>
    <row r="900" spans="1:16" ht="12.75">
      <c r="A900" s="331" t="s">
        <v>4553</v>
      </c>
      <c r="B900" s="331" t="s">
        <v>2226</v>
      </c>
      <c r="C900" s="332" t="s">
        <v>100</v>
      </c>
      <c r="D900" s="333" t="s">
        <v>180</v>
      </c>
      <c r="E900" s="42"/>
      <c r="F900" s="9"/>
      <c r="G900" s="9"/>
      <c r="H900" s="9"/>
      <c r="I900" s="9"/>
      <c r="J900" s="9"/>
      <c r="K900" s="9"/>
      <c r="L900" s="9"/>
      <c r="M900" s="2"/>
      <c r="N900" s="2"/>
      <c r="O900" s="2"/>
      <c r="P900" s="2"/>
    </row>
    <row r="901" spans="1:16" ht="12.75">
      <c r="A901" s="334" t="s">
        <v>4601</v>
      </c>
      <c r="B901" s="334" t="s">
        <v>2474</v>
      </c>
      <c r="C901" s="332" t="s">
        <v>269</v>
      </c>
      <c r="D901" s="333" t="s">
        <v>2476</v>
      </c>
      <c r="E901" s="42"/>
      <c r="F901" s="9"/>
      <c r="G901" s="9"/>
      <c r="H901" s="9"/>
      <c r="I901" s="9"/>
      <c r="J901" s="9"/>
      <c r="K901" s="9"/>
      <c r="L901" s="9"/>
      <c r="M901" s="2"/>
      <c r="N901" s="2"/>
      <c r="O901" s="2"/>
      <c r="P901" s="2"/>
    </row>
    <row r="902" spans="1:16" ht="12.75">
      <c r="A902" s="334" t="s">
        <v>4562</v>
      </c>
      <c r="B902" s="334" t="s">
        <v>342</v>
      </c>
      <c r="C902" s="332" t="s">
        <v>41</v>
      </c>
      <c r="D902" s="395" t="s">
        <v>105</v>
      </c>
      <c r="E902" s="42"/>
      <c r="F902" s="9"/>
      <c r="G902" s="9"/>
      <c r="H902" s="9"/>
      <c r="I902" s="9"/>
      <c r="J902" s="9"/>
      <c r="K902" s="9"/>
      <c r="L902" s="9"/>
      <c r="M902" s="2"/>
      <c r="N902" s="2"/>
      <c r="O902" s="2"/>
      <c r="P902" s="2"/>
    </row>
    <row r="903" spans="1:16" ht="12.75">
      <c r="A903" s="334" t="s">
        <v>4582</v>
      </c>
      <c r="B903" s="334" t="s">
        <v>2489</v>
      </c>
      <c r="C903" s="332" t="s">
        <v>599</v>
      </c>
      <c r="D903" s="333" t="s">
        <v>2491</v>
      </c>
      <c r="E903" s="42"/>
      <c r="F903" s="9"/>
      <c r="G903" s="9"/>
      <c r="H903" s="9"/>
      <c r="I903" s="9"/>
      <c r="J903" s="9"/>
      <c r="K903" s="9"/>
      <c r="L903" s="9"/>
      <c r="M903" s="2"/>
      <c r="N903" s="2"/>
      <c r="O903" s="2"/>
      <c r="P903" s="2"/>
    </row>
    <row r="904" spans="1:16" ht="12.75">
      <c r="A904" s="334" t="s">
        <v>4599</v>
      </c>
      <c r="B904" s="334" t="s">
        <v>2500</v>
      </c>
      <c r="C904" s="332" t="s">
        <v>916</v>
      </c>
      <c r="D904" s="333" t="s">
        <v>2502</v>
      </c>
      <c r="E904" s="42"/>
      <c r="F904" s="9"/>
      <c r="G904" s="9"/>
      <c r="H904" s="9"/>
      <c r="I904" s="9"/>
      <c r="J904" s="9"/>
      <c r="K904" s="9"/>
      <c r="L904" s="9"/>
      <c r="M904" s="2"/>
      <c r="N904" s="2"/>
      <c r="O904" s="2"/>
      <c r="P904" s="2"/>
    </row>
    <row r="905" spans="1:16" ht="12.75">
      <c r="A905" s="331" t="s">
        <v>4568</v>
      </c>
      <c r="B905" s="331" t="s">
        <v>2991</v>
      </c>
      <c r="C905" s="332" t="s">
        <v>237</v>
      </c>
      <c r="D905" s="333" t="s">
        <v>2518</v>
      </c>
      <c r="E905" s="42"/>
      <c r="F905" s="9"/>
      <c r="G905" s="9"/>
      <c r="H905" s="9"/>
      <c r="I905" s="9"/>
      <c r="J905" s="9"/>
      <c r="K905" s="9"/>
      <c r="L905" s="9"/>
      <c r="M905" s="2"/>
      <c r="N905" s="2"/>
      <c r="O905" s="2"/>
      <c r="P905" s="2"/>
    </row>
    <row r="906" spans="1:16" ht="12.75">
      <c r="A906" s="334" t="s">
        <v>4568</v>
      </c>
      <c r="B906" s="334" t="s">
        <v>361</v>
      </c>
      <c r="C906" s="332" t="s">
        <v>237</v>
      </c>
      <c r="D906" s="333" t="s">
        <v>363</v>
      </c>
      <c r="E906" s="42"/>
      <c r="F906" s="9"/>
      <c r="G906" s="9"/>
      <c r="H906" s="9"/>
      <c r="I906" s="9"/>
      <c r="J906" s="9"/>
      <c r="K906" s="9"/>
      <c r="L906" s="9"/>
      <c r="M906" s="2"/>
      <c r="N906" s="2"/>
      <c r="O906" s="2"/>
      <c r="P906" s="2"/>
    </row>
    <row r="907" spans="1:16" ht="12.75">
      <c r="A907" s="331" t="s">
        <v>4557</v>
      </c>
      <c r="B907" s="331" t="s">
        <v>2523</v>
      </c>
      <c r="C907" s="332" t="s">
        <v>203</v>
      </c>
      <c r="D907" s="333" t="s">
        <v>204</v>
      </c>
      <c r="E907" s="42"/>
      <c r="F907" s="9"/>
      <c r="G907" s="9"/>
      <c r="H907" s="9"/>
      <c r="I907" s="9"/>
      <c r="J907" s="9"/>
      <c r="K907" s="9"/>
      <c r="L907" s="9"/>
      <c r="M907" s="2"/>
      <c r="N907" s="2"/>
      <c r="O907" s="2"/>
      <c r="P907" s="2"/>
    </row>
    <row r="908" spans="1:16" ht="12.75">
      <c r="A908" s="334" t="s">
        <v>4545</v>
      </c>
      <c r="B908" s="334" t="s">
        <v>2526</v>
      </c>
      <c r="C908" s="332" t="s">
        <v>59</v>
      </c>
      <c r="D908" s="333" t="s">
        <v>2212</v>
      </c>
      <c r="E908" s="42"/>
      <c r="F908" s="9"/>
      <c r="G908" s="9"/>
      <c r="H908" s="9"/>
      <c r="I908" s="9"/>
      <c r="J908" s="9"/>
      <c r="K908" s="9"/>
      <c r="L908" s="9"/>
      <c r="M908" s="2"/>
      <c r="N908" s="2"/>
      <c r="O908" s="2"/>
      <c r="P908" s="2"/>
    </row>
    <row r="909" spans="1:16" ht="12.75">
      <c r="A909" s="331" t="s">
        <v>4557</v>
      </c>
      <c r="B909" s="331" t="s">
        <v>2531</v>
      </c>
      <c r="C909" s="332" t="s">
        <v>203</v>
      </c>
      <c r="D909" s="333" t="s">
        <v>204</v>
      </c>
      <c r="E909" s="42"/>
      <c r="F909" s="9"/>
      <c r="G909" s="9"/>
      <c r="H909" s="9"/>
      <c r="I909" s="9"/>
      <c r="J909" s="9"/>
      <c r="K909" s="9"/>
      <c r="L909" s="9"/>
      <c r="M909" s="2"/>
      <c r="N909" s="2"/>
      <c r="O909" s="2"/>
      <c r="P909" s="2"/>
    </row>
    <row r="910" spans="1:16" ht="12.75">
      <c r="A910" s="331" t="s">
        <v>4568</v>
      </c>
      <c r="B910" s="331" t="s">
        <v>2537</v>
      </c>
      <c r="C910" s="332" t="s">
        <v>2539</v>
      </c>
      <c r="D910" s="333" t="s">
        <v>411</v>
      </c>
      <c r="E910" s="42"/>
      <c r="F910" s="9"/>
      <c r="G910" s="9"/>
      <c r="H910" s="9"/>
      <c r="I910" s="9"/>
      <c r="J910" s="9"/>
      <c r="K910" s="9"/>
      <c r="L910" s="9"/>
      <c r="M910" s="2"/>
      <c r="N910" s="2"/>
      <c r="O910" s="2"/>
      <c r="P910" s="2"/>
    </row>
    <row r="911" spans="1:16" ht="12.75">
      <c r="A911" s="331" t="s">
        <v>4551</v>
      </c>
      <c r="B911" s="331" t="s">
        <v>2546</v>
      </c>
      <c r="C911" s="332" t="s">
        <v>1218</v>
      </c>
      <c r="D911" s="333" t="s">
        <v>2548</v>
      </c>
      <c r="E911" s="42"/>
      <c r="F911" s="9"/>
      <c r="G911" s="9"/>
      <c r="H911" s="9"/>
      <c r="I911" s="9"/>
      <c r="J911" s="9"/>
      <c r="K911" s="9"/>
      <c r="L911" s="9"/>
      <c r="M911" s="2"/>
      <c r="N911" s="2"/>
      <c r="O911" s="2"/>
      <c r="P911" s="2"/>
    </row>
    <row r="912" spans="1:16" ht="12.75">
      <c r="A912" s="334" t="s">
        <v>4554</v>
      </c>
      <c r="B912" s="334" t="s">
        <v>975</v>
      </c>
      <c r="C912" s="332" t="s">
        <v>2342</v>
      </c>
      <c r="D912" s="333" t="s">
        <v>978</v>
      </c>
      <c r="E912" s="42"/>
      <c r="F912" s="9"/>
      <c r="G912" s="9"/>
      <c r="H912" s="9"/>
      <c r="I912" s="9"/>
      <c r="J912" s="9"/>
      <c r="K912" s="9"/>
      <c r="L912" s="9"/>
      <c r="M912" s="2"/>
      <c r="N912" s="2"/>
      <c r="O912" s="2"/>
      <c r="P912" s="2"/>
    </row>
    <row r="913" spans="1:16" ht="12.75">
      <c r="A913" s="331" t="s">
        <v>4572</v>
      </c>
      <c r="B913" s="331" t="s">
        <v>1725</v>
      </c>
      <c r="C913" s="332" t="s">
        <v>599</v>
      </c>
      <c r="D913" s="333" t="s">
        <v>2555</v>
      </c>
      <c r="E913" s="42"/>
      <c r="F913" s="9"/>
      <c r="G913" s="9"/>
      <c r="H913" s="9"/>
      <c r="I913" s="9"/>
      <c r="J913" s="9"/>
      <c r="K913" s="9"/>
      <c r="L913" s="9"/>
      <c r="M913" s="2"/>
      <c r="N913" s="2"/>
      <c r="O913" s="2"/>
      <c r="P913" s="2"/>
    </row>
    <row r="914" spans="1:16" ht="12.75">
      <c r="A914" s="331" t="s">
        <v>4572</v>
      </c>
      <c r="B914" s="331" t="s">
        <v>2563</v>
      </c>
      <c r="C914" s="332" t="s">
        <v>14</v>
      </c>
      <c r="D914" s="333" t="s">
        <v>105</v>
      </c>
      <c r="E914" s="42"/>
      <c r="F914" s="9"/>
      <c r="G914" s="9"/>
      <c r="H914" s="9"/>
      <c r="I914" s="9"/>
      <c r="J914" s="9"/>
      <c r="K914" s="9"/>
      <c r="L914" s="9"/>
      <c r="M914" s="2"/>
      <c r="N914" s="2"/>
      <c r="O914" s="2"/>
      <c r="P914" s="2"/>
    </row>
    <row r="915" spans="1:16" ht="12.75">
      <c r="A915" s="334" t="s">
        <v>4545</v>
      </c>
      <c r="B915" s="334" t="s">
        <v>2566</v>
      </c>
      <c r="C915" s="332" t="s">
        <v>495</v>
      </c>
      <c r="D915" s="333" t="s">
        <v>2568</v>
      </c>
      <c r="E915" s="42"/>
      <c r="F915" s="9"/>
      <c r="G915" s="9"/>
      <c r="H915" s="9"/>
      <c r="I915" s="9"/>
      <c r="J915" s="9"/>
      <c r="K915" s="9"/>
      <c r="L915" s="9"/>
      <c r="M915" s="2"/>
      <c r="N915" s="2"/>
      <c r="O915" s="2"/>
      <c r="P915" s="2"/>
    </row>
    <row r="916" spans="1:16">
      <c r="A916" s="331" t="s">
        <v>4554</v>
      </c>
      <c r="B916" s="331" t="s">
        <v>2571</v>
      </c>
      <c r="C916" s="332" t="s">
        <v>2573</v>
      </c>
      <c r="D916" s="396" t="s">
        <v>2992</v>
      </c>
      <c r="E916" s="42"/>
      <c r="F916" s="9"/>
      <c r="G916" s="9"/>
      <c r="H916" s="9"/>
      <c r="I916" s="9"/>
      <c r="J916" s="9"/>
      <c r="K916" s="9"/>
      <c r="L916" s="9"/>
      <c r="M916" s="2"/>
      <c r="N916" s="2"/>
      <c r="O916" s="2"/>
      <c r="P916" s="2"/>
    </row>
    <row r="917" spans="1:16" ht="12.75">
      <c r="A917" s="334" t="s">
        <v>4582</v>
      </c>
      <c r="B917" s="334" t="s">
        <v>2579</v>
      </c>
      <c r="C917" s="332" t="s">
        <v>2581</v>
      </c>
      <c r="D917" s="333" t="s">
        <v>2582</v>
      </c>
      <c r="E917" s="42"/>
      <c r="F917" s="9"/>
      <c r="G917" s="9"/>
      <c r="H917" s="9"/>
      <c r="I917" s="9"/>
      <c r="J917" s="9"/>
      <c r="K917" s="9"/>
      <c r="L917" s="9"/>
      <c r="M917" s="2"/>
      <c r="N917" s="2"/>
      <c r="O917" s="2"/>
      <c r="P917" s="2"/>
    </row>
    <row r="918" spans="1:16" ht="12.75">
      <c r="A918" s="334" t="s">
        <v>4562</v>
      </c>
      <c r="B918" s="334" t="s">
        <v>2590</v>
      </c>
      <c r="C918" s="332" t="s">
        <v>2592</v>
      </c>
      <c r="D918" s="333" t="s">
        <v>2593</v>
      </c>
      <c r="E918" s="42"/>
      <c r="F918" s="9"/>
      <c r="G918" s="9"/>
      <c r="H918" s="9"/>
      <c r="I918" s="9"/>
      <c r="J918" s="9"/>
      <c r="K918" s="9"/>
      <c r="L918" s="9"/>
      <c r="M918" s="2"/>
      <c r="N918" s="2"/>
      <c r="O918" s="2"/>
      <c r="P918" s="2"/>
    </row>
    <row r="919" spans="1:16" ht="12.75">
      <c r="A919" s="331" t="s">
        <v>4548</v>
      </c>
      <c r="B919" s="331" t="s">
        <v>2608</v>
      </c>
      <c r="C919" s="332" t="s">
        <v>2610</v>
      </c>
      <c r="D919" s="333" t="s">
        <v>1639</v>
      </c>
      <c r="E919" s="42"/>
      <c r="F919" s="9"/>
      <c r="G919" s="9"/>
      <c r="H919" s="9"/>
      <c r="I919" s="9"/>
      <c r="J919" s="9"/>
      <c r="K919" s="9"/>
      <c r="L919" s="9"/>
      <c r="M919" s="2"/>
      <c r="N919" s="2"/>
      <c r="O919" s="2"/>
      <c r="P919" s="2"/>
    </row>
    <row r="920" spans="1:16" ht="12.75">
      <c r="A920" s="334" t="s">
        <v>4545</v>
      </c>
      <c r="B920" s="334" t="s">
        <v>2622</v>
      </c>
      <c r="C920" s="332" t="s">
        <v>223</v>
      </c>
      <c r="D920" s="333" t="s">
        <v>180</v>
      </c>
      <c r="E920" s="42"/>
      <c r="F920" s="9"/>
      <c r="G920" s="9"/>
      <c r="H920" s="9"/>
      <c r="I920" s="9"/>
      <c r="J920" s="9"/>
      <c r="K920" s="9"/>
      <c r="L920" s="9"/>
      <c r="M920" s="2"/>
      <c r="N920" s="2"/>
      <c r="O920" s="2"/>
      <c r="P920" s="2"/>
    </row>
    <row r="921" spans="1:16" ht="12.75">
      <c r="A921" s="331" t="s">
        <v>4591</v>
      </c>
      <c r="B921" s="331" t="s">
        <v>1449</v>
      </c>
      <c r="C921" s="332" t="s">
        <v>2628</v>
      </c>
      <c r="D921" s="333" t="s">
        <v>1452</v>
      </c>
      <c r="E921" s="42"/>
      <c r="F921" s="9"/>
      <c r="G921" s="9"/>
      <c r="H921" s="9"/>
      <c r="I921" s="9"/>
      <c r="J921" s="9"/>
      <c r="K921" s="9"/>
      <c r="L921" s="9"/>
      <c r="M921" s="2"/>
      <c r="N921" s="2"/>
      <c r="O921" s="2"/>
      <c r="P921" s="2"/>
    </row>
    <row r="922" spans="1:16" ht="12.75">
      <c r="A922" s="334" t="s">
        <v>4545</v>
      </c>
      <c r="B922" s="334" t="s">
        <v>2631</v>
      </c>
      <c r="C922" s="332"/>
      <c r="D922" s="333" t="s">
        <v>180</v>
      </c>
      <c r="E922" s="42"/>
      <c r="F922" s="9"/>
      <c r="G922" s="9"/>
      <c r="H922" s="9"/>
      <c r="I922" s="9"/>
      <c r="J922" s="9"/>
      <c r="K922" s="9"/>
      <c r="L922" s="9"/>
      <c r="M922" s="2"/>
      <c r="N922" s="2"/>
      <c r="O922" s="2"/>
      <c r="P922" s="2"/>
    </row>
    <row r="923" spans="1:16" ht="12.75">
      <c r="A923" s="331" t="s">
        <v>4545</v>
      </c>
      <c r="B923" s="331" t="s">
        <v>2634</v>
      </c>
      <c r="C923" s="332" t="s">
        <v>2137</v>
      </c>
      <c r="D923" s="333" t="s">
        <v>2636</v>
      </c>
      <c r="E923" s="42"/>
      <c r="F923" s="9"/>
      <c r="G923" s="9"/>
      <c r="H923" s="9"/>
      <c r="I923" s="9"/>
      <c r="J923" s="9"/>
      <c r="K923" s="9"/>
      <c r="L923" s="9"/>
      <c r="M923" s="2"/>
      <c r="N923" s="2"/>
      <c r="O923" s="2"/>
      <c r="P923" s="2"/>
    </row>
    <row r="924" spans="1:16" ht="12.75">
      <c r="A924" s="334" t="s">
        <v>4557</v>
      </c>
      <c r="B924" s="334" t="s">
        <v>2639</v>
      </c>
      <c r="C924" s="332" t="s">
        <v>2641</v>
      </c>
      <c r="D924" s="333" t="s">
        <v>2643</v>
      </c>
      <c r="E924" s="42"/>
      <c r="F924" s="9"/>
      <c r="G924" s="9"/>
      <c r="H924" s="9"/>
      <c r="I924" s="9"/>
      <c r="J924" s="9"/>
      <c r="K924" s="9"/>
      <c r="L924" s="9"/>
      <c r="M924" s="2"/>
      <c r="N924" s="2"/>
      <c r="O924" s="2"/>
      <c r="P924" s="2"/>
    </row>
    <row r="925" spans="1:16" ht="12.75">
      <c r="A925" s="331" t="s">
        <v>4562</v>
      </c>
      <c r="B925" s="331" t="s">
        <v>2646</v>
      </c>
      <c r="C925" s="332" t="s">
        <v>2247</v>
      </c>
      <c r="D925" s="333" t="s">
        <v>1508</v>
      </c>
      <c r="E925" s="42"/>
      <c r="F925" s="9"/>
      <c r="G925" s="9"/>
      <c r="H925" s="9"/>
      <c r="I925" s="9"/>
      <c r="J925" s="9"/>
      <c r="K925" s="9"/>
      <c r="L925" s="9"/>
      <c r="M925" s="2"/>
      <c r="N925" s="2"/>
      <c r="O925" s="2"/>
      <c r="P925" s="2"/>
    </row>
    <row r="926" spans="1:16" ht="12.75">
      <c r="A926" s="334" t="s">
        <v>4554</v>
      </c>
      <c r="B926" s="334" t="s">
        <v>2650</v>
      </c>
      <c r="C926" s="332" t="s">
        <v>599</v>
      </c>
      <c r="D926" s="333" t="s">
        <v>2652</v>
      </c>
      <c r="E926" s="42"/>
      <c r="F926" s="9"/>
      <c r="G926" s="9"/>
      <c r="H926" s="9"/>
      <c r="I926" s="9"/>
      <c r="J926" s="9"/>
      <c r="K926" s="9"/>
      <c r="L926" s="9"/>
      <c r="M926" s="2"/>
      <c r="N926" s="2"/>
      <c r="O926" s="2"/>
      <c r="P926" s="2"/>
    </row>
    <row r="927" spans="1:16" ht="12.75">
      <c r="A927" s="331" t="s">
        <v>4553</v>
      </c>
      <c r="B927" s="331" t="s">
        <v>2655</v>
      </c>
      <c r="C927" s="332" t="s">
        <v>2657</v>
      </c>
      <c r="D927" s="333" t="s">
        <v>2658</v>
      </c>
      <c r="E927" s="42"/>
      <c r="F927" s="9"/>
      <c r="G927" s="9"/>
      <c r="H927" s="9"/>
      <c r="I927" s="9"/>
      <c r="J927" s="9"/>
      <c r="K927" s="9"/>
      <c r="L927" s="9"/>
      <c r="M927" s="2"/>
      <c r="N927" s="2"/>
      <c r="O927" s="2"/>
      <c r="P927" s="2"/>
    </row>
    <row r="928" spans="1:16" ht="12.75">
      <c r="A928" s="334" t="s">
        <v>4592</v>
      </c>
      <c r="B928" s="334" t="s">
        <v>2662</v>
      </c>
      <c r="C928" s="332" t="s">
        <v>2664</v>
      </c>
      <c r="D928" s="333" t="s">
        <v>2665</v>
      </c>
      <c r="E928" s="42"/>
      <c r="F928" s="9"/>
      <c r="G928" s="9"/>
      <c r="H928" s="9"/>
      <c r="I928" s="9"/>
      <c r="J928" s="9"/>
      <c r="K928" s="9"/>
      <c r="L928" s="9"/>
      <c r="M928" s="2"/>
      <c r="N928" s="2"/>
      <c r="O928" s="2"/>
      <c r="P928" s="2"/>
    </row>
    <row r="929" spans="1:16" ht="12.75">
      <c r="A929" s="331" t="s">
        <v>4591</v>
      </c>
      <c r="B929" s="331" t="s">
        <v>2995</v>
      </c>
      <c r="C929" s="332" t="s">
        <v>1245</v>
      </c>
      <c r="D929" s="333" t="s">
        <v>2997</v>
      </c>
      <c r="E929" s="42"/>
      <c r="F929" s="9"/>
      <c r="G929" s="9"/>
      <c r="H929" s="9"/>
      <c r="I929" s="9"/>
      <c r="J929" s="9"/>
      <c r="K929" s="9"/>
      <c r="L929" s="9"/>
      <c r="M929" s="2"/>
      <c r="N929" s="2"/>
      <c r="O929" s="2"/>
      <c r="P929" s="2"/>
    </row>
    <row r="930" spans="1:16" ht="12.75">
      <c r="A930" s="331" t="s">
        <v>4572</v>
      </c>
      <c r="B930" s="331" t="s">
        <v>2679</v>
      </c>
      <c r="C930" s="332" t="s">
        <v>237</v>
      </c>
      <c r="D930" s="333" t="s">
        <v>2681</v>
      </c>
      <c r="E930" s="42"/>
      <c r="F930" s="9"/>
      <c r="G930" s="9"/>
      <c r="H930" s="9"/>
      <c r="I930" s="9"/>
      <c r="J930" s="9"/>
      <c r="K930" s="9"/>
      <c r="L930" s="9"/>
      <c r="M930" s="2"/>
      <c r="N930" s="2"/>
      <c r="O930" s="2"/>
      <c r="P930" s="2"/>
    </row>
    <row r="931" spans="1:16" ht="12.75">
      <c r="A931" s="334" t="s">
        <v>4553</v>
      </c>
      <c r="B931" s="334" t="s">
        <v>2685</v>
      </c>
      <c r="C931" s="332" t="s">
        <v>2687</v>
      </c>
      <c r="D931" s="333" t="s">
        <v>2689</v>
      </c>
      <c r="E931" s="42"/>
      <c r="F931" s="9"/>
      <c r="G931" s="9"/>
      <c r="H931" s="9"/>
      <c r="I931" s="9"/>
      <c r="J931" s="9"/>
      <c r="K931" s="9"/>
      <c r="L931" s="9"/>
      <c r="M931" s="2"/>
      <c r="N931" s="2"/>
      <c r="O931" s="2"/>
      <c r="P931" s="2"/>
    </row>
    <row r="932" spans="1:16" ht="12.75">
      <c r="A932" s="331" t="s">
        <v>4560</v>
      </c>
      <c r="B932" s="331" t="s">
        <v>2692</v>
      </c>
      <c r="C932" s="332" t="s">
        <v>1245</v>
      </c>
      <c r="D932" s="333" t="s">
        <v>2694</v>
      </c>
      <c r="E932" s="42"/>
      <c r="F932" s="9"/>
      <c r="G932" s="9"/>
      <c r="H932" s="9"/>
      <c r="I932" s="9"/>
      <c r="J932" s="9"/>
      <c r="K932" s="9"/>
      <c r="L932" s="9"/>
      <c r="M932" s="2"/>
      <c r="N932" s="2"/>
      <c r="O932" s="2"/>
      <c r="P932" s="2"/>
    </row>
    <row r="933" spans="1:16" ht="12.75">
      <c r="A933" s="334" t="s">
        <v>4545</v>
      </c>
      <c r="B933" s="334" t="s">
        <v>2704</v>
      </c>
      <c r="C933" s="332" t="s">
        <v>2706</v>
      </c>
      <c r="D933" s="333" t="s">
        <v>2707</v>
      </c>
      <c r="E933" s="42"/>
      <c r="F933" s="9"/>
      <c r="G933" s="9"/>
      <c r="H933" s="9"/>
      <c r="I933" s="9"/>
      <c r="J933" s="9"/>
      <c r="K933" s="9"/>
      <c r="L933" s="9"/>
      <c r="M933" s="2"/>
      <c r="N933" s="2"/>
      <c r="O933" s="2"/>
      <c r="P933" s="2"/>
    </row>
    <row r="934" spans="1:16" ht="12.75">
      <c r="A934" s="334" t="s">
        <v>4558</v>
      </c>
      <c r="B934" s="334" t="s">
        <v>2717</v>
      </c>
      <c r="C934" s="332" t="s">
        <v>2718</v>
      </c>
      <c r="D934" s="333" t="s">
        <v>470</v>
      </c>
      <c r="E934" s="42"/>
      <c r="F934" s="9"/>
      <c r="G934" s="9"/>
      <c r="H934" s="9"/>
      <c r="I934" s="9"/>
      <c r="J934" s="9"/>
      <c r="K934" s="9"/>
      <c r="L934" s="9"/>
      <c r="M934" s="2"/>
      <c r="N934" s="2"/>
      <c r="O934" s="2"/>
      <c r="P934" s="2"/>
    </row>
    <row r="935" spans="1:16" ht="12.75">
      <c r="A935" s="331" t="s">
        <v>4590</v>
      </c>
      <c r="B935" s="331" t="s">
        <v>2726</v>
      </c>
      <c r="C935" s="332" t="s">
        <v>2728</v>
      </c>
      <c r="D935" s="333" t="s">
        <v>1508</v>
      </c>
      <c r="E935" s="42"/>
      <c r="F935" s="9"/>
      <c r="G935" s="9"/>
      <c r="H935" s="9"/>
      <c r="I935" s="9"/>
      <c r="J935" s="9"/>
      <c r="K935" s="9"/>
      <c r="L935" s="9"/>
      <c r="M935" s="2"/>
      <c r="N935" s="2"/>
      <c r="O935" s="2"/>
      <c r="P935" s="2"/>
    </row>
    <row r="936" spans="1:16" ht="12.75">
      <c r="A936" s="334" t="s">
        <v>4545</v>
      </c>
      <c r="B936" s="334" t="s">
        <v>2731</v>
      </c>
      <c r="C936" s="332" t="s">
        <v>2733</v>
      </c>
      <c r="D936" s="333" t="s">
        <v>2734</v>
      </c>
      <c r="E936" s="42"/>
      <c r="F936" s="9"/>
      <c r="G936" s="9"/>
      <c r="H936" s="9"/>
      <c r="I936" s="9"/>
      <c r="J936" s="9"/>
      <c r="K936" s="9"/>
      <c r="L936" s="9"/>
      <c r="M936" s="2"/>
      <c r="N936" s="2"/>
      <c r="O936" s="2"/>
      <c r="P936" s="2"/>
    </row>
    <row r="937" spans="1:16" ht="12.75">
      <c r="A937" s="334" t="s">
        <v>4554</v>
      </c>
      <c r="B937" s="334" t="s">
        <v>2740</v>
      </c>
      <c r="C937" s="332" t="s">
        <v>218</v>
      </c>
      <c r="D937" s="333" t="s">
        <v>2742</v>
      </c>
      <c r="E937" s="42"/>
      <c r="F937" s="9"/>
      <c r="G937" s="9"/>
      <c r="H937" s="9"/>
      <c r="I937" s="9"/>
      <c r="J937" s="9"/>
      <c r="K937" s="9"/>
      <c r="L937" s="9"/>
      <c r="M937" s="2"/>
      <c r="N937" s="2"/>
      <c r="O937" s="2"/>
      <c r="P937" s="2"/>
    </row>
    <row r="938" spans="1:16" ht="12.75">
      <c r="A938" s="331" t="s">
        <v>4554</v>
      </c>
      <c r="B938" s="331" t="s">
        <v>2746</v>
      </c>
      <c r="C938" s="332" t="s">
        <v>223</v>
      </c>
      <c r="D938" s="333" t="s">
        <v>180</v>
      </c>
      <c r="E938" s="42"/>
      <c r="F938" s="9"/>
      <c r="G938" s="9"/>
      <c r="H938" s="9"/>
      <c r="I938" s="9"/>
      <c r="J938" s="9"/>
      <c r="K938" s="9"/>
      <c r="L938" s="9"/>
      <c r="M938" s="2"/>
      <c r="N938" s="2"/>
      <c r="O938" s="2"/>
      <c r="P938" s="2"/>
    </row>
    <row r="939" spans="1:16" ht="12.75">
      <c r="A939" s="331" t="s">
        <v>4545</v>
      </c>
      <c r="B939" s="331" t="s">
        <v>2750</v>
      </c>
      <c r="C939" s="332" t="s">
        <v>1218</v>
      </c>
      <c r="D939" s="333" t="s">
        <v>1942</v>
      </c>
      <c r="E939" s="42"/>
      <c r="F939" s="9"/>
      <c r="G939" s="9"/>
      <c r="H939" s="9"/>
      <c r="I939" s="9"/>
      <c r="J939" s="9"/>
      <c r="K939" s="9"/>
      <c r="L939" s="9"/>
      <c r="M939" s="2"/>
      <c r="N939" s="2"/>
      <c r="O939" s="2"/>
      <c r="P939" s="2"/>
    </row>
    <row r="940" spans="1:16" ht="12.75">
      <c r="A940" s="334" t="s">
        <v>4554</v>
      </c>
      <c r="B940" s="334" t="s">
        <v>2753</v>
      </c>
      <c r="C940" s="332" t="s">
        <v>269</v>
      </c>
      <c r="D940" s="333" t="s">
        <v>2756</v>
      </c>
      <c r="E940" s="42"/>
      <c r="F940" s="9"/>
      <c r="G940" s="9"/>
      <c r="H940" s="9"/>
      <c r="I940" s="9"/>
      <c r="J940" s="9"/>
      <c r="K940" s="9"/>
      <c r="L940" s="9"/>
      <c r="M940" s="2"/>
      <c r="N940" s="2"/>
      <c r="O940" s="2"/>
      <c r="P940" s="2"/>
    </row>
    <row r="941" spans="1:16" ht="12.75">
      <c r="A941" s="331" t="s">
        <v>4554</v>
      </c>
      <c r="B941" s="331" t="s">
        <v>2650</v>
      </c>
      <c r="C941" s="332" t="s">
        <v>599</v>
      </c>
      <c r="D941" s="333" t="s">
        <v>2759</v>
      </c>
      <c r="E941" s="42"/>
      <c r="F941" s="9"/>
      <c r="G941" s="9"/>
      <c r="H941" s="9"/>
      <c r="I941" s="9"/>
      <c r="J941" s="9"/>
      <c r="K941" s="9"/>
      <c r="L941" s="9"/>
      <c r="M941" s="2"/>
      <c r="N941" s="2"/>
      <c r="O941" s="2"/>
      <c r="P941" s="2"/>
    </row>
    <row r="942" spans="1:16" ht="12.75">
      <c r="A942" s="331" t="s">
        <v>4562</v>
      </c>
      <c r="B942" s="331" t="s">
        <v>3003</v>
      </c>
      <c r="C942" s="332" t="s">
        <v>3005</v>
      </c>
      <c r="D942" s="333" t="s">
        <v>3006</v>
      </c>
      <c r="E942" s="42"/>
      <c r="F942" s="9"/>
      <c r="G942" s="9"/>
      <c r="H942" s="9"/>
      <c r="I942" s="9"/>
      <c r="J942" s="9"/>
      <c r="K942" s="9"/>
      <c r="L942" s="9"/>
      <c r="M942" s="2"/>
      <c r="N942" s="2"/>
      <c r="O942" s="2"/>
      <c r="P942" s="2"/>
    </row>
    <row r="943" spans="1:16" ht="12.75">
      <c r="A943" s="334" t="s">
        <v>4554</v>
      </c>
      <c r="B943" s="334" t="s">
        <v>2650</v>
      </c>
      <c r="C943" s="332" t="s">
        <v>599</v>
      </c>
      <c r="D943" s="333" t="s">
        <v>2784</v>
      </c>
      <c r="E943" s="42"/>
      <c r="F943" s="9"/>
      <c r="G943" s="9"/>
      <c r="H943" s="9"/>
      <c r="I943" s="9"/>
      <c r="J943" s="9"/>
      <c r="K943" s="9"/>
      <c r="L943" s="9"/>
      <c r="M943" s="2"/>
      <c r="N943" s="2"/>
      <c r="O943" s="2"/>
      <c r="P943" s="2"/>
    </row>
    <row r="944" spans="1:16" ht="12.75">
      <c r="A944" s="334" t="s">
        <v>4589</v>
      </c>
      <c r="B944" s="334" t="s">
        <v>2791</v>
      </c>
      <c r="C944" s="332" t="s">
        <v>2793</v>
      </c>
      <c r="D944" s="395" t="s">
        <v>2794</v>
      </c>
      <c r="E944" s="42"/>
      <c r="F944" s="9"/>
      <c r="G944" s="9"/>
      <c r="H944" s="9"/>
      <c r="I944" s="9"/>
      <c r="J944" s="9"/>
      <c r="K944" s="9"/>
      <c r="L944" s="9"/>
      <c r="M944" s="2"/>
      <c r="N944" s="2"/>
      <c r="O944" s="2"/>
      <c r="P944" s="2"/>
    </row>
    <row r="945" spans="1:16" ht="12.75">
      <c r="A945" s="331" t="s">
        <v>4552</v>
      </c>
      <c r="B945" s="331" t="s">
        <v>2798</v>
      </c>
      <c r="C945" s="332" t="s">
        <v>732</v>
      </c>
      <c r="D945" s="333" t="s">
        <v>2801</v>
      </c>
      <c r="E945" s="42"/>
      <c r="F945" s="9"/>
      <c r="G945" s="9"/>
      <c r="H945" s="9"/>
      <c r="I945" s="9"/>
      <c r="J945" s="9"/>
      <c r="K945" s="9"/>
      <c r="L945" s="9"/>
      <c r="M945" s="2"/>
      <c r="N945" s="2"/>
      <c r="O945" s="2"/>
      <c r="P945" s="2"/>
    </row>
    <row r="946" spans="1:16" ht="12.75">
      <c r="A946" s="331" t="s">
        <v>4572</v>
      </c>
      <c r="B946" s="331" t="s">
        <v>2808</v>
      </c>
      <c r="C946" s="332" t="s">
        <v>237</v>
      </c>
      <c r="D946" s="333" t="s">
        <v>3008</v>
      </c>
      <c r="E946" s="42"/>
      <c r="F946" s="9"/>
      <c r="G946" s="9"/>
      <c r="H946" s="9"/>
      <c r="I946" s="9"/>
      <c r="J946" s="9"/>
      <c r="K946" s="9"/>
      <c r="L946" s="9"/>
      <c r="M946" s="2"/>
      <c r="N946" s="2"/>
      <c r="O946" s="2"/>
      <c r="P946" s="2"/>
    </row>
    <row r="947" spans="1:16" ht="12.75">
      <c r="A947" s="334" t="s">
        <v>4552</v>
      </c>
      <c r="B947" s="334" t="s">
        <v>2812</v>
      </c>
      <c r="C947" s="332" t="s">
        <v>218</v>
      </c>
      <c r="D947" s="333" t="s">
        <v>2814</v>
      </c>
      <c r="E947" s="42"/>
      <c r="F947" s="9"/>
      <c r="G947" s="9"/>
      <c r="H947" s="9"/>
      <c r="I947" s="9"/>
      <c r="J947" s="9"/>
      <c r="K947" s="9"/>
      <c r="L947" s="9"/>
      <c r="M947" s="2"/>
      <c r="N947" s="2"/>
      <c r="O947" s="2"/>
      <c r="P947" s="2"/>
    </row>
    <row r="948" spans="1:16" ht="15">
      <c r="A948" s="331" t="s">
        <v>4560</v>
      </c>
      <c r="B948" s="331" t="s">
        <v>2817</v>
      </c>
      <c r="C948" s="332" t="s">
        <v>2819</v>
      </c>
      <c r="D948" s="397" t="s">
        <v>2820</v>
      </c>
      <c r="E948" s="42"/>
      <c r="F948" s="9"/>
      <c r="G948" s="9"/>
      <c r="H948" s="9"/>
      <c r="I948" s="9"/>
      <c r="J948" s="9"/>
      <c r="K948" s="9"/>
      <c r="L948" s="9"/>
      <c r="M948" s="2"/>
      <c r="N948" s="2"/>
      <c r="O948" s="2"/>
      <c r="P948" s="2"/>
    </row>
    <row r="949" spans="1:16" ht="15">
      <c r="A949" s="334" t="s">
        <v>4551</v>
      </c>
      <c r="B949" s="334" t="s">
        <v>2824</v>
      </c>
      <c r="C949" s="332" t="s">
        <v>2826</v>
      </c>
      <c r="D949" s="397" t="s">
        <v>2827</v>
      </c>
      <c r="E949" s="42"/>
      <c r="F949" s="9"/>
      <c r="G949" s="9"/>
      <c r="H949" s="9"/>
      <c r="I949" s="9"/>
      <c r="J949" s="9"/>
      <c r="K949" s="9"/>
      <c r="L949" s="9"/>
      <c r="M949" s="2"/>
      <c r="N949" s="2"/>
      <c r="O949" s="2"/>
      <c r="P949" s="2"/>
    </row>
    <row r="950" spans="1:16" ht="12.75">
      <c r="A950" s="331" t="s">
        <v>4547</v>
      </c>
      <c r="B950" s="331" t="s">
        <v>3011</v>
      </c>
      <c r="C950" s="332" t="s">
        <v>100</v>
      </c>
      <c r="D950" s="333" t="s">
        <v>3013</v>
      </c>
      <c r="E950" s="42"/>
      <c r="F950" s="9"/>
      <c r="G950" s="9"/>
      <c r="H950" s="9"/>
      <c r="I950" s="9"/>
      <c r="J950" s="9"/>
      <c r="K950" s="9"/>
      <c r="L950" s="9"/>
      <c r="M950" s="2"/>
      <c r="N950" s="2"/>
      <c r="O950" s="2"/>
      <c r="P950" s="2"/>
    </row>
    <row r="951" spans="1:16" ht="12.75">
      <c r="A951" s="334" t="s">
        <v>4554</v>
      </c>
      <c r="B951" s="334" t="s">
        <v>718</v>
      </c>
      <c r="C951" s="332" t="s">
        <v>59</v>
      </c>
      <c r="D951" s="333" t="s">
        <v>720</v>
      </c>
      <c r="E951" s="42"/>
      <c r="F951" s="9"/>
      <c r="G951" s="9"/>
      <c r="H951" s="9"/>
      <c r="I951" s="9"/>
      <c r="J951" s="9"/>
      <c r="K951" s="9"/>
      <c r="L951" s="9"/>
      <c r="M951" s="2"/>
      <c r="N951" s="2"/>
      <c r="O951" s="2"/>
      <c r="P951" s="2"/>
    </row>
    <row r="952" spans="1:16" ht="12.75">
      <c r="A952" s="334" t="s">
        <v>4553</v>
      </c>
      <c r="B952" s="334" t="s">
        <v>2882</v>
      </c>
      <c r="C952" s="332" t="s">
        <v>93</v>
      </c>
      <c r="D952" s="333" t="s">
        <v>2884</v>
      </c>
      <c r="E952" s="42"/>
      <c r="F952" s="9"/>
      <c r="G952" s="9"/>
      <c r="H952" s="9"/>
      <c r="I952" s="9"/>
      <c r="J952" s="9"/>
      <c r="K952" s="9"/>
      <c r="L952" s="9"/>
      <c r="M952" s="2"/>
      <c r="N952" s="2"/>
      <c r="O952" s="2"/>
      <c r="P952" s="2"/>
    </row>
    <row r="953" spans="1:16" ht="12.75">
      <c r="A953" s="331" t="s">
        <v>4551</v>
      </c>
      <c r="B953" s="331" t="s">
        <v>3022</v>
      </c>
      <c r="C953" s="332" t="s">
        <v>59</v>
      </c>
      <c r="D953" s="333" t="s">
        <v>3024</v>
      </c>
      <c r="E953" s="42"/>
      <c r="F953" s="9"/>
      <c r="G953" s="9"/>
      <c r="H953" s="9"/>
      <c r="I953" s="9"/>
      <c r="J953" s="9"/>
      <c r="K953" s="9"/>
      <c r="L953" s="9"/>
      <c r="M953" s="2"/>
      <c r="N953" s="2"/>
      <c r="O953" s="2"/>
      <c r="P953" s="2"/>
    </row>
    <row r="954" spans="1:16" ht="12.75">
      <c r="A954" s="335" t="s">
        <v>4552</v>
      </c>
      <c r="B954" s="334" t="s">
        <v>2930</v>
      </c>
      <c r="C954" s="332" t="s">
        <v>269</v>
      </c>
      <c r="D954" s="333" t="s">
        <v>2932</v>
      </c>
      <c r="E954" s="42"/>
      <c r="F954" s="9"/>
      <c r="G954" s="9"/>
      <c r="H954" s="9"/>
      <c r="I954" s="9"/>
      <c r="J954" s="9"/>
      <c r="K954" s="9"/>
      <c r="L954" s="9"/>
      <c r="M954" s="2"/>
      <c r="N954" s="2"/>
      <c r="O954" s="2"/>
      <c r="P954" s="2"/>
    </row>
    <row r="955" spans="1:16" ht="12.75">
      <c r="A955" s="334" t="s">
        <v>2894</v>
      </c>
      <c r="B955" s="334" t="s">
        <v>3031</v>
      </c>
      <c r="C955" s="332" t="s">
        <v>269</v>
      </c>
      <c r="D955" s="333" t="s">
        <v>3033</v>
      </c>
      <c r="E955" s="42"/>
      <c r="F955" s="9"/>
      <c r="G955" s="9"/>
      <c r="H955" s="9"/>
      <c r="I955" s="9"/>
      <c r="J955" s="9"/>
      <c r="K955" s="9"/>
      <c r="L955" s="9"/>
      <c r="M955" s="2"/>
      <c r="N955" s="2"/>
      <c r="O955" s="2"/>
      <c r="P955" s="2"/>
    </row>
    <row r="956" spans="1:16" ht="12.75">
      <c r="A956" s="331" t="s">
        <v>4552</v>
      </c>
      <c r="B956" s="331" t="s">
        <v>3036</v>
      </c>
      <c r="C956" s="332" t="s">
        <v>1876</v>
      </c>
      <c r="D956" s="333" t="s">
        <v>3037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spans="1:16" ht="12.75">
      <c r="A957" s="334" t="s">
        <v>4553</v>
      </c>
      <c r="B957" s="334" t="s">
        <v>3040</v>
      </c>
      <c r="C957" s="332" t="s">
        <v>599</v>
      </c>
      <c r="D957" s="333" t="s">
        <v>3042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spans="1:16" ht="12.75">
      <c r="A958" s="331" t="s">
        <v>4572</v>
      </c>
      <c r="B958" s="331" t="s">
        <v>3045</v>
      </c>
      <c r="C958" s="332" t="s">
        <v>269</v>
      </c>
      <c r="D958" s="333" t="s">
        <v>3047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spans="1:16" ht="12.75">
      <c r="A959" s="334" t="s">
        <v>4562</v>
      </c>
      <c r="B959" s="334" t="s">
        <v>3050</v>
      </c>
      <c r="C959" s="332" t="s">
        <v>3052</v>
      </c>
      <c r="D959" s="333" t="s">
        <v>3054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spans="1:16" ht="12.75">
      <c r="A960" s="331" t="s">
        <v>4548</v>
      </c>
      <c r="B960" s="331" t="s">
        <v>3057</v>
      </c>
      <c r="C960" s="332" t="s">
        <v>1886</v>
      </c>
      <c r="D960" s="333" t="s">
        <v>3059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spans="1:16" ht="12.75">
      <c r="A961" s="334" t="s">
        <v>4547</v>
      </c>
      <c r="B961" s="334" t="s">
        <v>3062</v>
      </c>
      <c r="C961" s="332" t="s">
        <v>269</v>
      </c>
      <c r="D961" s="333" t="s">
        <v>3013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spans="1:16" ht="12.75">
      <c r="A962" s="334" t="s">
        <v>4551</v>
      </c>
      <c r="B962" s="334" t="s">
        <v>3036</v>
      </c>
      <c r="C962" s="332" t="s">
        <v>1876</v>
      </c>
      <c r="D962" s="333" t="s">
        <v>3037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spans="1:16" ht="12.75">
      <c r="A963" s="331" t="s">
        <v>4547</v>
      </c>
      <c r="B963" s="331" t="s">
        <v>3074</v>
      </c>
      <c r="C963" s="332" t="s">
        <v>3076</v>
      </c>
      <c r="D963" s="333" t="s">
        <v>3077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spans="1:16" ht="12.75">
      <c r="A964" s="331" t="s">
        <v>4554</v>
      </c>
      <c r="B964" s="331" t="s">
        <v>3082</v>
      </c>
      <c r="C964" s="332" t="s">
        <v>3084</v>
      </c>
      <c r="D964" s="333" t="s">
        <v>1805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spans="1:16" ht="12.75">
      <c r="A965" s="334" t="s">
        <v>4551</v>
      </c>
      <c r="B965" s="334" t="s">
        <v>3087</v>
      </c>
      <c r="C965" s="332" t="s">
        <v>218</v>
      </c>
      <c r="D965" s="333" t="s">
        <v>3089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spans="1:16" ht="12.75">
      <c r="A966" s="331" t="s">
        <v>4560</v>
      </c>
      <c r="B966" s="331" t="s">
        <v>3092</v>
      </c>
      <c r="C966" s="332" t="s">
        <v>269</v>
      </c>
      <c r="D966" s="333" t="s">
        <v>3094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spans="1:16" ht="12.75">
      <c r="A967" s="334" t="s">
        <v>2894</v>
      </c>
      <c r="B967" s="334" t="s">
        <v>3097</v>
      </c>
      <c r="C967" s="332" t="s">
        <v>203</v>
      </c>
      <c r="D967" s="333" t="s">
        <v>1710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spans="1:16" ht="12.75">
      <c r="A968" s="331" t="s">
        <v>4552</v>
      </c>
      <c r="B968" s="331" t="s">
        <v>3101</v>
      </c>
      <c r="C968" s="332" t="s">
        <v>59</v>
      </c>
      <c r="D968" s="333" t="s">
        <v>612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spans="1:16" ht="12.75">
      <c r="A969" s="334" t="s">
        <v>4552</v>
      </c>
      <c r="B969" s="334" t="s">
        <v>2531</v>
      </c>
      <c r="C969" s="332" t="s">
        <v>599</v>
      </c>
      <c r="D969" s="333" t="s">
        <v>3106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spans="1:16" ht="12.75">
      <c r="A970" s="331" t="s">
        <v>4560</v>
      </c>
      <c r="B970" s="331" t="s">
        <v>927</v>
      </c>
      <c r="C970" s="332" t="s">
        <v>385</v>
      </c>
      <c r="D970" s="333" t="s">
        <v>930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spans="1:16" ht="12.75">
      <c r="A971" s="334" t="s">
        <v>4560</v>
      </c>
      <c r="B971" s="334" t="s">
        <v>3112</v>
      </c>
      <c r="C971" s="332" t="s">
        <v>495</v>
      </c>
      <c r="D971" s="333" t="s">
        <v>496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spans="1:16" ht="12.75">
      <c r="A972" s="331" t="s">
        <v>4577</v>
      </c>
      <c r="B972" s="331" t="s">
        <v>3117</v>
      </c>
      <c r="C972" s="332" t="s">
        <v>3119</v>
      </c>
      <c r="D972" s="333" t="s">
        <v>3120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spans="1:16" ht="12.75">
      <c r="A973" s="334" t="s">
        <v>4560</v>
      </c>
      <c r="B973" s="334" t="s">
        <v>1283</v>
      </c>
      <c r="C973" s="332" t="s">
        <v>237</v>
      </c>
      <c r="D973" s="333" t="s">
        <v>1285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spans="1:16" ht="12.75">
      <c r="A974" s="331" t="s">
        <v>4552</v>
      </c>
      <c r="B974" s="331" t="s">
        <v>3130</v>
      </c>
      <c r="C974" s="332" t="s">
        <v>2017</v>
      </c>
      <c r="D974" s="333" t="s">
        <v>1877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spans="1:16" ht="19.5" customHeight="1">
      <c r="A975" s="334" t="s">
        <v>4551</v>
      </c>
      <c r="B975" s="334" t="s">
        <v>3134</v>
      </c>
      <c r="C975" s="332" t="s">
        <v>786</v>
      </c>
      <c r="D975" s="333" t="s">
        <v>3136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spans="1:16" ht="12.75">
      <c r="A976" s="334" t="s">
        <v>4554</v>
      </c>
      <c r="B976" s="334" t="s">
        <v>3040</v>
      </c>
      <c r="C976" s="332" t="s">
        <v>599</v>
      </c>
      <c r="D976" s="333" t="s">
        <v>3145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spans="1:16" ht="12.75">
      <c r="A977" s="334" t="s">
        <v>4563</v>
      </c>
      <c r="B977" s="334" t="s">
        <v>3151</v>
      </c>
      <c r="C977" s="332" t="s">
        <v>237</v>
      </c>
      <c r="D977" s="333" t="s">
        <v>1101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spans="1:16" ht="12.75">
      <c r="A978" s="334" t="s">
        <v>4560</v>
      </c>
      <c r="B978" s="334" t="s">
        <v>3159</v>
      </c>
      <c r="C978" s="332" t="s">
        <v>3161</v>
      </c>
      <c r="D978" s="333" t="s">
        <v>3162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spans="1:16" ht="12.75">
      <c r="A979" s="334" t="s">
        <v>4550</v>
      </c>
      <c r="B979" s="334" t="s">
        <v>3168</v>
      </c>
      <c r="C979" s="332" t="s">
        <v>65</v>
      </c>
      <c r="D979" s="333" t="s">
        <v>3170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spans="1:16" ht="12.75">
      <c r="A980" s="331" t="s">
        <v>4572</v>
      </c>
      <c r="B980" s="331" t="s">
        <v>3174</v>
      </c>
      <c r="C980" s="332" t="s">
        <v>3176</v>
      </c>
      <c r="D980" s="333" t="s">
        <v>3177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spans="1:16" ht="12.75">
      <c r="A981" s="331" t="s">
        <v>4552</v>
      </c>
      <c r="B981" s="331" t="s">
        <v>2863</v>
      </c>
      <c r="C981" s="332" t="s">
        <v>1793</v>
      </c>
      <c r="D981" s="333" t="s">
        <v>2865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spans="1:16" ht="12.75">
      <c r="A982" s="331" t="s">
        <v>4550</v>
      </c>
      <c r="B982" s="331" t="s">
        <v>3196</v>
      </c>
      <c r="C982" s="332" t="s">
        <v>2906</v>
      </c>
      <c r="D982" s="333" t="s">
        <v>2907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spans="1:16" ht="12.75">
      <c r="A983" s="334" t="s">
        <v>4554</v>
      </c>
      <c r="B983" s="334" t="s">
        <v>3210</v>
      </c>
      <c r="C983" s="332" t="s">
        <v>3212</v>
      </c>
      <c r="D983" s="333" t="s">
        <v>3214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spans="1:16" ht="12.75">
      <c r="A984" s="331" t="s">
        <v>4546</v>
      </c>
      <c r="B984" s="331" t="s">
        <v>3218</v>
      </c>
      <c r="C984" s="332" t="s">
        <v>237</v>
      </c>
      <c r="D984" s="333" t="s">
        <v>3220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spans="1:16" ht="18.75" customHeight="1">
      <c r="A985" s="334" t="s">
        <v>4560</v>
      </c>
      <c r="B985" s="334" t="s">
        <v>3223</v>
      </c>
      <c r="C985" s="332" t="s">
        <v>59</v>
      </c>
      <c r="D985" s="333" t="s">
        <v>3225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spans="1:16" ht="18" customHeight="1">
      <c r="A986" s="331" t="s">
        <v>4547</v>
      </c>
      <c r="B986" s="331" t="s">
        <v>3227</v>
      </c>
      <c r="C986" s="332" t="s">
        <v>3005</v>
      </c>
      <c r="D986" s="333" t="s">
        <v>411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spans="1:16" ht="12.75">
      <c r="A987" s="334" t="s">
        <v>4554</v>
      </c>
      <c r="B987" s="334" t="s">
        <v>3243</v>
      </c>
      <c r="C987" s="332" t="s">
        <v>763</v>
      </c>
      <c r="D987" s="333" t="s">
        <v>101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spans="1:16" ht="12.75">
      <c r="A988" s="331" t="s">
        <v>4547</v>
      </c>
      <c r="B988" s="331" t="s">
        <v>3139</v>
      </c>
      <c r="C988" s="332" t="s">
        <v>218</v>
      </c>
      <c r="D988" s="333" t="s">
        <v>379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spans="1:16" ht="12.75">
      <c r="A989" s="334" t="s">
        <v>4553</v>
      </c>
      <c r="B989" s="334" t="s">
        <v>548</v>
      </c>
      <c r="C989" s="332" t="s">
        <v>550</v>
      </c>
      <c r="D989" s="333" t="s">
        <v>551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spans="1:16" ht="18">
      <c r="A990" s="331" t="s">
        <v>4550</v>
      </c>
      <c r="B990" s="331" t="s">
        <v>3258</v>
      </c>
      <c r="C990" s="332" t="s">
        <v>3260</v>
      </c>
      <c r="D990" s="398" t="s">
        <v>3262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spans="1:16" ht="12.75">
      <c r="A991" s="331" t="s">
        <v>4545</v>
      </c>
      <c r="B991" s="331" t="s">
        <v>3269</v>
      </c>
      <c r="C991" s="332" t="s">
        <v>1461</v>
      </c>
      <c r="D991" s="333" t="s">
        <v>3272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spans="1:16" ht="12.75">
      <c r="A992" s="334" t="s">
        <v>4545</v>
      </c>
      <c r="B992" s="334" t="s">
        <v>3275</v>
      </c>
      <c r="C992" s="333" t="s">
        <v>3277</v>
      </c>
      <c r="D992" s="333" t="s">
        <v>3278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spans="1:16" ht="12.75">
      <c r="A993" s="331" t="s">
        <v>4545</v>
      </c>
      <c r="B993" s="331" t="s">
        <v>3269</v>
      </c>
      <c r="C993" s="332" t="s">
        <v>1461</v>
      </c>
      <c r="D993" s="333" t="s">
        <v>3272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spans="1:16" ht="12.75">
      <c r="A994" s="334" t="s">
        <v>4574</v>
      </c>
      <c r="B994" s="334" t="s">
        <v>3284</v>
      </c>
      <c r="C994" s="332" t="s">
        <v>3286</v>
      </c>
      <c r="D994" s="333" t="s">
        <v>3287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spans="1:16" ht="12.75">
      <c r="A995" s="331" t="s">
        <v>4554</v>
      </c>
      <c r="B995" s="331" t="s">
        <v>3290</v>
      </c>
      <c r="C995" s="332" t="s">
        <v>3292</v>
      </c>
      <c r="D995" s="333" t="s">
        <v>3293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spans="1:16" ht="15">
      <c r="A996" s="399" t="s">
        <v>4547</v>
      </c>
      <c r="B996" s="331" t="s">
        <v>3304</v>
      </c>
      <c r="C996" s="333" t="s">
        <v>3306</v>
      </c>
      <c r="D996" s="400" t="s">
        <v>1101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spans="1:16" ht="12.75">
      <c r="A997" s="334" t="s">
        <v>4547</v>
      </c>
      <c r="B997" s="334" t="s">
        <v>3309</v>
      </c>
      <c r="C997" s="332" t="s">
        <v>3311</v>
      </c>
      <c r="D997" s="333" t="s">
        <v>3312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spans="1:16" ht="12.75">
      <c r="A998" s="331" t="s">
        <v>4554</v>
      </c>
      <c r="B998" s="331" t="s">
        <v>3316</v>
      </c>
      <c r="C998" s="332" t="s">
        <v>218</v>
      </c>
      <c r="D998" s="401" t="s">
        <v>298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spans="1:16" ht="12.75">
      <c r="A999" s="334" t="s">
        <v>4545</v>
      </c>
      <c r="B999" s="334" t="s">
        <v>3320</v>
      </c>
      <c r="C999" s="332" t="s">
        <v>2573</v>
      </c>
      <c r="D999" s="401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spans="1:16" ht="12.75">
      <c r="A1000" s="331" t="s">
        <v>4545</v>
      </c>
      <c r="B1000" s="331" t="s">
        <v>3324</v>
      </c>
      <c r="C1000" s="332" t="s">
        <v>650</v>
      </c>
      <c r="D1000" s="333" t="s">
        <v>3326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 spans="1:16" ht="12.75">
      <c r="A1001" s="334" t="s">
        <v>2245</v>
      </c>
      <c r="B1001" s="334" t="s">
        <v>3329</v>
      </c>
      <c r="C1001" s="332" t="s">
        <v>3331</v>
      </c>
      <c r="D1001" s="333" t="s">
        <v>3332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 spans="1:16" ht="12.75">
      <c r="A1002" s="331" t="s">
        <v>4557</v>
      </c>
      <c r="B1002" s="331" t="s">
        <v>3335</v>
      </c>
      <c r="C1002" s="332" t="s">
        <v>1940</v>
      </c>
      <c r="D1002" s="333" t="s">
        <v>3337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</row>
    <row r="1003" spans="1:16" ht="12.75">
      <c r="A1003" s="334" t="s">
        <v>4588</v>
      </c>
      <c r="B1003" s="334" t="s">
        <v>3340</v>
      </c>
      <c r="C1003" s="332" t="s">
        <v>3342</v>
      </c>
      <c r="D1003" s="333" t="s">
        <v>3343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</row>
    <row r="1004" spans="1:16" ht="12.75">
      <c r="A1004" s="331" t="s">
        <v>4572</v>
      </c>
      <c r="B1004" s="331" t="s">
        <v>3345</v>
      </c>
      <c r="C1004" s="332" t="s">
        <v>3346</v>
      </c>
      <c r="D1004" s="333" t="s">
        <v>1627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</row>
    <row r="1005" spans="1:16" ht="12.75">
      <c r="A1005" s="334" t="s">
        <v>4545</v>
      </c>
      <c r="B1005" s="334" t="s">
        <v>3349</v>
      </c>
      <c r="C1005" s="332" t="s">
        <v>3351</v>
      </c>
      <c r="D1005" s="333" t="s">
        <v>3352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</row>
    <row r="1006" spans="1:16" ht="12.75">
      <c r="A1006" s="331" t="s">
        <v>4562</v>
      </c>
      <c r="B1006" s="331" t="s">
        <v>3355</v>
      </c>
      <c r="C1006" s="332" t="s">
        <v>3357</v>
      </c>
      <c r="D1006" s="333" t="s">
        <v>3359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</row>
    <row r="1007" spans="1:16" ht="12.75">
      <c r="A1007" s="334" t="s">
        <v>4552</v>
      </c>
      <c r="B1007" s="334" t="s">
        <v>3362</v>
      </c>
      <c r="C1007" s="332" t="s">
        <v>3364</v>
      </c>
      <c r="D1007" s="333" t="s">
        <v>2348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</row>
    <row r="1008" spans="1:16" ht="12.75">
      <c r="A1008" s="331" t="s">
        <v>4552</v>
      </c>
      <c r="B1008" s="331" t="s">
        <v>3373</v>
      </c>
      <c r="C1008" s="332" t="s">
        <v>3375</v>
      </c>
      <c r="D1008" s="333" t="s">
        <v>112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</row>
    <row r="1009" spans="1:16" ht="12.75">
      <c r="A1009" s="334" t="s">
        <v>4560</v>
      </c>
      <c r="B1009" s="334" t="s">
        <v>3378</v>
      </c>
      <c r="C1009" s="332" t="s">
        <v>3380</v>
      </c>
      <c r="D1009" s="333" t="s">
        <v>3381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</row>
    <row r="1010" spans="1:16" ht="12.75">
      <c r="A1010" s="331" t="s">
        <v>4550</v>
      </c>
      <c r="B1010" s="331" t="s">
        <v>3384</v>
      </c>
      <c r="C1010" s="402" t="s">
        <v>41</v>
      </c>
      <c r="D1010" s="333" t="s">
        <v>224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</row>
    <row r="1011" spans="1:16" ht="12.75">
      <c r="A1011" s="331" t="s">
        <v>4587</v>
      </c>
      <c r="B1011" s="331" t="s">
        <v>3391</v>
      </c>
      <c r="C1011" s="332" t="s">
        <v>59</v>
      </c>
      <c r="D1011" s="333" t="s">
        <v>3393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</row>
    <row r="1012" spans="1:16" ht="12.75">
      <c r="A1012" s="334" t="s">
        <v>4587</v>
      </c>
      <c r="B1012" s="334" t="s">
        <v>3391</v>
      </c>
      <c r="C1012" s="332" t="s">
        <v>59</v>
      </c>
      <c r="D1012" s="333" t="s">
        <v>3397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</row>
    <row r="1013" spans="1:16" ht="12.75">
      <c r="A1013" s="331" t="s">
        <v>4562</v>
      </c>
      <c r="B1013" s="331" t="s">
        <v>342</v>
      </c>
      <c r="C1013" s="332" t="s">
        <v>356</v>
      </c>
      <c r="D1013" s="333" t="s">
        <v>3399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</row>
    <row r="1014" spans="1:16" ht="12.75">
      <c r="A1014" s="334" t="s">
        <v>4562</v>
      </c>
      <c r="B1014" s="334" t="s">
        <v>342</v>
      </c>
      <c r="C1014" s="332" t="s">
        <v>356</v>
      </c>
      <c r="D1014" s="333" t="s">
        <v>3399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</row>
    <row r="1015" spans="1:16" ht="12.75">
      <c r="A1015" s="331" t="s">
        <v>4550</v>
      </c>
      <c r="B1015" s="331" t="s">
        <v>3384</v>
      </c>
      <c r="C1015" s="332" t="s">
        <v>41</v>
      </c>
      <c r="D1015" s="333" t="s">
        <v>224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</row>
    <row r="1016" spans="1:16" ht="12.75">
      <c r="A1016" s="331" t="s">
        <v>425</v>
      </c>
      <c r="B1016" s="331" t="s">
        <v>3411</v>
      </c>
      <c r="C1016" s="332" t="s">
        <v>3412</v>
      </c>
      <c r="D1016" s="333" t="s">
        <v>1627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</row>
    <row r="1017" spans="1:16" ht="12.75">
      <c r="A1017" s="334" t="s">
        <v>4550</v>
      </c>
      <c r="B1017" s="334" t="s">
        <v>3415</v>
      </c>
      <c r="C1017" s="332" t="s">
        <v>3417</v>
      </c>
      <c r="D1017" s="333" t="s">
        <v>3418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</row>
    <row r="1018" spans="1:16" ht="12.75">
      <c r="A1018" s="334" t="s">
        <v>4554</v>
      </c>
      <c r="B1018" s="334" t="s">
        <v>3425</v>
      </c>
      <c r="C1018" s="332" t="s">
        <v>218</v>
      </c>
      <c r="D1018" s="333" t="s">
        <v>3427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</row>
    <row r="1019" spans="1:16" ht="12.75">
      <c r="A1019" s="331" t="s">
        <v>4548</v>
      </c>
      <c r="B1019" s="331" t="s">
        <v>3430</v>
      </c>
      <c r="C1019" s="332" t="s">
        <v>3432</v>
      </c>
      <c r="D1019" s="333" t="s">
        <v>3433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</row>
    <row r="1020" spans="1:16" ht="12.75">
      <c r="A1020" s="334" t="s">
        <v>4586</v>
      </c>
      <c r="B1020" s="334" t="s">
        <v>3436</v>
      </c>
      <c r="C1020" s="332" t="s">
        <v>3438</v>
      </c>
      <c r="D1020" s="333" t="s">
        <v>3439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</row>
    <row r="1021" spans="1:16" ht="12.75">
      <c r="A1021" s="331" t="s">
        <v>4572</v>
      </c>
      <c r="B1021" s="331" t="s">
        <v>3449</v>
      </c>
      <c r="C1021" s="332" t="s">
        <v>218</v>
      </c>
      <c r="D1021" s="333" t="s">
        <v>3451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</row>
    <row r="1022" spans="1:16" ht="12.75">
      <c r="A1022" s="334" t="s">
        <v>4562</v>
      </c>
      <c r="B1022" s="334" t="s">
        <v>3454</v>
      </c>
      <c r="C1022" s="332" t="s">
        <v>269</v>
      </c>
      <c r="D1022" s="333" t="s">
        <v>3456</v>
      </c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</row>
    <row r="1023" spans="1:16" ht="12.75">
      <c r="A1023" s="331" t="s">
        <v>4557</v>
      </c>
      <c r="B1023" s="331" t="s">
        <v>3459</v>
      </c>
      <c r="C1023" s="332" t="s">
        <v>269</v>
      </c>
      <c r="D1023" s="333" t="s">
        <v>3461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</row>
    <row r="1024" spans="1:16" ht="12.75">
      <c r="A1024" s="334" t="s">
        <v>4558</v>
      </c>
      <c r="B1024" s="334" t="s">
        <v>3464</v>
      </c>
      <c r="C1024" s="332" t="s">
        <v>2001</v>
      </c>
      <c r="D1024" s="333" t="s">
        <v>3466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</row>
    <row r="1025" spans="1:16" ht="12.75">
      <c r="A1025" s="331" t="s">
        <v>4558</v>
      </c>
      <c r="B1025" s="331" t="s">
        <v>3469</v>
      </c>
      <c r="C1025" s="332" t="s">
        <v>504</v>
      </c>
      <c r="D1025" s="333" t="s">
        <v>3471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</row>
    <row r="1026" spans="1:16" ht="12.75">
      <c r="A1026" s="334" t="s">
        <v>4558</v>
      </c>
      <c r="B1026" s="334" t="s">
        <v>3474</v>
      </c>
      <c r="C1026" s="332" t="s">
        <v>708</v>
      </c>
      <c r="D1026" s="333" t="s">
        <v>224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</row>
    <row r="1027" spans="1:16" ht="12.75">
      <c r="A1027" s="331" t="s">
        <v>4553</v>
      </c>
      <c r="B1027" s="331" t="s">
        <v>3477</v>
      </c>
      <c r="C1027" s="332" t="s">
        <v>1915</v>
      </c>
      <c r="D1027" s="333" t="s">
        <v>720</v>
      </c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</row>
    <row r="1028" spans="1:16" ht="12.75">
      <c r="A1028" s="334" t="s">
        <v>4554</v>
      </c>
      <c r="B1028" s="334" t="s">
        <v>3480</v>
      </c>
      <c r="C1028" s="332" t="s">
        <v>1939</v>
      </c>
      <c r="D1028" s="333" t="s">
        <v>3482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</row>
    <row r="1029" spans="1:16" ht="12.75">
      <c r="A1029" s="331" t="s">
        <v>4569</v>
      </c>
      <c r="B1029" s="331" t="s">
        <v>39</v>
      </c>
      <c r="C1029" s="332" t="s">
        <v>14</v>
      </c>
      <c r="D1029" s="333" t="s">
        <v>105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</row>
    <row r="1030" spans="1:16" ht="12.75">
      <c r="A1030" s="334" t="s">
        <v>4546</v>
      </c>
      <c r="B1030" s="334" t="s">
        <v>3506</v>
      </c>
      <c r="C1030" s="332" t="s">
        <v>1245</v>
      </c>
      <c r="D1030" s="333" t="s">
        <v>2997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</row>
    <row r="1031" spans="1:16" ht="12.75">
      <c r="A1031" s="331" t="s">
        <v>4545</v>
      </c>
      <c r="B1031" s="331" t="s">
        <v>3510</v>
      </c>
      <c r="C1031" s="332" t="s">
        <v>218</v>
      </c>
      <c r="D1031" s="333" t="s">
        <v>298</v>
      </c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</row>
    <row r="1032" spans="1:16" ht="12.75">
      <c r="A1032" s="331" t="s">
        <v>4554</v>
      </c>
      <c r="B1032" s="331" t="s">
        <v>3518</v>
      </c>
      <c r="C1032" s="332" t="s">
        <v>218</v>
      </c>
      <c r="D1032" s="333" t="s">
        <v>3520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</row>
    <row r="1033" spans="1:16" ht="12.75">
      <c r="A1033" s="334" t="s">
        <v>4553</v>
      </c>
      <c r="B1033" s="334" t="s">
        <v>3522</v>
      </c>
      <c r="C1033" s="332" t="s">
        <v>1357</v>
      </c>
      <c r="D1033" s="333" t="s">
        <v>370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</row>
    <row r="1034" spans="1:16" ht="12.75">
      <c r="A1034" s="331" t="s">
        <v>4554</v>
      </c>
      <c r="B1034" s="331" t="s">
        <v>3527</v>
      </c>
      <c r="C1034" s="332" t="s">
        <v>237</v>
      </c>
      <c r="D1034" s="333" t="s">
        <v>3529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</row>
    <row r="1035" spans="1:16" ht="12.75">
      <c r="A1035" s="331" t="s">
        <v>4546</v>
      </c>
      <c r="B1035" s="331" t="s">
        <v>3530</v>
      </c>
      <c r="C1035" s="333" t="s">
        <v>59</v>
      </c>
      <c r="D1035" s="333" t="s">
        <v>3531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</row>
    <row r="1036" spans="1:16" ht="12.75">
      <c r="A1036" s="334" t="s">
        <v>4547</v>
      </c>
      <c r="B1036" s="334" t="s">
        <v>3532</v>
      </c>
      <c r="C1036" s="332" t="s">
        <v>3005</v>
      </c>
      <c r="D1036" s="333" t="s">
        <v>411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</row>
    <row r="1037" spans="1:16" ht="12.75">
      <c r="A1037" s="331" t="s">
        <v>4552</v>
      </c>
      <c r="B1037" s="331" t="s">
        <v>1620</v>
      </c>
      <c r="C1037" s="332" t="s">
        <v>100</v>
      </c>
      <c r="D1037" s="333" t="s">
        <v>180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</row>
    <row r="1038" spans="1:16" ht="12.75">
      <c r="A1038" s="334" t="s">
        <v>4545</v>
      </c>
      <c r="B1038" s="334" t="s">
        <v>3533</v>
      </c>
      <c r="C1038" s="332" t="s">
        <v>100</v>
      </c>
      <c r="D1038" s="333" t="s">
        <v>2986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</row>
    <row r="1039" spans="1:16" ht="12.75">
      <c r="A1039" s="331" t="s">
        <v>4545</v>
      </c>
      <c r="B1039" s="331" t="s">
        <v>3534</v>
      </c>
      <c r="C1039" s="332" t="s">
        <v>100</v>
      </c>
      <c r="D1039" s="333" t="s">
        <v>3535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</row>
    <row r="1040" spans="1:16" ht="12.75">
      <c r="A1040" s="334" t="s">
        <v>4554</v>
      </c>
      <c r="B1040" s="334" t="s">
        <v>3536</v>
      </c>
      <c r="C1040" s="332" t="s">
        <v>3537</v>
      </c>
      <c r="D1040" s="333" t="s">
        <v>3538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</row>
    <row r="1041" spans="1:16" ht="12.75">
      <c r="A1041" s="334" t="s">
        <v>4554</v>
      </c>
      <c r="B1041" s="334" t="s">
        <v>3539</v>
      </c>
      <c r="C1041" s="332" t="s">
        <v>1218</v>
      </c>
      <c r="D1041" s="333" t="s">
        <v>3540</v>
      </c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</row>
    <row r="1042" spans="1:16" ht="12.75">
      <c r="A1042" s="331" t="s">
        <v>4553</v>
      </c>
      <c r="B1042" s="331" t="s">
        <v>3541</v>
      </c>
      <c r="C1042" s="332" t="s">
        <v>218</v>
      </c>
      <c r="D1042" s="333" t="s">
        <v>3542</v>
      </c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</row>
    <row r="1043" spans="1:16" ht="12.75">
      <c r="A1043" s="334" t="s">
        <v>4585</v>
      </c>
      <c r="B1043" s="334" t="s">
        <v>3543</v>
      </c>
      <c r="C1043" s="332" t="s">
        <v>3544</v>
      </c>
      <c r="D1043" s="333" t="s">
        <v>3545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</row>
    <row r="1044" spans="1:16" ht="12.75">
      <c r="A1044" s="331" t="s">
        <v>4560</v>
      </c>
      <c r="B1044" s="331" t="s">
        <v>3546</v>
      </c>
      <c r="C1044" s="332" t="s">
        <v>223</v>
      </c>
      <c r="D1044" s="333" t="s">
        <v>3547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</row>
    <row r="1045" spans="1:16" ht="12.75">
      <c r="A1045" s="331" t="s">
        <v>4553</v>
      </c>
      <c r="B1045" s="331" t="s">
        <v>3548</v>
      </c>
      <c r="C1045" s="332" t="s">
        <v>3549</v>
      </c>
      <c r="D1045" s="333" t="s">
        <v>3550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</row>
    <row r="1046" spans="1:16" ht="12.75">
      <c r="A1046" s="331" t="s">
        <v>4560</v>
      </c>
      <c r="B1046" s="331" t="s">
        <v>3551</v>
      </c>
      <c r="C1046" s="332" t="s">
        <v>887</v>
      </c>
      <c r="D1046" s="359" t="s">
        <v>3595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</row>
    <row r="1047" spans="1:16">
      <c r="A1047" s="407" t="s">
        <v>3793</v>
      </c>
      <c r="B1047" s="403" t="s">
        <v>3596</v>
      </c>
      <c r="C1047" s="404" t="s">
        <v>3683</v>
      </c>
      <c r="D1047" s="403" t="s">
        <v>1864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</row>
    <row r="1048" spans="1:16">
      <c r="A1048" s="407" t="s">
        <v>3793</v>
      </c>
      <c r="B1048" s="403" t="s">
        <v>3597</v>
      </c>
      <c r="C1048" s="404" t="s">
        <v>3684</v>
      </c>
      <c r="D1048" s="403" t="s">
        <v>3712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</row>
    <row r="1049" spans="1:16">
      <c r="A1049" s="407" t="s">
        <v>3793</v>
      </c>
      <c r="B1049" s="403" t="s">
        <v>3598</v>
      </c>
      <c r="C1049" s="404" t="s">
        <v>3685</v>
      </c>
      <c r="D1049" s="403" t="s">
        <v>3451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</row>
    <row r="1050" spans="1:16">
      <c r="A1050" s="407" t="s">
        <v>3793</v>
      </c>
      <c r="B1050" s="403" t="s">
        <v>3599</v>
      </c>
      <c r="C1050" s="404" t="s">
        <v>203</v>
      </c>
      <c r="D1050" s="403" t="s">
        <v>3713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</row>
    <row r="1051" spans="1:16">
      <c r="A1051" s="407" t="s">
        <v>3793</v>
      </c>
      <c r="B1051" s="403" t="s">
        <v>3600</v>
      </c>
      <c r="C1051" s="404" t="s">
        <v>218</v>
      </c>
      <c r="D1051" s="403" t="s">
        <v>3714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</row>
    <row r="1052" spans="1:16">
      <c r="A1052" s="407" t="s">
        <v>3793</v>
      </c>
      <c r="B1052" s="403" t="s">
        <v>3601</v>
      </c>
      <c r="C1052" s="404" t="s">
        <v>3686</v>
      </c>
      <c r="D1052" s="405" t="s">
        <v>3715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</row>
    <row r="1053" spans="1:16">
      <c r="A1053" s="407" t="s">
        <v>3793</v>
      </c>
      <c r="B1053" s="403" t="s">
        <v>3602</v>
      </c>
      <c r="C1053" s="404" t="s">
        <v>3687</v>
      </c>
      <c r="D1053" s="403" t="s">
        <v>3716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</row>
    <row r="1054" spans="1:16">
      <c r="A1054" s="407" t="s">
        <v>3793</v>
      </c>
      <c r="B1054" s="403" t="s">
        <v>956</v>
      </c>
      <c r="C1054" s="404" t="s">
        <v>489</v>
      </c>
      <c r="D1054" s="403" t="s">
        <v>3717</v>
      </c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</row>
    <row r="1055" spans="1:16">
      <c r="A1055" s="407" t="s">
        <v>3793</v>
      </c>
      <c r="B1055" s="403" t="s">
        <v>3603</v>
      </c>
      <c r="C1055" s="404" t="s">
        <v>218</v>
      </c>
      <c r="D1055" s="403" t="s">
        <v>3718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</row>
    <row r="1056" spans="1:16">
      <c r="A1056" s="407" t="s">
        <v>3793</v>
      </c>
      <c r="B1056" s="403" t="s">
        <v>3604</v>
      </c>
      <c r="C1056" s="404" t="s">
        <v>218</v>
      </c>
      <c r="D1056" s="405" t="s">
        <v>3719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</row>
    <row r="1057" spans="1:16">
      <c r="A1057" s="407" t="s">
        <v>3793</v>
      </c>
      <c r="B1057" s="403" t="s">
        <v>3605</v>
      </c>
      <c r="C1057" s="404" t="s">
        <v>2573</v>
      </c>
      <c r="D1057" s="403" t="s">
        <v>3720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</row>
    <row r="1058" spans="1:16">
      <c r="A1058" s="407" t="s">
        <v>3793</v>
      </c>
      <c r="B1058" s="403" t="s">
        <v>3606</v>
      </c>
      <c r="C1058" s="404" t="s">
        <v>2573</v>
      </c>
      <c r="D1058" s="403" t="s">
        <v>3721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</row>
    <row r="1059" spans="1:16">
      <c r="A1059" s="407" t="s">
        <v>3793</v>
      </c>
      <c r="B1059" s="403" t="s">
        <v>3607</v>
      </c>
      <c r="C1059" s="404" t="s">
        <v>3688</v>
      </c>
      <c r="D1059" s="403" t="s">
        <v>3722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</row>
    <row r="1060" spans="1:16">
      <c r="A1060" s="407" t="s">
        <v>3793</v>
      </c>
      <c r="B1060" s="403" t="s">
        <v>3608</v>
      </c>
      <c r="C1060" s="404" t="s">
        <v>218</v>
      </c>
      <c r="D1060" s="403" t="s">
        <v>3723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</row>
    <row r="1061" spans="1:16">
      <c r="A1061" s="407" t="s">
        <v>3793</v>
      </c>
      <c r="B1061" s="403" t="s">
        <v>3609</v>
      </c>
      <c r="C1061" s="404" t="s">
        <v>705</v>
      </c>
      <c r="D1061" s="403" t="s">
        <v>3724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</row>
    <row r="1062" spans="1:16">
      <c r="A1062" s="407" t="s">
        <v>3793</v>
      </c>
      <c r="B1062" s="403" t="s">
        <v>3610</v>
      </c>
      <c r="C1062" s="404" t="s">
        <v>1539</v>
      </c>
      <c r="D1062" s="403" t="s">
        <v>2402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</row>
    <row r="1063" spans="1:16">
      <c r="A1063" s="407" t="s">
        <v>3793</v>
      </c>
      <c r="B1063" s="403" t="s">
        <v>3611</v>
      </c>
      <c r="C1063" s="404" t="s">
        <v>218</v>
      </c>
      <c r="D1063" s="403" t="s">
        <v>3725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</row>
    <row r="1064" spans="1:16">
      <c r="A1064" s="407" t="s">
        <v>3793</v>
      </c>
      <c r="B1064" s="403" t="s">
        <v>3612</v>
      </c>
      <c r="C1064" s="404" t="s">
        <v>203</v>
      </c>
      <c r="D1064" s="403" t="s">
        <v>204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</row>
    <row r="1065" spans="1:16">
      <c r="A1065" s="407" t="s">
        <v>3793</v>
      </c>
      <c r="B1065" s="403" t="s">
        <v>3613</v>
      </c>
      <c r="C1065" s="404" t="s">
        <v>218</v>
      </c>
      <c r="D1065" s="403" t="s">
        <v>3726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</row>
    <row r="1066" spans="1:16">
      <c r="A1066" s="407" t="s">
        <v>3793</v>
      </c>
      <c r="B1066" s="403" t="s">
        <v>2021</v>
      </c>
      <c r="C1066" s="404" t="s">
        <v>218</v>
      </c>
      <c r="D1066" s="403" t="s">
        <v>3727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</row>
    <row r="1067" spans="1:16">
      <c r="A1067" s="407" t="s">
        <v>3793</v>
      </c>
      <c r="B1067" s="403" t="s">
        <v>3614</v>
      </c>
      <c r="C1067" s="404" t="s">
        <v>3689</v>
      </c>
      <c r="D1067" s="403" t="s">
        <v>3728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</row>
    <row r="1068" spans="1:16">
      <c r="A1068" s="407" t="s">
        <v>3793</v>
      </c>
      <c r="B1068" s="403" t="s">
        <v>3615</v>
      </c>
      <c r="C1068" s="404" t="s">
        <v>218</v>
      </c>
      <c r="D1068" s="403" t="s">
        <v>3729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</row>
    <row r="1069" spans="1:16">
      <c r="A1069" s="407" t="s">
        <v>3793</v>
      </c>
      <c r="B1069" s="403" t="s">
        <v>3616</v>
      </c>
      <c r="C1069" s="404">
        <v>90303</v>
      </c>
      <c r="D1069" s="403" t="s">
        <v>3730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</row>
    <row r="1070" spans="1:16">
      <c r="A1070" s="407" t="s">
        <v>3793</v>
      </c>
      <c r="B1070" s="403" t="s">
        <v>3617</v>
      </c>
      <c r="C1070" s="404" t="s">
        <v>14</v>
      </c>
      <c r="D1070" s="403" t="s">
        <v>3731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</row>
    <row r="1071" spans="1:16">
      <c r="A1071" s="407" t="s">
        <v>3793</v>
      </c>
      <c r="B1071" s="403" t="s">
        <v>3618</v>
      </c>
      <c r="C1071" s="404" t="s">
        <v>218</v>
      </c>
      <c r="D1071" s="405" t="s">
        <v>1927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</row>
    <row r="1072" spans="1:16">
      <c r="A1072" s="407" t="s">
        <v>3793</v>
      </c>
      <c r="B1072" s="403" t="s">
        <v>3619</v>
      </c>
      <c r="C1072" s="404" t="s">
        <v>1498</v>
      </c>
      <c r="D1072" s="403" t="s">
        <v>3732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</row>
    <row r="1073" spans="1:16">
      <c r="A1073" s="407" t="s">
        <v>3793</v>
      </c>
      <c r="B1073" s="403" t="s">
        <v>3620</v>
      </c>
      <c r="C1073" s="404" t="s">
        <v>218</v>
      </c>
      <c r="D1073" s="403" t="s">
        <v>3733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</row>
    <row r="1074" spans="1:16">
      <c r="A1074" s="407" t="s">
        <v>3793</v>
      </c>
      <c r="B1074" s="403" t="s">
        <v>3621</v>
      </c>
      <c r="C1074" s="404" t="s">
        <v>93</v>
      </c>
      <c r="D1074" s="405" t="s">
        <v>3734</v>
      </c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</row>
    <row r="1075" spans="1:16">
      <c r="A1075" s="407" t="s">
        <v>3793</v>
      </c>
      <c r="B1075" s="403" t="s">
        <v>3622</v>
      </c>
      <c r="C1075" s="404" t="s">
        <v>218</v>
      </c>
      <c r="D1075" s="405" t="s">
        <v>3735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</row>
    <row r="1076" spans="1:16">
      <c r="A1076" s="407" t="s">
        <v>3793</v>
      </c>
      <c r="B1076" s="403" t="s">
        <v>3623</v>
      </c>
      <c r="C1076" s="404" t="s">
        <v>218</v>
      </c>
      <c r="D1076" s="403" t="s">
        <v>3736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</row>
    <row r="1077" spans="1:16">
      <c r="A1077" s="407" t="s">
        <v>3793</v>
      </c>
      <c r="B1077" s="403" t="s">
        <v>3624</v>
      </c>
      <c r="C1077" s="404" t="s">
        <v>2017</v>
      </c>
      <c r="D1077" s="403" t="s">
        <v>1877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</row>
    <row r="1078" spans="1:16">
      <c r="A1078" s="407" t="s">
        <v>3793</v>
      </c>
      <c r="B1078" s="403" t="s">
        <v>3625</v>
      </c>
      <c r="C1078" s="404" t="s">
        <v>3690</v>
      </c>
      <c r="D1078" s="403" t="s">
        <v>3737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</row>
    <row r="1079" spans="1:16">
      <c r="A1079" s="407" t="s">
        <v>3793</v>
      </c>
      <c r="B1079" s="403" t="s">
        <v>3626</v>
      </c>
      <c r="C1079" s="404" t="s">
        <v>726</v>
      </c>
      <c r="D1079" s="405" t="s">
        <v>3738</v>
      </c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</row>
    <row r="1080" spans="1:16">
      <c r="A1080" s="407" t="s">
        <v>3793</v>
      </c>
      <c r="B1080" s="403" t="s">
        <v>3627</v>
      </c>
      <c r="C1080" s="404" t="s">
        <v>218</v>
      </c>
      <c r="D1080" s="403" t="s">
        <v>3739</v>
      </c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</row>
    <row r="1081" spans="1:16">
      <c r="A1081" s="407" t="s">
        <v>3793</v>
      </c>
      <c r="B1081" s="403" t="s">
        <v>3628</v>
      </c>
      <c r="C1081" s="404" t="s">
        <v>218</v>
      </c>
      <c r="D1081" s="403" t="s">
        <v>3740</v>
      </c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</row>
    <row r="1082" spans="1:16">
      <c r="A1082" s="407" t="s">
        <v>3793</v>
      </c>
      <c r="B1082" s="403" t="s">
        <v>3629</v>
      </c>
      <c r="C1082" s="404" t="s">
        <v>14</v>
      </c>
      <c r="D1082" s="403" t="s">
        <v>3741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</row>
    <row r="1083" spans="1:16">
      <c r="A1083" s="407" t="s">
        <v>3793</v>
      </c>
      <c r="B1083" s="403" t="s">
        <v>2646</v>
      </c>
      <c r="C1083" s="404" t="s">
        <v>3691</v>
      </c>
      <c r="D1083" s="403" t="s">
        <v>3742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</row>
    <row r="1084" spans="1:16">
      <c r="A1084" s="407" t="s">
        <v>3793</v>
      </c>
      <c r="B1084" s="403" t="s">
        <v>3630</v>
      </c>
      <c r="C1084" s="404" t="s">
        <v>3692</v>
      </c>
      <c r="D1084" s="405" t="s">
        <v>1240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</row>
    <row r="1085" spans="1:16">
      <c r="A1085" s="407" t="s">
        <v>3793</v>
      </c>
      <c r="B1085" s="403" t="s">
        <v>3631</v>
      </c>
      <c r="C1085" s="404" t="s">
        <v>1245</v>
      </c>
      <c r="D1085" s="403" t="s">
        <v>3743</v>
      </c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</row>
    <row r="1086" spans="1:16">
      <c r="A1086" s="407" t="s">
        <v>3793</v>
      </c>
      <c r="B1086" s="403" t="s">
        <v>3632</v>
      </c>
      <c r="C1086" s="404" t="s">
        <v>218</v>
      </c>
      <c r="D1086" s="403" t="s">
        <v>3744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</row>
    <row r="1087" spans="1:16">
      <c r="A1087" s="407" t="s">
        <v>3793</v>
      </c>
      <c r="B1087" s="403" t="s">
        <v>3633</v>
      </c>
      <c r="C1087" s="404" t="s">
        <v>218</v>
      </c>
      <c r="D1087" s="403" t="s">
        <v>3745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</row>
    <row r="1088" spans="1:16">
      <c r="A1088" s="407" t="s">
        <v>3793</v>
      </c>
      <c r="B1088" s="403" t="s">
        <v>3634</v>
      </c>
      <c r="C1088" s="404" t="s">
        <v>59</v>
      </c>
      <c r="D1088" s="403" t="s">
        <v>2212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</row>
    <row r="1089" spans="1:16">
      <c r="A1089" s="407" t="s">
        <v>3793</v>
      </c>
      <c r="B1089" s="403" t="s">
        <v>3635</v>
      </c>
      <c r="C1089" s="404" t="s">
        <v>59</v>
      </c>
      <c r="D1089" s="403" t="s">
        <v>3746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</row>
    <row r="1090" spans="1:16">
      <c r="A1090" s="407" t="s">
        <v>3793</v>
      </c>
      <c r="B1090" s="403" t="s">
        <v>3636</v>
      </c>
      <c r="C1090" s="404" t="s">
        <v>59</v>
      </c>
      <c r="D1090" s="403" t="s">
        <v>3747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</row>
    <row r="1091" spans="1:16">
      <c r="A1091" s="407" t="s">
        <v>3793</v>
      </c>
      <c r="B1091" s="403" t="s">
        <v>3637</v>
      </c>
      <c r="C1091" s="404" t="s">
        <v>218</v>
      </c>
      <c r="D1091" s="403" t="s">
        <v>3748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</row>
    <row r="1092" spans="1:16">
      <c r="A1092" s="407" t="s">
        <v>3793</v>
      </c>
      <c r="B1092" s="403" t="s">
        <v>3638</v>
      </c>
      <c r="C1092" s="404" t="s">
        <v>218</v>
      </c>
      <c r="D1092" s="405" t="s">
        <v>3749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</row>
    <row r="1093" spans="1:16">
      <c r="A1093" s="407" t="s">
        <v>3793</v>
      </c>
      <c r="B1093" s="403" t="s">
        <v>3639</v>
      </c>
      <c r="C1093" s="404" t="s">
        <v>218</v>
      </c>
      <c r="D1093" s="403" t="s">
        <v>3750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</row>
    <row r="1094" spans="1:16">
      <c r="A1094" s="407" t="s">
        <v>3793</v>
      </c>
      <c r="B1094" s="403" t="s">
        <v>3640</v>
      </c>
      <c r="C1094" s="404" t="s">
        <v>218</v>
      </c>
      <c r="D1094" s="403" t="s">
        <v>3751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</row>
    <row r="1095" spans="1:16">
      <c r="A1095" s="407" t="s">
        <v>3793</v>
      </c>
      <c r="B1095" s="403" t="s">
        <v>3641</v>
      </c>
      <c r="C1095" s="404" t="s">
        <v>3693</v>
      </c>
      <c r="D1095" s="403" t="s">
        <v>3752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</row>
    <row r="1096" spans="1:16">
      <c r="A1096" s="407" t="s">
        <v>3793</v>
      </c>
      <c r="B1096" s="403" t="s">
        <v>3642</v>
      </c>
      <c r="C1096" s="404" t="s">
        <v>3694</v>
      </c>
      <c r="D1096" s="403" t="s">
        <v>3753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</row>
    <row r="1097" spans="1:16">
      <c r="A1097" s="407" t="s">
        <v>3793</v>
      </c>
      <c r="B1097" s="403" t="s">
        <v>1700</v>
      </c>
      <c r="C1097" s="404" t="s">
        <v>726</v>
      </c>
      <c r="D1097" s="405" t="s">
        <v>3754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</row>
    <row r="1098" spans="1:16">
      <c r="A1098" s="407" t="s">
        <v>3793</v>
      </c>
      <c r="B1098" s="403" t="s">
        <v>3643</v>
      </c>
      <c r="C1098" s="404" t="s">
        <v>218</v>
      </c>
      <c r="D1098" s="403" t="s">
        <v>3755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</row>
    <row r="1099" spans="1:16">
      <c r="A1099" s="407" t="s">
        <v>3793</v>
      </c>
      <c r="B1099" s="403" t="s">
        <v>3644</v>
      </c>
      <c r="C1099" s="404" t="s">
        <v>218</v>
      </c>
      <c r="D1099" s="403" t="s">
        <v>3756</v>
      </c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</row>
    <row r="1100" spans="1:16">
      <c r="A1100" s="407" t="s">
        <v>3793</v>
      </c>
      <c r="B1100" s="403" t="s">
        <v>3645</v>
      </c>
      <c r="C1100" s="404" t="s">
        <v>3695</v>
      </c>
      <c r="D1100" s="405" t="s">
        <v>2482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</row>
    <row r="1101" spans="1:16">
      <c r="A1101" s="407" t="s">
        <v>3793</v>
      </c>
      <c r="B1101" s="403" t="s">
        <v>3646</v>
      </c>
      <c r="C1101" s="404" t="s">
        <v>218</v>
      </c>
      <c r="D1101" s="405" t="s">
        <v>3757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</row>
    <row r="1102" spans="1:16">
      <c r="A1102" s="407" t="s">
        <v>3793</v>
      </c>
      <c r="B1102" s="403" t="s">
        <v>3647</v>
      </c>
      <c r="C1102" s="404" t="s">
        <v>218</v>
      </c>
      <c r="D1102" s="405" t="s">
        <v>3758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</row>
    <row r="1103" spans="1:16">
      <c r="A1103" s="407" t="s">
        <v>3793</v>
      </c>
      <c r="B1103" s="403" t="s">
        <v>3648</v>
      </c>
      <c r="C1103" s="404" t="s">
        <v>1793</v>
      </c>
      <c r="D1103" s="403" t="s">
        <v>3759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</row>
    <row r="1104" spans="1:16">
      <c r="A1104" s="407" t="s">
        <v>3793</v>
      </c>
      <c r="B1104" s="403" t="s">
        <v>3649</v>
      </c>
      <c r="C1104" s="404" t="s">
        <v>3696</v>
      </c>
      <c r="D1104" s="403" t="s">
        <v>3760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</row>
    <row r="1105" spans="1:16">
      <c r="A1105" s="407" t="s">
        <v>3793</v>
      </c>
      <c r="B1105" s="403" t="s">
        <v>3650</v>
      </c>
      <c r="C1105" s="404" t="s">
        <v>3697</v>
      </c>
      <c r="D1105" s="405" t="s">
        <v>3761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</row>
    <row r="1106" spans="1:16">
      <c r="A1106" s="407" t="s">
        <v>3793</v>
      </c>
      <c r="B1106" s="403" t="s">
        <v>3651</v>
      </c>
      <c r="C1106" s="404" t="s">
        <v>3698</v>
      </c>
      <c r="D1106" s="403" t="s">
        <v>3762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</row>
    <row r="1107" spans="1:16">
      <c r="A1107" s="407" t="s">
        <v>3793</v>
      </c>
      <c r="B1107" s="403" t="s">
        <v>3652</v>
      </c>
      <c r="C1107" s="404" t="s">
        <v>59</v>
      </c>
      <c r="D1107" s="403" t="s">
        <v>3763</v>
      </c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</row>
    <row r="1108" spans="1:16">
      <c r="A1108" s="407" t="s">
        <v>3793</v>
      </c>
      <c r="B1108" s="403" t="s">
        <v>3653</v>
      </c>
      <c r="C1108" s="404" t="s">
        <v>3699</v>
      </c>
      <c r="D1108" s="403" t="s">
        <v>3764</v>
      </c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</row>
    <row r="1109" spans="1:16">
      <c r="A1109" s="407" t="s">
        <v>3793</v>
      </c>
      <c r="B1109" s="403" t="s">
        <v>3654</v>
      </c>
      <c r="C1109" s="404" t="s">
        <v>218</v>
      </c>
      <c r="D1109" s="406" t="s">
        <v>3765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</row>
    <row r="1110" spans="1:16">
      <c r="A1110" s="407" t="s">
        <v>3793</v>
      </c>
      <c r="B1110" s="403" t="s">
        <v>3655</v>
      </c>
      <c r="C1110" s="404" t="s">
        <v>218</v>
      </c>
      <c r="D1110" s="403" t="s">
        <v>1424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</row>
    <row r="1111" spans="1:16">
      <c r="A1111" s="407" t="s">
        <v>3793</v>
      </c>
      <c r="B1111" s="403" t="s">
        <v>3656</v>
      </c>
      <c r="C1111" s="404" t="s">
        <v>218</v>
      </c>
      <c r="D1111" s="405" t="s">
        <v>3766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</row>
    <row r="1112" spans="1:16">
      <c r="A1112" s="407" t="s">
        <v>3793</v>
      </c>
      <c r="B1112" s="403" t="s">
        <v>3657</v>
      </c>
      <c r="C1112" s="404" t="s">
        <v>3700</v>
      </c>
      <c r="D1112" s="405" t="s">
        <v>3767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</row>
    <row r="1113" spans="1:16">
      <c r="A1113" s="407" t="s">
        <v>3793</v>
      </c>
      <c r="B1113" s="403" t="s">
        <v>3658</v>
      </c>
      <c r="C1113" s="404" t="s">
        <v>3701</v>
      </c>
      <c r="D1113" s="403" t="s">
        <v>3768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</row>
    <row r="1114" spans="1:16">
      <c r="A1114" s="407" t="s">
        <v>3793</v>
      </c>
      <c r="B1114" s="403" t="s">
        <v>3659</v>
      </c>
      <c r="C1114" s="404" t="s">
        <v>3685</v>
      </c>
      <c r="D1114" s="405" t="s">
        <v>3769</v>
      </c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</row>
    <row r="1115" spans="1:16">
      <c r="A1115" s="407" t="s">
        <v>3793</v>
      </c>
      <c r="B1115" s="403" t="s">
        <v>3660</v>
      </c>
      <c r="C1115" s="404" t="s">
        <v>14</v>
      </c>
      <c r="D1115" s="403" t="s">
        <v>3770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</row>
    <row r="1116" spans="1:16">
      <c r="A1116" s="407" t="s">
        <v>3793</v>
      </c>
      <c r="B1116" s="403" t="s">
        <v>3661</v>
      </c>
      <c r="C1116" s="404" t="s">
        <v>218</v>
      </c>
      <c r="D1116" s="403" t="s">
        <v>3771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</row>
    <row r="1117" spans="1:16">
      <c r="A1117" s="407" t="s">
        <v>3793</v>
      </c>
      <c r="B1117" s="403" t="s">
        <v>3662</v>
      </c>
      <c r="C1117" s="404" t="s">
        <v>3702</v>
      </c>
      <c r="D1117" s="403" t="s">
        <v>3772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</row>
    <row r="1118" spans="1:16">
      <c r="A1118" s="407" t="s">
        <v>3793</v>
      </c>
      <c r="B1118" s="403" t="s">
        <v>3663</v>
      </c>
      <c r="C1118" s="404" t="s">
        <v>3692</v>
      </c>
      <c r="D1118" s="403" t="s">
        <v>3773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</row>
    <row r="1119" spans="1:16">
      <c r="A1119" s="407" t="s">
        <v>3793</v>
      </c>
      <c r="B1119" s="403" t="s">
        <v>3664</v>
      </c>
      <c r="C1119" s="404" t="s">
        <v>59</v>
      </c>
      <c r="D1119" s="403" t="s">
        <v>3774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</row>
    <row r="1120" spans="1:16">
      <c r="A1120" s="407" t="s">
        <v>3793</v>
      </c>
      <c r="B1120" s="403" t="s">
        <v>3665</v>
      </c>
      <c r="C1120" s="404" t="s">
        <v>3703</v>
      </c>
      <c r="D1120" s="403" t="s">
        <v>3775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</row>
    <row r="1121" spans="1:16">
      <c r="A1121" s="407" t="s">
        <v>3793</v>
      </c>
      <c r="B1121" s="403" t="s">
        <v>1350</v>
      </c>
      <c r="C1121" s="404" t="s">
        <v>3700</v>
      </c>
      <c r="D1121" s="403" t="s">
        <v>3776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</row>
    <row r="1122" spans="1:16">
      <c r="A1122" s="407" t="s">
        <v>3793</v>
      </c>
      <c r="B1122" s="403" t="s">
        <v>3666</v>
      </c>
      <c r="C1122" s="404" t="s">
        <v>203</v>
      </c>
      <c r="D1122" s="403" t="s">
        <v>3777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</row>
    <row r="1123" spans="1:16">
      <c r="A1123" s="407" t="s">
        <v>3793</v>
      </c>
      <c r="B1123" s="403" t="s">
        <v>3667</v>
      </c>
      <c r="C1123" s="404" t="s">
        <v>3704</v>
      </c>
      <c r="D1123" s="403" t="s">
        <v>3778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</row>
    <row r="1124" spans="1:16">
      <c r="A1124" s="407" t="s">
        <v>3793</v>
      </c>
      <c r="B1124" s="403" t="s">
        <v>3668</v>
      </c>
      <c r="C1124" s="404" t="s">
        <v>320</v>
      </c>
      <c r="D1124" s="403" t="s">
        <v>3779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</row>
    <row r="1125" spans="1:16">
      <c r="A1125" s="407" t="s">
        <v>3793</v>
      </c>
      <c r="B1125" s="403" t="s">
        <v>3669</v>
      </c>
      <c r="C1125" s="404" t="s">
        <v>1539</v>
      </c>
      <c r="D1125" s="403" t="s">
        <v>3780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</row>
    <row r="1126" spans="1:16">
      <c r="A1126" s="407" t="s">
        <v>3793</v>
      </c>
      <c r="B1126" s="403" t="s">
        <v>3670</v>
      </c>
      <c r="C1126" s="404" t="s">
        <v>3705</v>
      </c>
      <c r="D1126" s="403" t="s">
        <v>3781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</row>
    <row r="1127" spans="1:16">
      <c r="A1127" s="407" t="s">
        <v>3793</v>
      </c>
      <c r="B1127" s="403" t="s">
        <v>3671</v>
      </c>
      <c r="C1127" s="404" t="s">
        <v>218</v>
      </c>
      <c r="D1127" s="403" t="s">
        <v>3782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</row>
    <row r="1128" spans="1:16">
      <c r="A1128" s="407" t="s">
        <v>3793</v>
      </c>
      <c r="B1128" s="403" t="s">
        <v>3672</v>
      </c>
      <c r="C1128" s="404" t="s">
        <v>218</v>
      </c>
      <c r="D1128" s="403" t="s">
        <v>3783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</row>
    <row r="1129" spans="1:16">
      <c r="A1129" s="407" t="s">
        <v>3793</v>
      </c>
      <c r="B1129" s="403" t="s">
        <v>3673</v>
      </c>
      <c r="C1129" s="404" t="s">
        <v>3706</v>
      </c>
      <c r="D1129" s="405" t="s">
        <v>3784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</row>
    <row r="1130" spans="1:16">
      <c r="A1130" s="407" t="s">
        <v>3793</v>
      </c>
      <c r="B1130" s="403" t="s">
        <v>3674</v>
      </c>
      <c r="C1130" s="404" t="s">
        <v>3707</v>
      </c>
      <c r="D1130" s="405" t="s">
        <v>3785</v>
      </c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</row>
    <row r="1131" spans="1:16">
      <c r="A1131" s="407" t="s">
        <v>3793</v>
      </c>
      <c r="B1131" s="403" t="s">
        <v>3675</v>
      </c>
      <c r="C1131" s="404" t="s">
        <v>218</v>
      </c>
      <c r="D1131" s="403" t="s">
        <v>3786</v>
      </c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</row>
    <row r="1132" spans="1:16">
      <c r="A1132" s="407" t="s">
        <v>3793</v>
      </c>
      <c r="B1132" s="403" t="s">
        <v>3676</v>
      </c>
      <c r="C1132" s="404" t="s">
        <v>3708</v>
      </c>
      <c r="D1132" s="405" t="s">
        <v>3787</v>
      </c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</row>
    <row r="1133" spans="1:16">
      <c r="A1133" s="407" t="s">
        <v>3793</v>
      </c>
      <c r="B1133" s="403" t="s">
        <v>3677</v>
      </c>
      <c r="C1133" s="404" t="s">
        <v>3707</v>
      </c>
      <c r="D1133" s="405" t="s">
        <v>3788</v>
      </c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</row>
    <row r="1134" spans="1:16">
      <c r="A1134" s="407" t="s">
        <v>3793</v>
      </c>
      <c r="B1134" s="403" t="s">
        <v>3678</v>
      </c>
      <c r="C1134" s="404" t="s">
        <v>3709</v>
      </c>
      <c r="D1134" s="403" t="s">
        <v>3789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</row>
    <row r="1135" spans="1:16">
      <c r="A1135" s="407" t="s">
        <v>3793</v>
      </c>
      <c r="B1135" s="403" t="s">
        <v>2631</v>
      </c>
      <c r="C1135" s="404" t="s">
        <v>3695</v>
      </c>
      <c r="D1135" s="403" t="s">
        <v>180</v>
      </c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</row>
    <row r="1136" spans="1:16">
      <c r="A1136" s="407" t="s">
        <v>3793</v>
      </c>
      <c r="B1136" s="403" t="s">
        <v>3679</v>
      </c>
      <c r="C1136" s="404" t="s">
        <v>2017</v>
      </c>
      <c r="D1136" s="403" t="s">
        <v>3790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</row>
    <row r="1137" spans="1:16">
      <c r="A1137" s="407" t="s">
        <v>3793</v>
      </c>
      <c r="B1137" s="403" t="s">
        <v>3680</v>
      </c>
      <c r="C1137" s="404" t="s">
        <v>218</v>
      </c>
      <c r="D1137" s="405" t="s">
        <v>3791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</row>
    <row r="1138" spans="1:16">
      <c r="A1138" s="407" t="s">
        <v>3793</v>
      </c>
      <c r="B1138" s="403" t="s">
        <v>3681</v>
      </c>
      <c r="C1138" s="404" t="s">
        <v>3710</v>
      </c>
      <c r="D1138" s="403" t="s">
        <v>3792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</row>
    <row r="1139" spans="1:16">
      <c r="A1139" s="407" t="s">
        <v>3793</v>
      </c>
      <c r="B1139" s="403" t="s">
        <v>3682</v>
      </c>
      <c r="C1139" s="404" t="s">
        <v>3711</v>
      </c>
      <c r="D1139" s="403" t="s">
        <v>1566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</row>
    <row r="1140" spans="1:16">
      <c r="A1140" s="407" t="s">
        <v>4020</v>
      </c>
      <c r="B1140" s="408" t="s">
        <v>3794</v>
      </c>
      <c r="C1140" s="409" t="s">
        <v>3795</v>
      </c>
      <c r="D1140" s="408" t="s">
        <v>3796</v>
      </c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</row>
    <row r="1141" spans="1:16">
      <c r="A1141" s="407" t="s">
        <v>4020</v>
      </c>
      <c r="B1141" s="403" t="s">
        <v>3797</v>
      </c>
      <c r="C1141" s="404" t="s">
        <v>3798</v>
      </c>
      <c r="D1141" s="403" t="s">
        <v>3799</v>
      </c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</row>
    <row r="1142" spans="1:16">
      <c r="A1142" s="407" t="s">
        <v>4020</v>
      </c>
      <c r="B1142" s="403" t="s">
        <v>3800</v>
      </c>
      <c r="C1142" s="404" t="s">
        <v>3798</v>
      </c>
      <c r="D1142" s="403" t="s">
        <v>3801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</row>
    <row r="1143" spans="1:16">
      <c r="A1143" s="407" t="s">
        <v>4020</v>
      </c>
      <c r="B1143" s="403" t="s">
        <v>3802</v>
      </c>
      <c r="C1143" s="404" t="s">
        <v>3695</v>
      </c>
      <c r="D1143" s="403" t="s">
        <v>3803</v>
      </c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</row>
    <row r="1144" spans="1:16">
      <c r="A1144" s="407" t="s">
        <v>4020</v>
      </c>
      <c r="B1144" s="403" t="s">
        <v>3804</v>
      </c>
      <c r="C1144" s="404" t="s">
        <v>3805</v>
      </c>
      <c r="D1144" s="403" t="s">
        <v>3806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</row>
    <row r="1145" spans="1:16">
      <c r="A1145" s="407" t="s">
        <v>4020</v>
      </c>
      <c r="B1145" s="403" t="s">
        <v>3807</v>
      </c>
      <c r="C1145" s="404" t="s">
        <v>3808</v>
      </c>
      <c r="D1145" s="408" t="s">
        <v>3809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</row>
    <row r="1146" spans="1:16">
      <c r="A1146" s="407" t="s">
        <v>4020</v>
      </c>
      <c r="B1146" s="403" t="s">
        <v>3810</v>
      </c>
      <c r="C1146" s="404" t="s">
        <v>3811</v>
      </c>
      <c r="D1146" s="403" t="s">
        <v>3812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</row>
    <row r="1147" spans="1:16">
      <c r="A1147" s="407" t="s">
        <v>4020</v>
      </c>
      <c r="B1147" s="403" t="s">
        <v>3813</v>
      </c>
      <c r="C1147" s="404" t="s">
        <v>3814</v>
      </c>
      <c r="D1147" s="403" t="s">
        <v>3815</v>
      </c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</row>
    <row r="1148" spans="1:16">
      <c r="A1148" s="407" t="s">
        <v>4020</v>
      </c>
      <c r="B1148" s="403" t="s">
        <v>3816</v>
      </c>
      <c r="C1148" s="404" t="s">
        <v>3817</v>
      </c>
      <c r="D1148" s="403" t="s">
        <v>3818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</row>
    <row r="1149" spans="1:16">
      <c r="A1149" s="407" t="s">
        <v>4020</v>
      </c>
      <c r="B1149" s="403" t="s">
        <v>3819</v>
      </c>
      <c r="C1149" s="404" t="s">
        <v>3820</v>
      </c>
      <c r="D1149" s="403" t="s">
        <v>3821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</row>
    <row r="1150" spans="1:16">
      <c r="A1150" s="407" t="s">
        <v>4020</v>
      </c>
      <c r="B1150" s="403" t="s">
        <v>3822</v>
      </c>
      <c r="C1150" s="404" t="s">
        <v>3823</v>
      </c>
      <c r="D1150" s="403" t="s">
        <v>3824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</row>
    <row r="1151" spans="1:16">
      <c r="A1151" s="407" t="s">
        <v>4020</v>
      </c>
      <c r="B1151" s="403" t="s">
        <v>3825</v>
      </c>
      <c r="C1151" s="404" t="s">
        <v>3826</v>
      </c>
      <c r="D1151" s="403" t="s">
        <v>3827</v>
      </c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</row>
    <row r="1152" spans="1:16">
      <c r="A1152" s="407" t="s">
        <v>4020</v>
      </c>
      <c r="B1152" s="403" t="s">
        <v>3828</v>
      </c>
      <c r="C1152" s="404" t="s">
        <v>3829</v>
      </c>
      <c r="D1152" s="403" t="s">
        <v>3830</v>
      </c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</row>
    <row r="1153" spans="1:16">
      <c r="A1153" s="407" t="s">
        <v>4020</v>
      </c>
      <c r="B1153" s="403" t="s">
        <v>3831</v>
      </c>
      <c r="C1153" s="404" t="s">
        <v>3832</v>
      </c>
      <c r="D1153" s="403" t="s">
        <v>3833</v>
      </c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</row>
    <row r="1154" spans="1:16">
      <c r="A1154" s="407" t="s">
        <v>4020</v>
      </c>
      <c r="B1154" s="403" t="s">
        <v>3834</v>
      </c>
      <c r="C1154" s="404" t="s">
        <v>3835</v>
      </c>
      <c r="D1154" s="403" t="s">
        <v>3836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</row>
    <row r="1155" spans="1:16">
      <c r="A1155" s="407" t="s">
        <v>4020</v>
      </c>
      <c r="B1155" s="403" t="s">
        <v>3837</v>
      </c>
      <c r="C1155" s="404" t="s">
        <v>3838</v>
      </c>
      <c r="D1155" s="403" t="s">
        <v>3839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</row>
    <row r="1156" spans="1:16">
      <c r="A1156" s="407" t="s">
        <v>4020</v>
      </c>
      <c r="B1156" s="403" t="s">
        <v>3840</v>
      </c>
      <c r="C1156" s="404" t="s">
        <v>3841</v>
      </c>
      <c r="D1156" s="403" t="s">
        <v>3842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</row>
    <row r="1157" spans="1:16">
      <c r="A1157" s="407" t="s">
        <v>4020</v>
      </c>
      <c r="B1157" s="403" t="s">
        <v>3843</v>
      </c>
      <c r="C1157" s="404" t="s">
        <v>3844</v>
      </c>
      <c r="D1157" s="403" t="s">
        <v>411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</row>
    <row r="1158" spans="1:16">
      <c r="A1158" s="407" t="s">
        <v>4020</v>
      </c>
      <c r="B1158" s="403" t="s">
        <v>3845</v>
      </c>
      <c r="C1158" s="404" t="s">
        <v>3846</v>
      </c>
      <c r="D1158" s="403" t="s">
        <v>3847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</row>
    <row r="1159" spans="1:16">
      <c r="A1159" s="407" t="s">
        <v>4020</v>
      </c>
      <c r="B1159" s="410" t="s">
        <v>3848</v>
      </c>
      <c r="C1159" s="411" t="s">
        <v>3849</v>
      </c>
      <c r="D1159" s="410" t="s">
        <v>3850</v>
      </c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</row>
    <row r="1160" spans="1:16">
      <c r="A1160" s="407" t="s">
        <v>4020</v>
      </c>
      <c r="B1160" s="403" t="s">
        <v>3851</v>
      </c>
      <c r="C1160" s="404" t="s">
        <v>3852</v>
      </c>
      <c r="D1160" s="403" t="s">
        <v>3853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</row>
    <row r="1161" spans="1:16">
      <c r="A1161" s="407" t="s">
        <v>4020</v>
      </c>
      <c r="B1161" s="403" t="s">
        <v>3854</v>
      </c>
      <c r="C1161" s="404" t="s">
        <v>3855</v>
      </c>
      <c r="D1161" s="403" t="s">
        <v>3856</v>
      </c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</row>
    <row r="1162" spans="1:16">
      <c r="A1162" s="407" t="s">
        <v>4020</v>
      </c>
      <c r="B1162" s="403" t="s">
        <v>3530</v>
      </c>
      <c r="C1162" s="404" t="s">
        <v>3857</v>
      </c>
      <c r="D1162" s="403" t="s">
        <v>3858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</row>
    <row r="1163" spans="1:16">
      <c r="A1163" s="407" t="s">
        <v>4020</v>
      </c>
      <c r="B1163" s="403" t="s">
        <v>3859</v>
      </c>
      <c r="C1163" s="404" t="s">
        <v>3860</v>
      </c>
      <c r="D1163" s="403" t="s">
        <v>3861</v>
      </c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</row>
    <row r="1164" spans="1:16">
      <c r="A1164" s="407" t="s">
        <v>4020</v>
      </c>
      <c r="B1164" s="403" t="s">
        <v>3862</v>
      </c>
      <c r="C1164" s="404" t="s">
        <v>3863</v>
      </c>
      <c r="D1164" s="403" t="s">
        <v>3864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</row>
    <row r="1165" spans="1:16">
      <c r="A1165" s="407" t="s">
        <v>4020</v>
      </c>
      <c r="B1165" s="403" t="s">
        <v>367</v>
      </c>
      <c r="C1165" s="404" t="s">
        <v>3865</v>
      </c>
      <c r="D1165" s="403" t="s">
        <v>370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</row>
    <row r="1166" spans="1:16">
      <c r="A1166" s="407" t="s">
        <v>4020</v>
      </c>
      <c r="B1166" s="403" t="s">
        <v>3866</v>
      </c>
      <c r="C1166" s="404" t="s">
        <v>3867</v>
      </c>
      <c r="D1166" s="403" t="s">
        <v>3868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</row>
    <row r="1167" spans="1:16">
      <c r="A1167" s="407" t="s">
        <v>4020</v>
      </c>
      <c r="B1167" s="403" t="s">
        <v>3869</v>
      </c>
      <c r="C1167" s="404" t="s">
        <v>3870</v>
      </c>
      <c r="D1167" s="403" t="s">
        <v>3871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</row>
    <row r="1168" spans="1:16">
      <c r="A1168" s="407" t="s">
        <v>4020</v>
      </c>
      <c r="B1168" s="403" t="s">
        <v>3872</v>
      </c>
      <c r="C1168" s="412" t="s">
        <v>3873</v>
      </c>
      <c r="D1168" s="412" t="s">
        <v>2152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</row>
    <row r="1169" spans="1:16">
      <c r="A1169" s="407" t="s">
        <v>4020</v>
      </c>
      <c r="B1169" s="403" t="s">
        <v>3874</v>
      </c>
      <c r="C1169" s="404" t="s">
        <v>3875</v>
      </c>
      <c r="D1169" s="403" t="s">
        <v>3876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</row>
    <row r="1170" spans="1:16">
      <c r="A1170" s="407" t="s">
        <v>4020</v>
      </c>
      <c r="B1170" s="403" t="s">
        <v>3877</v>
      </c>
      <c r="C1170" s="404" t="s">
        <v>3878</v>
      </c>
      <c r="D1170" s="403" t="s">
        <v>3879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</row>
    <row r="1171" spans="1:16">
      <c r="A1171" s="407" t="s">
        <v>4020</v>
      </c>
      <c r="B1171" s="403" t="s">
        <v>3880</v>
      </c>
      <c r="C1171" s="404" t="s">
        <v>218</v>
      </c>
      <c r="D1171" s="403" t="s">
        <v>3881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</row>
    <row r="1172" spans="1:16">
      <c r="A1172" s="407" t="s">
        <v>4020</v>
      </c>
      <c r="B1172" s="403" t="s">
        <v>3882</v>
      </c>
      <c r="C1172" s="404" t="s">
        <v>3883</v>
      </c>
      <c r="D1172" s="403" t="s">
        <v>3884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</row>
    <row r="1173" spans="1:16">
      <c r="A1173" s="407" t="s">
        <v>4020</v>
      </c>
      <c r="B1173" s="403" t="s">
        <v>3885</v>
      </c>
      <c r="C1173" s="404" t="s">
        <v>3886</v>
      </c>
      <c r="D1173" s="403" t="s">
        <v>2643</v>
      </c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</row>
    <row r="1174" spans="1:16">
      <c r="A1174" s="407" t="s">
        <v>4020</v>
      </c>
      <c r="B1174" s="404" t="s">
        <v>3887</v>
      </c>
      <c r="C1174" s="404" t="s">
        <v>3888</v>
      </c>
      <c r="D1174" s="403" t="s">
        <v>3889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</row>
    <row r="1175" spans="1:16">
      <c r="A1175" s="407" t="s">
        <v>4020</v>
      </c>
      <c r="B1175" s="403" t="s">
        <v>3890</v>
      </c>
      <c r="C1175" s="404" t="s">
        <v>3891</v>
      </c>
      <c r="D1175" s="403" t="s">
        <v>3892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</row>
    <row r="1176" spans="1:16">
      <c r="A1176" s="407" t="s">
        <v>4020</v>
      </c>
      <c r="B1176" s="403" t="s">
        <v>3893</v>
      </c>
      <c r="C1176" s="404" t="s">
        <v>3894</v>
      </c>
      <c r="D1176" s="403" t="s">
        <v>3895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</row>
    <row r="1177" spans="1:16">
      <c r="A1177" s="407" t="s">
        <v>4020</v>
      </c>
      <c r="B1177" s="404" t="s">
        <v>3896</v>
      </c>
      <c r="C1177" s="404" t="s">
        <v>3897</v>
      </c>
      <c r="D1177" s="403" t="s">
        <v>3898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</row>
    <row r="1178" spans="1:16">
      <c r="A1178" s="407" t="s">
        <v>4020</v>
      </c>
      <c r="B1178" s="403" t="s">
        <v>3899</v>
      </c>
      <c r="C1178" s="404" t="s">
        <v>3900</v>
      </c>
      <c r="D1178" s="403" t="s">
        <v>3901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</row>
    <row r="1179" spans="1:16">
      <c r="A1179" s="407" t="s">
        <v>4020</v>
      </c>
      <c r="B1179" s="403" t="s">
        <v>3902</v>
      </c>
      <c r="C1179" s="404" t="s">
        <v>3903</v>
      </c>
      <c r="D1179" s="403" t="s">
        <v>3904</v>
      </c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</row>
    <row r="1180" spans="1:16">
      <c r="A1180" s="407" t="s">
        <v>4020</v>
      </c>
      <c r="B1180" s="403" t="s">
        <v>3905</v>
      </c>
      <c r="C1180" s="404" t="s">
        <v>3906</v>
      </c>
      <c r="D1180" s="403" t="s">
        <v>3907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</row>
    <row r="1181" spans="1:16">
      <c r="A1181" s="407" t="s">
        <v>4020</v>
      </c>
      <c r="B1181" s="403" t="s">
        <v>3908</v>
      </c>
      <c r="C1181" s="404" t="s">
        <v>3909</v>
      </c>
      <c r="D1181" s="403" t="s">
        <v>3884</v>
      </c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</row>
    <row r="1182" spans="1:16">
      <c r="A1182" s="407" t="s">
        <v>4020</v>
      </c>
      <c r="B1182" s="403" t="s">
        <v>3910</v>
      </c>
      <c r="C1182" s="404" t="s">
        <v>3911</v>
      </c>
      <c r="D1182" s="403" t="s">
        <v>3912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</row>
    <row r="1183" spans="1:16">
      <c r="A1183" s="407" t="s">
        <v>4020</v>
      </c>
      <c r="B1183" s="403" t="s">
        <v>3913</v>
      </c>
      <c r="C1183" s="404" t="s">
        <v>3914</v>
      </c>
      <c r="D1183" s="403" t="s">
        <v>3915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</row>
    <row r="1184" spans="1:16">
      <c r="A1184" s="407" t="s">
        <v>4020</v>
      </c>
      <c r="B1184" s="403" t="s">
        <v>3916</v>
      </c>
      <c r="C1184" s="404" t="s">
        <v>3917</v>
      </c>
      <c r="D1184" s="403" t="s">
        <v>180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</row>
    <row r="1185" spans="1:16">
      <c r="A1185" s="407" t="s">
        <v>4020</v>
      </c>
      <c r="B1185" s="403" t="s">
        <v>3918</v>
      </c>
      <c r="C1185" s="404" t="s">
        <v>3919</v>
      </c>
      <c r="D1185" s="403" t="s">
        <v>3920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</row>
    <row r="1186" spans="1:16">
      <c r="A1186" s="407" t="s">
        <v>4020</v>
      </c>
      <c r="B1186" s="403" t="s">
        <v>3921</v>
      </c>
      <c r="C1186" s="404" t="s">
        <v>3922</v>
      </c>
      <c r="D1186" s="403" t="s">
        <v>3923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</row>
    <row r="1187" spans="1:16">
      <c r="A1187" s="407" t="s">
        <v>4020</v>
      </c>
      <c r="B1187" s="403" t="s">
        <v>3924</v>
      </c>
      <c r="C1187" s="404" t="s">
        <v>3925</v>
      </c>
      <c r="D1187" s="403" t="s">
        <v>3926</v>
      </c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</row>
    <row r="1188" spans="1:16">
      <c r="A1188" s="407" t="s">
        <v>4020</v>
      </c>
      <c r="B1188" s="403" t="s">
        <v>3927</v>
      </c>
      <c r="C1188" s="404" t="s">
        <v>3928</v>
      </c>
      <c r="D1188" s="403" t="s">
        <v>3929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</row>
    <row r="1189" spans="1:16">
      <c r="A1189" s="407" t="s">
        <v>4020</v>
      </c>
      <c r="B1189" s="403" t="s">
        <v>3930</v>
      </c>
      <c r="C1189" s="404" t="s">
        <v>3931</v>
      </c>
      <c r="D1189" s="403" t="s">
        <v>3932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</row>
    <row r="1190" spans="1:16">
      <c r="A1190" s="407" t="s">
        <v>4020</v>
      </c>
      <c r="B1190" s="403" t="s">
        <v>3933</v>
      </c>
      <c r="C1190" s="404" t="s">
        <v>3934</v>
      </c>
      <c r="D1190" s="403" t="s">
        <v>3935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</row>
    <row r="1191" spans="1:16">
      <c r="A1191" s="407" t="s">
        <v>4020</v>
      </c>
      <c r="B1191" s="403" t="s">
        <v>3936</v>
      </c>
      <c r="C1191" s="404" t="s">
        <v>3937</v>
      </c>
      <c r="D1191" s="403" t="s">
        <v>3938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</row>
    <row r="1192" spans="1:16">
      <c r="A1192" s="407" t="s">
        <v>4020</v>
      </c>
      <c r="B1192" s="403" t="s">
        <v>3939</v>
      </c>
      <c r="C1192" s="404" t="s">
        <v>3795</v>
      </c>
      <c r="D1192" s="403" t="s">
        <v>3940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</row>
    <row r="1193" spans="1:16">
      <c r="A1193" s="407" t="s">
        <v>4020</v>
      </c>
      <c r="B1193" s="403" t="s">
        <v>3941</v>
      </c>
      <c r="C1193" s="404" t="s">
        <v>3942</v>
      </c>
      <c r="D1193" s="403" t="s">
        <v>3943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</row>
    <row r="1194" spans="1:16">
      <c r="A1194" s="407" t="s">
        <v>4020</v>
      </c>
      <c r="B1194" s="403" t="s">
        <v>3944</v>
      </c>
      <c r="C1194" s="404" t="s">
        <v>3945</v>
      </c>
      <c r="D1194" s="403" t="s">
        <v>3892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</row>
    <row r="1195" spans="1:16">
      <c r="A1195" s="407" t="s">
        <v>4020</v>
      </c>
      <c r="B1195" s="403" t="s">
        <v>3946</v>
      </c>
      <c r="C1195" s="404" t="s">
        <v>3947</v>
      </c>
      <c r="D1195" s="403" t="s">
        <v>3948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</row>
    <row r="1196" spans="1:16">
      <c r="A1196" s="407" t="s">
        <v>4020</v>
      </c>
      <c r="B1196" s="403" t="s">
        <v>3949</v>
      </c>
      <c r="C1196" s="404" t="s">
        <v>65</v>
      </c>
      <c r="D1196" s="403" t="s">
        <v>3950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</row>
    <row r="1197" spans="1:16">
      <c r="A1197" s="407" t="s">
        <v>4020</v>
      </c>
      <c r="B1197" s="403" t="s">
        <v>3951</v>
      </c>
      <c r="C1197" s="404" t="s">
        <v>3952</v>
      </c>
      <c r="D1197" s="403" t="s">
        <v>3953</v>
      </c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</row>
    <row r="1198" spans="1:16">
      <c r="A1198" s="407" t="s">
        <v>4020</v>
      </c>
      <c r="B1198" s="403" t="s">
        <v>3954</v>
      </c>
      <c r="C1198" s="404" t="s">
        <v>3955</v>
      </c>
      <c r="D1198" s="403" t="s">
        <v>3956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</row>
    <row r="1199" spans="1:16">
      <c r="A1199" s="407" t="s">
        <v>4020</v>
      </c>
      <c r="B1199" s="403" t="s">
        <v>3957</v>
      </c>
      <c r="C1199" s="404" t="s">
        <v>218</v>
      </c>
      <c r="D1199" s="403" t="s">
        <v>3958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</row>
    <row r="1200" spans="1:16">
      <c r="A1200" s="407" t="s">
        <v>4020</v>
      </c>
      <c r="B1200" s="403" t="s">
        <v>3959</v>
      </c>
      <c r="C1200" s="404" t="s">
        <v>3960</v>
      </c>
      <c r="D1200" s="403" t="s">
        <v>3961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</row>
    <row r="1201" spans="1:16">
      <c r="A1201" s="407" t="s">
        <v>4020</v>
      </c>
      <c r="B1201" s="403" t="s">
        <v>3962</v>
      </c>
      <c r="C1201" s="404" t="s">
        <v>3963</v>
      </c>
      <c r="D1201" s="403" t="s">
        <v>3964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</row>
    <row r="1202" spans="1:16">
      <c r="A1202" s="407" t="s">
        <v>4020</v>
      </c>
      <c r="B1202" s="403" t="s">
        <v>3965</v>
      </c>
      <c r="C1202" s="404" t="s">
        <v>3966</v>
      </c>
      <c r="D1202" s="403" t="s">
        <v>3967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</row>
    <row r="1203" spans="1:16">
      <c r="A1203" s="407" t="s">
        <v>4020</v>
      </c>
      <c r="B1203" s="403" t="s">
        <v>3968</v>
      </c>
      <c r="C1203" s="404" t="s">
        <v>3969</v>
      </c>
      <c r="D1203" s="403" t="s">
        <v>3970</v>
      </c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</row>
    <row r="1204" spans="1:16">
      <c r="A1204" s="407" t="s">
        <v>4020</v>
      </c>
      <c r="B1204" s="403" t="s">
        <v>3971</v>
      </c>
      <c r="C1204" s="404" t="s">
        <v>3972</v>
      </c>
      <c r="D1204" s="403" t="s">
        <v>3973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</row>
    <row r="1205" spans="1:16">
      <c r="A1205" s="407" t="s">
        <v>4020</v>
      </c>
      <c r="B1205" s="403" t="s">
        <v>3974</v>
      </c>
      <c r="C1205" s="404" t="s">
        <v>3975</v>
      </c>
      <c r="D1205" s="403" t="s">
        <v>3976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</row>
    <row r="1206" spans="1:16" ht="12.75">
      <c r="A1206" s="407" t="s">
        <v>4020</v>
      </c>
      <c r="B1206" s="412" t="s">
        <v>3977</v>
      </c>
      <c r="C1206" s="412" t="s">
        <v>3978</v>
      </c>
      <c r="D1206" s="412" t="s">
        <v>3979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</row>
    <row r="1207" spans="1:16" ht="12.75">
      <c r="A1207" s="407" t="s">
        <v>4020</v>
      </c>
      <c r="B1207" s="412" t="s">
        <v>3980</v>
      </c>
      <c r="C1207" s="412" t="s">
        <v>218</v>
      </c>
      <c r="D1207" s="412" t="s">
        <v>3981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</row>
    <row r="1208" spans="1:16">
      <c r="A1208" s="407" t="s">
        <v>4020</v>
      </c>
      <c r="B1208" s="403" t="s">
        <v>3982</v>
      </c>
      <c r="C1208" s="404" t="s">
        <v>1245</v>
      </c>
      <c r="D1208" s="403" t="s">
        <v>3983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</row>
    <row r="1209" spans="1:16" ht="12.75">
      <c r="A1209" s="407" t="s">
        <v>4020</v>
      </c>
      <c r="B1209" s="412" t="s">
        <v>3984</v>
      </c>
      <c r="C1209" s="412" t="s">
        <v>218</v>
      </c>
      <c r="D1209" s="412" t="s">
        <v>3985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</row>
    <row r="1210" spans="1:16" ht="12.75">
      <c r="A1210" s="407" t="s">
        <v>4020</v>
      </c>
      <c r="B1210" s="412" t="s">
        <v>3986</v>
      </c>
      <c r="C1210" s="412" t="s">
        <v>3987</v>
      </c>
      <c r="D1210" s="412" t="s">
        <v>3988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</row>
    <row r="1211" spans="1:16" ht="12.75">
      <c r="A1211" s="407" t="s">
        <v>4020</v>
      </c>
      <c r="B1211" s="412" t="s">
        <v>3989</v>
      </c>
      <c r="C1211" s="412" t="s">
        <v>3990</v>
      </c>
      <c r="D1211" s="412" t="s">
        <v>1424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</row>
    <row r="1212" spans="1:16" ht="12.75">
      <c r="A1212" s="407" t="s">
        <v>4020</v>
      </c>
      <c r="B1212" s="412" t="s">
        <v>3991</v>
      </c>
      <c r="C1212" s="412" t="s">
        <v>3992</v>
      </c>
      <c r="D1212" s="412" t="s">
        <v>3993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</row>
    <row r="1213" spans="1:16">
      <c r="A1213" s="407" t="s">
        <v>4020</v>
      </c>
      <c r="B1213" s="403" t="s">
        <v>3994</v>
      </c>
      <c r="C1213" s="404" t="s">
        <v>3995</v>
      </c>
      <c r="D1213" s="403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</row>
    <row r="1214" spans="1:16">
      <c r="A1214" s="407" t="s">
        <v>4020</v>
      </c>
      <c r="B1214" s="403" t="s">
        <v>3996</v>
      </c>
      <c r="C1214" s="404" t="s">
        <v>218</v>
      </c>
      <c r="D1214" s="403" t="s">
        <v>3997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</row>
    <row r="1215" spans="1:16">
      <c r="A1215" s="407" t="s">
        <v>4020</v>
      </c>
      <c r="B1215" s="403" t="s">
        <v>3998</v>
      </c>
      <c r="C1215" s="404" t="s">
        <v>3999</v>
      </c>
      <c r="D1215" s="403" t="s">
        <v>4000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</row>
    <row r="1216" spans="1:16">
      <c r="A1216" s="407" t="s">
        <v>4020</v>
      </c>
      <c r="B1216" s="403" t="s">
        <v>4001</v>
      </c>
      <c r="C1216" s="404" t="s">
        <v>4002</v>
      </c>
      <c r="D1216" s="403" t="s">
        <v>3722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</row>
    <row r="1217" spans="1:16">
      <c r="A1217" s="407" t="s">
        <v>4020</v>
      </c>
      <c r="B1217" s="403" t="s">
        <v>4003</v>
      </c>
      <c r="C1217" s="404" t="s">
        <v>4004</v>
      </c>
      <c r="D1217" s="403" t="s">
        <v>4005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</row>
    <row r="1218" spans="1:16">
      <c r="A1218" s="407" t="s">
        <v>4020</v>
      </c>
      <c r="B1218" s="403" t="s">
        <v>4006</v>
      </c>
      <c r="C1218" s="404" t="s">
        <v>4007</v>
      </c>
      <c r="D1218" s="403" t="s">
        <v>4008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</row>
    <row r="1219" spans="1:16">
      <c r="A1219" s="407" t="s">
        <v>4020</v>
      </c>
      <c r="B1219" s="404" t="s">
        <v>4009</v>
      </c>
      <c r="C1219" s="404" t="s">
        <v>4010</v>
      </c>
      <c r="D1219" s="403" t="s">
        <v>4011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</row>
    <row r="1220" spans="1:16">
      <c r="A1220" s="407" t="s">
        <v>4020</v>
      </c>
      <c r="B1220" s="403" t="s">
        <v>4012</v>
      </c>
      <c r="C1220" s="404" t="s">
        <v>4013</v>
      </c>
      <c r="D1220" s="403" t="s">
        <v>4014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</row>
    <row r="1221" spans="1:16">
      <c r="A1221" s="407" t="s">
        <v>4020</v>
      </c>
      <c r="B1221" s="403" t="s">
        <v>4015</v>
      </c>
      <c r="C1221" s="404" t="s">
        <v>3860</v>
      </c>
      <c r="D1221" s="403" t="s">
        <v>4016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</row>
    <row r="1222" spans="1:16">
      <c r="A1222" s="407" t="s">
        <v>4020</v>
      </c>
      <c r="B1222" s="403" t="s">
        <v>4017</v>
      </c>
      <c r="C1222" s="404" t="s">
        <v>4018</v>
      </c>
      <c r="D1222" s="403" t="s">
        <v>4019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</row>
    <row r="1223" spans="1:16">
      <c r="A1223" s="407" t="s">
        <v>4121</v>
      </c>
      <c r="B1223" s="403" t="s">
        <v>4021</v>
      </c>
      <c r="C1223" s="404" t="s">
        <v>4022</v>
      </c>
      <c r="D1223" s="403" t="s">
        <v>4023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</row>
    <row r="1224" spans="1:16">
      <c r="A1224" s="407" t="s">
        <v>4121</v>
      </c>
      <c r="B1224" s="403" t="s">
        <v>4024</v>
      </c>
      <c r="C1224" s="404" t="s">
        <v>4025</v>
      </c>
      <c r="D1224" s="403" t="s">
        <v>4026</v>
      </c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</row>
    <row r="1225" spans="1:16">
      <c r="A1225" s="407" t="s">
        <v>4121</v>
      </c>
      <c r="B1225" s="403" t="s">
        <v>4027</v>
      </c>
      <c r="C1225" s="404" t="s">
        <v>4028</v>
      </c>
      <c r="D1225" s="403" t="s">
        <v>4029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</row>
    <row r="1226" spans="1:16">
      <c r="A1226" s="407" t="s">
        <v>4121</v>
      </c>
      <c r="B1226" s="403" t="s">
        <v>4030</v>
      </c>
      <c r="C1226" s="404" t="s">
        <v>3706</v>
      </c>
      <c r="D1226" s="403" t="s">
        <v>4031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</row>
    <row r="1227" spans="1:16">
      <c r="A1227" s="407" t="s">
        <v>4121</v>
      </c>
      <c r="B1227" s="403" t="s">
        <v>4032</v>
      </c>
      <c r="C1227" s="404" t="s">
        <v>4033</v>
      </c>
      <c r="D1227" s="403" t="s">
        <v>411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</row>
    <row r="1228" spans="1:16">
      <c r="A1228" s="407" t="s">
        <v>4121</v>
      </c>
      <c r="B1228" s="403" t="s">
        <v>4034</v>
      </c>
      <c r="C1228" s="404" t="s">
        <v>4035</v>
      </c>
      <c r="D1228" s="403" t="s">
        <v>4036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</row>
    <row r="1229" spans="1:16">
      <c r="A1229" s="407" t="s">
        <v>4121</v>
      </c>
      <c r="B1229" s="403" t="s">
        <v>4037</v>
      </c>
      <c r="C1229" s="404" t="s">
        <v>4038</v>
      </c>
      <c r="D1229" s="403" t="s">
        <v>4039</v>
      </c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</row>
    <row r="1230" spans="1:16">
      <c r="A1230" s="407" t="s">
        <v>4121</v>
      </c>
      <c r="B1230" s="403" t="s">
        <v>4040</v>
      </c>
      <c r="C1230" s="404" t="s">
        <v>4041</v>
      </c>
      <c r="D1230" s="403" t="s">
        <v>4042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</row>
    <row r="1231" spans="1:16">
      <c r="A1231" s="407" t="s">
        <v>4121</v>
      </c>
      <c r="B1231" s="403" t="s">
        <v>4043</v>
      </c>
      <c r="C1231" s="404" t="s">
        <v>4044</v>
      </c>
      <c r="D1231" s="403" t="s">
        <v>180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</row>
    <row r="1232" spans="1:16">
      <c r="A1232" s="407" t="s">
        <v>4121</v>
      </c>
      <c r="B1232" s="403" t="s">
        <v>4045</v>
      </c>
      <c r="C1232" s="404" t="s">
        <v>4046</v>
      </c>
      <c r="D1232" s="403" t="s">
        <v>4047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</row>
    <row r="1233" spans="1:16">
      <c r="A1233" s="407" t="s">
        <v>4121</v>
      </c>
      <c r="B1233" s="403" t="s">
        <v>4048</v>
      </c>
      <c r="C1233" s="404" t="s">
        <v>3947</v>
      </c>
      <c r="D1233" s="403" t="s">
        <v>1178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</row>
    <row r="1234" spans="1:16">
      <c r="A1234" s="407" t="s">
        <v>4121</v>
      </c>
      <c r="B1234" s="403" t="s">
        <v>4049</v>
      </c>
      <c r="C1234" s="404" t="s">
        <v>218</v>
      </c>
      <c r="D1234" s="403" t="s">
        <v>4050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</row>
    <row r="1235" spans="1:16">
      <c r="A1235" s="407" t="s">
        <v>4121</v>
      </c>
      <c r="B1235" s="403" t="s">
        <v>4051</v>
      </c>
      <c r="C1235" s="404" t="s">
        <v>4052</v>
      </c>
      <c r="D1235" s="403" t="s">
        <v>3892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</row>
    <row r="1236" spans="1:16">
      <c r="A1236" s="407" t="s">
        <v>4121</v>
      </c>
      <c r="B1236" s="403" t="s">
        <v>4053</v>
      </c>
      <c r="C1236" s="404" t="s">
        <v>4054</v>
      </c>
      <c r="D1236" s="403" t="s">
        <v>4055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</row>
    <row r="1237" spans="1:16">
      <c r="A1237" s="407" t="s">
        <v>4121</v>
      </c>
      <c r="B1237" s="403" t="s">
        <v>4056</v>
      </c>
      <c r="C1237" s="404" t="s">
        <v>4057</v>
      </c>
      <c r="D1237" s="403" t="s">
        <v>4058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</row>
    <row r="1238" spans="1:16">
      <c r="A1238" s="407" t="s">
        <v>4121</v>
      </c>
      <c r="B1238" s="403" t="s">
        <v>4059</v>
      </c>
      <c r="C1238" s="404" t="s">
        <v>4060</v>
      </c>
      <c r="D1238" s="403" t="s">
        <v>2212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</row>
    <row r="1239" spans="1:16">
      <c r="A1239" s="407" t="s">
        <v>4121</v>
      </c>
      <c r="B1239" s="403" t="s">
        <v>4061</v>
      </c>
      <c r="C1239" s="404" t="s">
        <v>4062</v>
      </c>
      <c r="D1239" s="403" t="s">
        <v>4063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</row>
    <row r="1240" spans="1:16">
      <c r="A1240" s="407" t="s">
        <v>4121</v>
      </c>
      <c r="B1240" s="403" t="s">
        <v>4064</v>
      </c>
      <c r="C1240" s="404" t="s">
        <v>4065</v>
      </c>
      <c r="D1240" s="403" t="s">
        <v>4066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</row>
    <row r="1241" spans="1:16">
      <c r="A1241" s="407" t="s">
        <v>4121</v>
      </c>
      <c r="B1241" s="403" t="s">
        <v>4067</v>
      </c>
      <c r="C1241" s="404" t="s">
        <v>218</v>
      </c>
      <c r="D1241" s="403" t="s">
        <v>4068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</row>
    <row r="1242" spans="1:16">
      <c r="A1242" s="407" t="s">
        <v>4121</v>
      </c>
      <c r="B1242" s="403" t="s">
        <v>4069</v>
      </c>
      <c r="C1242" s="404" t="s">
        <v>3978</v>
      </c>
      <c r="D1242" s="403" t="s">
        <v>4070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</row>
    <row r="1243" spans="1:16">
      <c r="A1243" s="407" t="s">
        <v>4121</v>
      </c>
      <c r="B1243" s="403" t="s">
        <v>4071</v>
      </c>
      <c r="C1243" s="404" t="s">
        <v>4072</v>
      </c>
      <c r="D1243" s="403" t="s">
        <v>4073</v>
      </c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</row>
    <row r="1244" spans="1:16">
      <c r="A1244" s="407" t="s">
        <v>4121</v>
      </c>
      <c r="B1244" s="403" t="s">
        <v>4074</v>
      </c>
      <c r="C1244" s="404" t="s">
        <v>4075</v>
      </c>
      <c r="D1244" s="403" t="s">
        <v>4076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</row>
    <row r="1245" spans="1:16">
      <c r="A1245" s="407" t="s">
        <v>4121</v>
      </c>
      <c r="B1245" s="403" t="s">
        <v>4077</v>
      </c>
      <c r="C1245" s="404" t="s">
        <v>4035</v>
      </c>
      <c r="D1245" s="403" t="s">
        <v>4036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</row>
    <row r="1246" spans="1:16">
      <c r="A1246" s="407" t="s">
        <v>4121</v>
      </c>
      <c r="B1246" s="403" t="s">
        <v>4078</v>
      </c>
      <c r="C1246" s="404" t="s">
        <v>218</v>
      </c>
      <c r="D1246" s="403" t="s">
        <v>4079</v>
      </c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</row>
    <row r="1247" spans="1:16">
      <c r="A1247" s="407" t="s">
        <v>4121</v>
      </c>
      <c r="B1247" s="403" t="s">
        <v>4080</v>
      </c>
      <c r="C1247" s="404" t="s">
        <v>4081</v>
      </c>
      <c r="D1247" s="403" t="s">
        <v>4082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</row>
    <row r="1248" spans="1:16">
      <c r="A1248" s="407" t="s">
        <v>4121</v>
      </c>
      <c r="B1248" s="403" t="s">
        <v>4083</v>
      </c>
      <c r="C1248" s="404" t="s">
        <v>218</v>
      </c>
      <c r="D1248" s="403" t="s">
        <v>4084</v>
      </c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</row>
    <row r="1249" spans="1:16">
      <c r="A1249" s="407" t="s">
        <v>4121</v>
      </c>
      <c r="B1249" s="403" t="s">
        <v>4085</v>
      </c>
      <c r="C1249" s="404" t="s">
        <v>4086</v>
      </c>
      <c r="D1249" s="403" t="s">
        <v>4087</v>
      </c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</row>
    <row r="1250" spans="1:16">
      <c r="A1250" s="407" t="s">
        <v>4121</v>
      </c>
      <c r="B1250" s="403" t="s">
        <v>4088</v>
      </c>
      <c r="C1250" s="404" t="s">
        <v>4089</v>
      </c>
      <c r="D1250" s="403" t="s">
        <v>4090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</row>
    <row r="1251" spans="1:16">
      <c r="A1251" s="407" t="s">
        <v>4121</v>
      </c>
      <c r="B1251" s="403" t="s">
        <v>4091</v>
      </c>
      <c r="C1251" s="404" t="s">
        <v>218</v>
      </c>
      <c r="D1251" s="403" t="s">
        <v>4092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</row>
    <row r="1252" spans="1:16">
      <c r="A1252" s="407" t="s">
        <v>4121</v>
      </c>
      <c r="B1252" s="403" t="s">
        <v>4093</v>
      </c>
      <c r="C1252" s="404" t="s">
        <v>4094</v>
      </c>
      <c r="D1252" s="403" t="s">
        <v>4095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</row>
    <row r="1253" spans="1:16">
      <c r="A1253" s="407" t="s">
        <v>4121</v>
      </c>
      <c r="B1253" s="403" t="s">
        <v>4096</v>
      </c>
      <c r="C1253" s="404" t="s">
        <v>4097</v>
      </c>
      <c r="D1253" s="403" t="s">
        <v>4098</v>
      </c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</row>
    <row r="1254" spans="1:16">
      <c r="A1254" s="407" t="s">
        <v>4121</v>
      </c>
      <c r="B1254" s="403" t="s">
        <v>4099</v>
      </c>
      <c r="C1254" s="404" t="s">
        <v>4100</v>
      </c>
      <c r="D1254" s="403" t="s">
        <v>4101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</row>
    <row r="1255" spans="1:16">
      <c r="A1255" s="407" t="s">
        <v>4121</v>
      </c>
      <c r="B1255" s="403" t="s">
        <v>4102</v>
      </c>
      <c r="C1255" s="404" t="s">
        <v>4103</v>
      </c>
      <c r="D1255" s="403" t="s">
        <v>4104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</row>
    <row r="1256" spans="1:16">
      <c r="A1256" s="407" t="s">
        <v>4121</v>
      </c>
      <c r="B1256" s="403" t="s">
        <v>4105</v>
      </c>
      <c r="C1256" s="404" t="s">
        <v>4106</v>
      </c>
      <c r="D1256" s="403" t="s">
        <v>4107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</row>
    <row r="1257" spans="1:16">
      <c r="A1257" s="407" t="s">
        <v>4121</v>
      </c>
      <c r="B1257" s="403" t="s">
        <v>4108</v>
      </c>
      <c r="C1257" s="404" t="s">
        <v>4109</v>
      </c>
      <c r="D1257" s="403" t="s">
        <v>4110</v>
      </c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</row>
    <row r="1258" spans="1:16">
      <c r="A1258" s="407" t="s">
        <v>4121</v>
      </c>
      <c r="B1258" s="403" t="s">
        <v>4111</v>
      </c>
      <c r="C1258" s="404" t="s">
        <v>4112</v>
      </c>
      <c r="D1258" s="403" t="s">
        <v>1805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</row>
    <row r="1259" spans="1:16">
      <c r="A1259" s="407" t="s">
        <v>4121</v>
      </c>
      <c r="B1259" s="403" t="s">
        <v>4113</v>
      </c>
      <c r="C1259" s="404" t="s">
        <v>218</v>
      </c>
      <c r="D1259" s="403" t="s">
        <v>4114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</row>
    <row r="1260" spans="1:16">
      <c r="A1260" s="407" t="s">
        <v>4121</v>
      </c>
      <c r="B1260" s="403" t="s">
        <v>4115</v>
      </c>
      <c r="C1260" s="404" t="s">
        <v>4116</v>
      </c>
      <c r="D1260" s="403" t="s">
        <v>4117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</row>
    <row r="1261" spans="1:16">
      <c r="A1261" s="407" t="s">
        <v>4121</v>
      </c>
      <c r="B1261" s="403" t="s">
        <v>4118</v>
      </c>
      <c r="C1261" s="404" t="s">
        <v>4119</v>
      </c>
      <c r="D1261" s="403" t="s">
        <v>4120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</row>
    <row r="1262" spans="1:16">
      <c r="A1262" s="407" t="s">
        <v>4283</v>
      </c>
      <c r="B1262" s="403" t="s">
        <v>4122</v>
      </c>
      <c r="C1262" s="404" t="s">
        <v>218</v>
      </c>
      <c r="D1262" s="403" t="s">
        <v>4123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</row>
    <row r="1263" spans="1:16">
      <c r="A1263" s="407" t="s">
        <v>4283</v>
      </c>
      <c r="B1263" s="403" t="s">
        <v>4124</v>
      </c>
      <c r="C1263" s="404" t="s">
        <v>4125</v>
      </c>
      <c r="D1263" s="403" t="s">
        <v>3783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</row>
    <row r="1264" spans="1:16">
      <c r="A1264" s="407" t="s">
        <v>4283</v>
      </c>
      <c r="B1264" s="403" t="s">
        <v>4126</v>
      </c>
      <c r="C1264" s="404" t="s">
        <v>218</v>
      </c>
      <c r="D1264" s="403" t="s">
        <v>4127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</row>
    <row r="1265" spans="1:16">
      <c r="A1265" s="407" t="s">
        <v>4283</v>
      </c>
      <c r="B1265" s="403" t="s">
        <v>4128</v>
      </c>
      <c r="C1265" s="404" t="s">
        <v>4129</v>
      </c>
      <c r="D1265" s="403" t="s">
        <v>4130</v>
      </c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</row>
    <row r="1266" spans="1:16">
      <c r="A1266" s="407" t="s">
        <v>4283</v>
      </c>
      <c r="B1266" s="403" t="s">
        <v>4131</v>
      </c>
      <c r="C1266" s="404" t="s">
        <v>4132</v>
      </c>
      <c r="D1266" s="403" t="s">
        <v>4133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</row>
    <row r="1267" spans="1:16">
      <c r="A1267" s="407" t="s">
        <v>4283</v>
      </c>
      <c r="B1267" s="403" t="s">
        <v>4134</v>
      </c>
      <c r="C1267" s="404" t="s">
        <v>4135</v>
      </c>
      <c r="D1267" s="403" t="s">
        <v>4136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</row>
    <row r="1268" spans="1:16">
      <c r="A1268" s="407" t="s">
        <v>4283</v>
      </c>
      <c r="B1268" s="403" t="s">
        <v>4137</v>
      </c>
      <c r="C1268" s="404" t="s">
        <v>218</v>
      </c>
      <c r="D1268" s="403" t="s">
        <v>4138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</row>
    <row r="1269" spans="1:16">
      <c r="A1269" s="407" t="s">
        <v>4283</v>
      </c>
      <c r="B1269" s="403" t="s">
        <v>4139</v>
      </c>
      <c r="C1269" s="404" t="s">
        <v>4140</v>
      </c>
      <c r="D1269" s="403" t="s">
        <v>4141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</row>
    <row r="1270" spans="1:16">
      <c r="A1270" s="407" t="s">
        <v>4283</v>
      </c>
      <c r="B1270" s="403" t="s">
        <v>4142</v>
      </c>
      <c r="C1270" s="404" t="s">
        <v>4143</v>
      </c>
      <c r="D1270" s="403" t="s">
        <v>4144</v>
      </c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</row>
    <row r="1271" spans="1:16">
      <c r="A1271" s="407" t="s">
        <v>4283</v>
      </c>
      <c r="B1271" s="403" t="s">
        <v>4145</v>
      </c>
      <c r="C1271" s="404" t="s">
        <v>4146</v>
      </c>
      <c r="D1271" s="403" t="s">
        <v>3833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</row>
    <row r="1272" spans="1:16">
      <c r="A1272" s="407" t="s">
        <v>4283</v>
      </c>
      <c r="B1272" s="403" t="s">
        <v>4147</v>
      </c>
      <c r="C1272" s="404" t="s">
        <v>4148</v>
      </c>
      <c r="D1272" s="403" t="s">
        <v>3833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</row>
    <row r="1273" spans="1:16">
      <c r="A1273" s="407" t="s">
        <v>4283</v>
      </c>
      <c r="B1273" s="403" t="s">
        <v>4149</v>
      </c>
      <c r="C1273" s="404" t="s">
        <v>4150</v>
      </c>
      <c r="D1273" s="403" t="s">
        <v>4151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</row>
    <row r="1274" spans="1:16">
      <c r="A1274" s="407" t="s">
        <v>4283</v>
      </c>
      <c r="B1274" s="403" t="s">
        <v>4152</v>
      </c>
      <c r="C1274" s="404" t="s">
        <v>218</v>
      </c>
      <c r="D1274" s="403" t="s">
        <v>4153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</row>
    <row r="1275" spans="1:16">
      <c r="A1275" s="407" t="s">
        <v>4283</v>
      </c>
      <c r="B1275" s="403" t="s">
        <v>4154</v>
      </c>
      <c r="C1275" s="404" t="s">
        <v>4155</v>
      </c>
      <c r="D1275" s="403" t="s">
        <v>4156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</row>
    <row r="1276" spans="1:16">
      <c r="A1276" s="407" t="s">
        <v>4283</v>
      </c>
      <c r="B1276" s="403" t="s">
        <v>4051</v>
      </c>
      <c r="C1276" s="404" t="s">
        <v>4052</v>
      </c>
      <c r="D1276" s="403" t="s">
        <v>3892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</row>
    <row r="1277" spans="1:16">
      <c r="A1277" s="407" t="s">
        <v>4283</v>
      </c>
      <c r="B1277" s="403" t="s">
        <v>4157</v>
      </c>
      <c r="C1277" s="404" t="s">
        <v>4158</v>
      </c>
      <c r="D1277" s="403" t="s">
        <v>1604</v>
      </c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</row>
    <row r="1278" spans="1:16">
      <c r="A1278" s="407" t="s">
        <v>4283</v>
      </c>
      <c r="B1278" s="403" t="s">
        <v>4159</v>
      </c>
      <c r="C1278" s="404" t="s">
        <v>4160</v>
      </c>
      <c r="D1278" s="403" t="s">
        <v>2006</v>
      </c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</row>
    <row r="1279" spans="1:16">
      <c r="A1279" s="407" t="s">
        <v>4283</v>
      </c>
      <c r="B1279" s="403" t="s">
        <v>4161</v>
      </c>
      <c r="C1279" s="404" t="s">
        <v>4162</v>
      </c>
      <c r="D1279" s="403" t="s">
        <v>4163</v>
      </c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</row>
    <row r="1280" spans="1:16">
      <c r="A1280" s="407" t="s">
        <v>4283</v>
      </c>
      <c r="B1280" s="403" t="s">
        <v>4164</v>
      </c>
      <c r="C1280" s="404" t="s">
        <v>218</v>
      </c>
      <c r="D1280" s="403" t="s">
        <v>4092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</row>
    <row r="1281" spans="1:16">
      <c r="A1281" s="407" t="s">
        <v>4283</v>
      </c>
      <c r="B1281" s="403" t="s">
        <v>4165</v>
      </c>
      <c r="C1281" s="404" t="s">
        <v>4166</v>
      </c>
      <c r="D1281" s="403" t="s">
        <v>4167</v>
      </c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</row>
    <row r="1282" spans="1:16">
      <c r="A1282" s="407" t="s">
        <v>4283</v>
      </c>
      <c r="B1282" s="403" t="s">
        <v>4168</v>
      </c>
      <c r="C1282" s="404" t="s">
        <v>4169</v>
      </c>
      <c r="D1282" s="403" t="s">
        <v>4170</v>
      </c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</row>
    <row r="1283" spans="1:16">
      <c r="A1283" s="407" t="s">
        <v>4283</v>
      </c>
      <c r="B1283" s="403" t="s">
        <v>4171</v>
      </c>
      <c r="C1283" s="404" t="s">
        <v>4172</v>
      </c>
      <c r="D1283" s="403" t="s">
        <v>4173</v>
      </c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</row>
    <row r="1284" spans="1:16">
      <c r="A1284" s="407" t="s">
        <v>4283</v>
      </c>
      <c r="B1284" s="403" t="s">
        <v>4174</v>
      </c>
      <c r="C1284" s="404" t="s">
        <v>4175</v>
      </c>
      <c r="D1284" s="403" t="s">
        <v>3833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</row>
    <row r="1285" spans="1:16">
      <c r="A1285" s="407" t="s">
        <v>4283</v>
      </c>
      <c r="B1285" s="403" t="s">
        <v>4176</v>
      </c>
      <c r="C1285" s="404" t="s">
        <v>4177</v>
      </c>
      <c r="D1285" s="403" t="s">
        <v>4178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</row>
    <row r="1286" spans="1:16">
      <c r="A1286" s="407" t="s">
        <v>4283</v>
      </c>
      <c r="B1286" s="403" t="s">
        <v>4179</v>
      </c>
      <c r="C1286" s="404" t="s">
        <v>4180</v>
      </c>
      <c r="D1286" s="403" t="s">
        <v>4181</v>
      </c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</row>
    <row r="1287" spans="1:16">
      <c r="A1287" s="407" t="s">
        <v>4283</v>
      </c>
      <c r="B1287" s="403" t="s">
        <v>4182</v>
      </c>
      <c r="C1287" s="404" t="s">
        <v>4183</v>
      </c>
      <c r="D1287" s="403" t="s">
        <v>4184</v>
      </c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</row>
    <row r="1288" spans="1:16">
      <c r="A1288" s="407" t="s">
        <v>4283</v>
      </c>
      <c r="B1288" s="403" t="s">
        <v>4185</v>
      </c>
      <c r="C1288" s="404" t="s">
        <v>4186</v>
      </c>
      <c r="D1288" s="403" t="s">
        <v>4187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</row>
    <row r="1289" spans="1:16">
      <c r="A1289" s="407" t="s">
        <v>4283</v>
      </c>
      <c r="B1289" s="403" t="s">
        <v>4188</v>
      </c>
      <c r="C1289" s="404" t="s">
        <v>4189</v>
      </c>
      <c r="D1289" s="403" t="s">
        <v>4190</v>
      </c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</row>
    <row r="1290" spans="1:16">
      <c r="A1290" s="407" t="s">
        <v>4283</v>
      </c>
      <c r="B1290" s="403" t="s">
        <v>4191</v>
      </c>
      <c r="C1290" s="404" t="s">
        <v>4192</v>
      </c>
      <c r="D1290" s="403" t="s">
        <v>4193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</row>
    <row r="1291" spans="1:16">
      <c r="A1291" s="407" t="s">
        <v>4283</v>
      </c>
      <c r="B1291" s="403" t="s">
        <v>4566</v>
      </c>
      <c r="C1291" s="404" t="s">
        <v>4194</v>
      </c>
      <c r="D1291" s="403" t="s">
        <v>4195</v>
      </c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</row>
    <row r="1292" spans="1:16">
      <c r="A1292" s="407" t="s">
        <v>4283</v>
      </c>
      <c r="B1292" s="403" t="s">
        <v>4196</v>
      </c>
      <c r="C1292" s="404" t="s">
        <v>4197</v>
      </c>
      <c r="D1292" s="403" t="s">
        <v>4198</v>
      </c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</row>
    <row r="1293" spans="1:16">
      <c r="A1293" s="407" t="s">
        <v>4283</v>
      </c>
      <c r="B1293" s="403" t="s">
        <v>4199</v>
      </c>
      <c r="C1293" s="404" t="s">
        <v>4200</v>
      </c>
      <c r="D1293" s="403" t="s">
        <v>2006</v>
      </c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</row>
    <row r="1294" spans="1:16">
      <c r="A1294" s="407" t="s">
        <v>4283</v>
      </c>
      <c r="B1294" s="403" t="s">
        <v>4201</v>
      </c>
      <c r="C1294" s="404" t="s">
        <v>4202</v>
      </c>
      <c r="D1294" s="403" t="s">
        <v>4203</v>
      </c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</row>
    <row r="1295" spans="1:16">
      <c r="A1295" s="407" t="s">
        <v>4283</v>
      </c>
      <c r="B1295" s="403" t="s">
        <v>4204</v>
      </c>
      <c r="C1295" s="404" t="s">
        <v>4205</v>
      </c>
      <c r="D1295" s="403" t="s">
        <v>3892</v>
      </c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</row>
    <row r="1296" spans="1:16">
      <c r="A1296" s="407" t="s">
        <v>4283</v>
      </c>
      <c r="B1296" s="403" t="s">
        <v>4206</v>
      </c>
      <c r="C1296" s="404" t="s">
        <v>4207</v>
      </c>
      <c r="D1296" s="403" t="s">
        <v>4208</v>
      </c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</row>
    <row r="1297" spans="1:16">
      <c r="A1297" s="407" t="s">
        <v>4283</v>
      </c>
      <c r="B1297" s="403" t="s">
        <v>4209</v>
      </c>
      <c r="C1297" s="404" t="s">
        <v>4210</v>
      </c>
      <c r="D1297" s="403" t="s">
        <v>3892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</row>
    <row r="1298" spans="1:16">
      <c r="A1298" s="407" t="s">
        <v>4283</v>
      </c>
      <c r="B1298" s="403" t="s">
        <v>4211</v>
      </c>
      <c r="C1298" s="404" t="s">
        <v>218</v>
      </c>
      <c r="D1298" s="403" t="s">
        <v>4212</v>
      </c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</row>
    <row r="1299" spans="1:16">
      <c r="A1299" s="407" t="s">
        <v>4283</v>
      </c>
      <c r="B1299" s="403" t="s">
        <v>4213</v>
      </c>
      <c r="C1299" s="404" t="s">
        <v>3963</v>
      </c>
      <c r="D1299" s="403" t="s">
        <v>3964</v>
      </c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</row>
    <row r="1300" spans="1:16">
      <c r="A1300" s="407" t="s">
        <v>4283</v>
      </c>
      <c r="B1300" s="403" t="s">
        <v>3275</v>
      </c>
      <c r="C1300" s="404" t="s">
        <v>4194</v>
      </c>
      <c r="D1300" s="403" t="s">
        <v>3278</v>
      </c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</row>
    <row r="1301" spans="1:16">
      <c r="A1301" s="407" t="s">
        <v>4283</v>
      </c>
      <c r="B1301" s="404" t="s">
        <v>4214</v>
      </c>
      <c r="C1301" s="404" t="s">
        <v>4010</v>
      </c>
      <c r="D1301" s="403" t="s">
        <v>4011</v>
      </c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</row>
    <row r="1302" spans="1:16">
      <c r="A1302" s="407" t="s">
        <v>4283</v>
      </c>
      <c r="B1302" s="403" t="s">
        <v>4215</v>
      </c>
      <c r="C1302" s="404" t="s">
        <v>4109</v>
      </c>
      <c r="D1302" s="403" t="s">
        <v>4110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</row>
    <row r="1303" spans="1:16">
      <c r="A1303" s="407" t="s">
        <v>4283</v>
      </c>
      <c r="B1303" s="403" t="s">
        <v>4216</v>
      </c>
      <c r="C1303" s="404" t="s">
        <v>218</v>
      </c>
      <c r="D1303" s="403" t="s">
        <v>4217</v>
      </c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</row>
    <row r="1304" spans="1:16">
      <c r="A1304" s="407" t="s">
        <v>4283</v>
      </c>
      <c r="B1304" s="403" t="s">
        <v>4218</v>
      </c>
      <c r="C1304" s="404" t="s">
        <v>4219</v>
      </c>
      <c r="D1304" s="403" t="s">
        <v>4220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</row>
    <row r="1305" spans="1:16">
      <c r="A1305" s="407" t="s">
        <v>4283</v>
      </c>
      <c r="B1305" s="403" t="s">
        <v>4221</v>
      </c>
      <c r="C1305" s="404" t="s">
        <v>4222</v>
      </c>
      <c r="D1305" s="403" t="s">
        <v>4187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</row>
    <row r="1306" spans="1:16">
      <c r="A1306" s="407" t="s">
        <v>4283</v>
      </c>
      <c r="B1306" s="403" t="s">
        <v>4223</v>
      </c>
      <c r="C1306" s="404" t="s">
        <v>4224</v>
      </c>
      <c r="D1306" s="403" t="s">
        <v>3833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</row>
    <row r="1307" spans="1:16">
      <c r="A1307" s="407" t="s">
        <v>4283</v>
      </c>
      <c r="B1307" s="403" t="s">
        <v>4225</v>
      </c>
      <c r="C1307" s="404" t="s">
        <v>4226</v>
      </c>
      <c r="D1307" s="403" t="s">
        <v>4227</v>
      </c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</row>
    <row r="1308" spans="1:16">
      <c r="A1308" s="407" t="s">
        <v>4283</v>
      </c>
      <c r="B1308" s="403" t="s">
        <v>730</v>
      </c>
      <c r="C1308" s="404" t="s">
        <v>218</v>
      </c>
      <c r="D1308" s="403" t="s">
        <v>4228</v>
      </c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</row>
    <row r="1309" spans="1:16">
      <c r="A1309" s="407" t="s">
        <v>4283</v>
      </c>
      <c r="B1309" s="403" t="s">
        <v>4229</v>
      </c>
      <c r="C1309" s="404" t="s">
        <v>4230</v>
      </c>
      <c r="D1309" s="403" t="s">
        <v>4167</v>
      </c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</row>
    <row r="1310" spans="1:16">
      <c r="A1310" s="407" t="s">
        <v>4283</v>
      </c>
      <c r="B1310" s="413" t="s">
        <v>4231</v>
      </c>
      <c r="C1310" s="404" t="s">
        <v>4232</v>
      </c>
      <c r="D1310" s="403" t="s">
        <v>4233</v>
      </c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</row>
    <row r="1311" spans="1:16" ht="12.75">
      <c r="A1311" s="407" t="s">
        <v>4283</v>
      </c>
      <c r="B1311" s="412" t="s">
        <v>4234</v>
      </c>
      <c r="C1311" s="412" t="s">
        <v>297</v>
      </c>
      <c r="D1311" s="412" t="s">
        <v>4235</v>
      </c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</row>
    <row r="1312" spans="1:16" ht="12.75">
      <c r="A1312" s="407" t="s">
        <v>4283</v>
      </c>
      <c r="B1312" s="412" t="s">
        <v>4236</v>
      </c>
      <c r="C1312" s="412" t="s">
        <v>1886</v>
      </c>
      <c r="D1312" s="412" t="s">
        <v>4237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</row>
    <row r="1313" spans="1:16" ht="12.75">
      <c r="A1313" s="407" t="s">
        <v>4283</v>
      </c>
      <c r="B1313" s="412" t="s">
        <v>4238</v>
      </c>
      <c r="C1313" s="412" t="s">
        <v>4239</v>
      </c>
      <c r="D1313" s="412" t="s">
        <v>1291</v>
      </c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</row>
    <row r="1314" spans="1:16" ht="12.75">
      <c r="A1314" s="407" t="s">
        <v>4283</v>
      </c>
      <c r="B1314" s="412" t="s">
        <v>4240</v>
      </c>
      <c r="C1314" s="412" t="s">
        <v>3975</v>
      </c>
      <c r="D1314" s="412" t="s">
        <v>4241</v>
      </c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</row>
    <row r="1315" spans="1:16" ht="12.75">
      <c r="A1315" s="407" t="s">
        <v>4283</v>
      </c>
      <c r="B1315" s="412" t="s">
        <v>4242</v>
      </c>
      <c r="C1315" s="412" t="s">
        <v>4243</v>
      </c>
      <c r="D1315" s="412" t="s">
        <v>1424</v>
      </c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</row>
    <row r="1316" spans="1:16" ht="12.75">
      <c r="A1316" s="407" t="s">
        <v>4283</v>
      </c>
      <c r="B1316" s="412" t="s">
        <v>4244</v>
      </c>
      <c r="C1316" s="412" t="s">
        <v>4245</v>
      </c>
      <c r="D1316" s="412" t="s">
        <v>4246</v>
      </c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</row>
    <row r="1317" spans="1:16">
      <c r="A1317" s="407" t="s">
        <v>4283</v>
      </c>
      <c r="B1317" s="403" t="s">
        <v>4247</v>
      </c>
      <c r="C1317" s="404" t="s">
        <v>4248</v>
      </c>
      <c r="D1317" s="403" t="s">
        <v>4249</v>
      </c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</row>
    <row r="1318" spans="1:16">
      <c r="A1318" s="407" t="s">
        <v>4283</v>
      </c>
      <c r="B1318" s="403" t="s">
        <v>4250</v>
      </c>
      <c r="C1318" s="404" t="s">
        <v>203</v>
      </c>
      <c r="D1318" s="403" t="s">
        <v>4251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</row>
    <row r="1319" spans="1:16">
      <c r="A1319" s="407" t="s">
        <v>4283</v>
      </c>
      <c r="B1319" s="403" t="s">
        <v>4252</v>
      </c>
      <c r="C1319" s="404" t="s">
        <v>218</v>
      </c>
      <c r="D1319" s="403" t="s">
        <v>4253</v>
      </c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</row>
    <row r="1320" spans="1:16">
      <c r="A1320" s="407" t="s">
        <v>4283</v>
      </c>
      <c r="B1320" s="403" t="s">
        <v>4254</v>
      </c>
      <c r="C1320" s="404" t="s">
        <v>218</v>
      </c>
      <c r="D1320" s="403" t="s">
        <v>4117</v>
      </c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</row>
    <row r="1321" spans="1:16">
      <c r="A1321" s="407" t="s">
        <v>4283</v>
      </c>
      <c r="B1321" s="403" t="s">
        <v>4064</v>
      </c>
      <c r="C1321" s="404" t="s">
        <v>4065</v>
      </c>
      <c r="D1321" s="403" t="s">
        <v>4066</v>
      </c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</row>
    <row r="1322" spans="1:16">
      <c r="A1322" s="407" t="s">
        <v>4283</v>
      </c>
      <c r="B1322" s="403" t="s">
        <v>4255</v>
      </c>
      <c r="C1322" s="404" t="s">
        <v>4256</v>
      </c>
      <c r="D1322" s="403" t="s">
        <v>4257</v>
      </c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</row>
    <row r="1323" spans="1:16">
      <c r="A1323" s="407" t="s">
        <v>4283</v>
      </c>
      <c r="B1323" s="403" t="s">
        <v>4258</v>
      </c>
      <c r="C1323" s="404" t="s">
        <v>4259</v>
      </c>
      <c r="D1323" s="403" t="s">
        <v>930</v>
      </c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</row>
    <row r="1324" spans="1:16">
      <c r="A1324" s="407" t="s">
        <v>4283</v>
      </c>
      <c r="B1324" s="403" t="s">
        <v>4260</v>
      </c>
      <c r="C1324" s="404" t="s">
        <v>218</v>
      </c>
      <c r="D1324" s="403" t="s">
        <v>4127</v>
      </c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</row>
    <row r="1325" spans="1:16">
      <c r="A1325" s="407" t="s">
        <v>4283</v>
      </c>
      <c r="B1325" s="403" t="s">
        <v>4261</v>
      </c>
      <c r="C1325" s="404" t="s">
        <v>218</v>
      </c>
      <c r="D1325" s="403" t="s">
        <v>4262</v>
      </c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</row>
    <row r="1326" spans="1:16">
      <c r="A1326" s="407" t="s">
        <v>4283</v>
      </c>
      <c r="B1326" s="403" t="s">
        <v>4263</v>
      </c>
      <c r="C1326" s="404" t="s">
        <v>218</v>
      </c>
      <c r="D1326" s="403" t="s">
        <v>4264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</row>
    <row r="1327" spans="1:16">
      <c r="A1327" s="407" t="s">
        <v>4283</v>
      </c>
      <c r="B1327" s="403" t="s">
        <v>4265</v>
      </c>
      <c r="C1327" s="404" t="s">
        <v>218</v>
      </c>
      <c r="D1327" s="403" t="s">
        <v>4266</v>
      </c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</row>
    <row r="1328" spans="1:16">
      <c r="A1328" s="407" t="s">
        <v>4283</v>
      </c>
      <c r="B1328" s="403" t="s">
        <v>4267</v>
      </c>
      <c r="C1328" s="404" t="s">
        <v>218</v>
      </c>
      <c r="D1328" s="403" t="s">
        <v>4268</v>
      </c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</row>
    <row r="1329" spans="1:16">
      <c r="A1329" s="407" t="s">
        <v>4283</v>
      </c>
      <c r="B1329" s="403" t="s">
        <v>4269</v>
      </c>
      <c r="C1329" s="404" t="s">
        <v>1498</v>
      </c>
      <c r="D1329" s="403" t="s">
        <v>3988</v>
      </c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</row>
    <row r="1330" spans="1:16">
      <c r="A1330" s="407" t="s">
        <v>4283</v>
      </c>
      <c r="B1330" s="403" t="s">
        <v>4270</v>
      </c>
      <c r="C1330" s="404" t="s">
        <v>4271</v>
      </c>
      <c r="D1330" s="403" t="s">
        <v>4272</v>
      </c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</row>
    <row r="1331" spans="1:16">
      <c r="A1331" s="407" t="s">
        <v>4283</v>
      </c>
      <c r="B1331" s="403" t="s">
        <v>4273</v>
      </c>
      <c r="C1331" s="404" t="s">
        <v>4274</v>
      </c>
      <c r="D1331" s="403" t="s">
        <v>15</v>
      </c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</row>
    <row r="1332" spans="1:16">
      <c r="A1332" s="407" t="s">
        <v>4283</v>
      </c>
      <c r="B1332" s="403" t="s">
        <v>4275</v>
      </c>
      <c r="C1332" s="404" t="s">
        <v>218</v>
      </c>
      <c r="D1332" s="403" t="s">
        <v>4276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</row>
    <row r="1333" spans="1:16">
      <c r="A1333" s="407" t="s">
        <v>4283</v>
      </c>
      <c r="B1333" s="403" t="s">
        <v>4277</v>
      </c>
      <c r="C1333" s="404" t="s">
        <v>218</v>
      </c>
      <c r="D1333" s="403" t="s">
        <v>4278</v>
      </c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</row>
    <row r="1334" spans="1:16">
      <c r="A1334" s="407" t="s">
        <v>4283</v>
      </c>
      <c r="B1334" s="403" t="s">
        <v>4279</v>
      </c>
      <c r="C1334" s="404" t="s">
        <v>218</v>
      </c>
      <c r="D1334" s="403" t="s">
        <v>4280</v>
      </c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</row>
    <row r="1335" spans="1:16">
      <c r="A1335" s="407" t="s">
        <v>4283</v>
      </c>
      <c r="B1335" s="403" t="s">
        <v>4281</v>
      </c>
      <c r="C1335" s="404" t="s">
        <v>218</v>
      </c>
      <c r="D1335" s="403" t="s">
        <v>4282</v>
      </c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</row>
    <row r="1336" spans="1:16">
      <c r="A1336" s="407" t="s">
        <v>4393</v>
      </c>
      <c r="B1336" s="403" t="s">
        <v>4284</v>
      </c>
      <c r="C1336" s="404" t="s">
        <v>4285</v>
      </c>
      <c r="D1336" s="403" t="s">
        <v>4286</v>
      </c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</row>
    <row r="1337" spans="1:16">
      <c r="A1337" s="407" t="s">
        <v>4393</v>
      </c>
      <c r="B1337" s="414" t="s">
        <v>4287</v>
      </c>
      <c r="C1337" s="404" t="s">
        <v>4288</v>
      </c>
      <c r="D1337" s="403" t="s">
        <v>4289</v>
      </c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</row>
    <row r="1338" spans="1:16">
      <c r="A1338" s="407" t="s">
        <v>4393</v>
      </c>
      <c r="B1338" s="414" t="s">
        <v>4012</v>
      </c>
      <c r="C1338" s="404" t="s">
        <v>4290</v>
      </c>
      <c r="D1338" s="415" t="s">
        <v>4291</v>
      </c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</row>
    <row r="1339" spans="1:16">
      <c r="A1339" s="407" t="s">
        <v>4393</v>
      </c>
      <c r="B1339" s="414" t="s">
        <v>4292</v>
      </c>
      <c r="C1339" s="404" t="s">
        <v>4293</v>
      </c>
      <c r="D1339" s="403" t="s">
        <v>4294</v>
      </c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</row>
    <row r="1340" spans="1:16">
      <c r="A1340" s="407" t="s">
        <v>4393</v>
      </c>
      <c r="B1340" s="414" t="s">
        <v>4295</v>
      </c>
      <c r="C1340" s="404" t="s">
        <v>218</v>
      </c>
      <c r="D1340" s="403" t="s">
        <v>4296</v>
      </c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</row>
    <row r="1341" spans="1:16">
      <c r="A1341" s="407" t="s">
        <v>4393</v>
      </c>
      <c r="B1341" s="414" t="s">
        <v>4297</v>
      </c>
      <c r="C1341" s="404" t="s">
        <v>4298</v>
      </c>
      <c r="D1341" s="403" t="s">
        <v>4299</v>
      </c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</row>
    <row r="1342" spans="1:16">
      <c r="A1342" s="407" t="s">
        <v>4393</v>
      </c>
      <c r="B1342" s="414" t="s">
        <v>1350</v>
      </c>
      <c r="C1342" s="404" t="s">
        <v>4300</v>
      </c>
      <c r="D1342" s="403" t="s">
        <v>1155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</row>
    <row r="1343" spans="1:16">
      <c r="A1343" s="407" t="s">
        <v>4393</v>
      </c>
      <c r="B1343" s="414" t="s">
        <v>4301</v>
      </c>
      <c r="C1343" s="404" t="s">
        <v>1498</v>
      </c>
      <c r="D1343" s="403" t="s">
        <v>4302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</row>
    <row r="1344" spans="1:16">
      <c r="A1344" s="407" t="s">
        <v>4393</v>
      </c>
      <c r="B1344" s="414" t="s">
        <v>4303</v>
      </c>
      <c r="C1344" s="404" t="s">
        <v>4094</v>
      </c>
      <c r="D1344" s="403" t="s">
        <v>4304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</row>
    <row r="1345" spans="1:16">
      <c r="A1345" s="407" t="s">
        <v>4393</v>
      </c>
      <c r="B1345" s="414" t="s">
        <v>4305</v>
      </c>
      <c r="C1345" s="404" t="s">
        <v>4306</v>
      </c>
      <c r="D1345" s="403" t="s">
        <v>4307</v>
      </c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</row>
    <row r="1346" spans="1:16">
      <c r="A1346" s="407" t="s">
        <v>4393</v>
      </c>
      <c r="B1346" s="414" t="s">
        <v>4308</v>
      </c>
      <c r="C1346" s="404" t="s">
        <v>218</v>
      </c>
      <c r="D1346" s="403" t="s">
        <v>4309</v>
      </c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</row>
    <row r="1347" spans="1:16">
      <c r="A1347" s="407" t="s">
        <v>4393</v>
      </c>
      <c r="B1347" s="414" t="s">
        <v>4310</v>
      </c>
      <c r="C1347" s="404" t="s">
        <v>4311</v>
      </c>
      <c r="D1347" s="403" t="s">
        <v>4312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</row>
    <row r="1348" spans="1:16">
      <c r="A1348" s="407" t="s">
        <v>4393</v>
      </c>
      <c r="B1348" s="414" t="s">
        <v>4313</v>
      </c>
      <c r="C1348" s="404" t="s">
        <v>4314</v>
      </c>
      <c r="D1348" s="403" t="s">
        <v>4315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</row>
    <row r="1349" spans="1:16">
      <c r="A1349" s="407" t="s">
        <v>4393</v>
      </c>
      <c r="B1349" s="414" t="s">
        <v>4316</v>
      </c>
      <c r="C1349" s="404" t="s">
        <v>4317</v>
      </c>
      <c r="D1349" s="403" t="s">
        <v>4318</v>
      </c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</row>
    <row r="1350" spans="1:16">
      <c r="A1350" s="407" t="s">
        <v>4393</v>
      </c>
      <c r="B1350" s="414" t="s">
        <v>4319</v>
      </c>
      <c r="C1350" s="404" t="s">
        <v>4320</v>
      </c>
      <c r="D1350" s="403" t="s">
        <v>4321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</row>
    <row r="1351" spans="1:16">
      <c r="A1351" s="407" t="s">
        <v>4393</v>
      </c>
      <c r="B1351" s="414" t="s">
        <v>4322</v>
      </c>
      <c r="C1351" s="404" t="s">
        <v>3798</v>
      </c>
      <c r="D1351" s="403" t="s">
        <v>4323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</row>
    <row r="1352" spans="1:16">
      <c r="A1352" s="407" t="s">
        <v>4393</v>
      </c>
      <c r="B1352" s="414" t="s">
        <v>4324</v>
      </c>
      <c r="C1352" s="404" t="s">
        <v>4325</v>
      </c>
      <c r="D1352" s="403" t="s">
        <v>4326</v>
      </c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</row>
    <row r="1353" spans="1:16">
      <c r="A1353" s="407" t="s">
        <v>4393</v>
      </c>
      <c r="B1353" s="414" t="s">
        <v>4327</v>
      </c>
      <c r="C1353" s="404" t="s">
        <v>4328</v>
      </c>
      <c r="D1353" s="403" t="s">
        <v>4329</v>
      </c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</row>
    <row r="1354" spans="1:16">
      <c r="A1354" s="407" t="s">
        <v>4393</v>
      </c>
      <c r="B1354" s="414" t="s">
        <v>4330</v>
      </c>
      <c r="C1354" s="404" t="s">
        <v>4331</v>
      </c>
      <c r="D1354" s="403" t="s">
        <v>4332</v>
      </c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</row>
    <row r="1355" spans="1:16">
      <c r="A1355" s="407" t="s">
        <v>4393</v>
      </c>
      <c r="B1355" s="414" t="s">
        <v>4333</v>
      </c>
      <c r="C1355" s="404" t="s">
        <v>4334</v>
      </c>
      <c r="D1355" s="403" t="s">
        <v>4335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</row>
    <row r="1356" spans="1:16">
      <c r="A1356" s="407" t="s">
        <v>4393</v>
      </c>
      <c r="B1356" s="416" t="s">
        <v>4336</v>
      </c>
      <c r="C1356" s="404" t="s">
        <v>4337</v>
      </c>
      <c r="D1356" s="403" t="s">
        <v>4338</v>
      </c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</row>
    <row r="1357" spans="1:16">
      <c r="A1357" s="407" t="s">
        <v>4393</v>
      </c>
      <c r="B1357" s="414" t="s">
        <v>4339</v>
      </c>
      <c r="C1357" s="404" t="s">
        <v>3798</v>
      </c>
      <c r="D1357" s="403" t="s">
        <v>4340</v>
      </c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</row>
    <row r="1358" spans="1:16">
      <c r="A1358" s="407" t="s">
        <v>4393</v>
      </c>
      <c r="B1358" s="414" t="s">
        <v>4341</v>
      </c>
      <c r="C1358" s="404" t="s">
        <v>4342</v>
      </c>
      <c r="D1358" s="403" t="s">
        <v>4343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</row>
    <row r="1359" spans="1:16">
      <c r="A1359" s="407" t="s">
        <v>4393</v>
      </c>
      <c r="B1359" s="414" t="s">
        <v>4344</v>
      </c>
      <c r="C1359" s="404" t="s">
        <v>4345</v>
      </c>
      <c r="D1359" s="403" t="s">
        <v>4346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</row>
    <row r="1360" spans="1:16">
      <c r="A1360" s="407" t="s">
        <v>4393</v>
      </c>
      <c r="B1360" s="417" t="s">
        <v>4347</v>
      </c>
      <c r="C1360" s="404" t="s">
        <v>4348</v>
      </c>
      <c r="D1360" s="403" t="s">
        <v>4349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</row>
    <row r="1361" spans="1:16">
      <c r="A1361" s="407" t="s">
        <v>4393</v>
      </c>
      <c r="B1361" s="414" t="s">
        <v>4350</v>
      </c>
      <c r="C1361" s="404" t="s">
        <v>4351</v>
      </c>
      <c r="D1361" s="403" t="s">
        <v>4352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</row>
    <row r="1362" spans="1:16">
      <c r="A1362" s="407" t="s">
        <v>4393</v>
      </c>
      <c r="B1362" s="414" t="s">
        <v>4353</v>
      </c>
      <c r="C1362" s="404" t="s">
        <v>4354</v>
      </c>
      <c r="D1362" s="403" t="s">
        <v>4355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</row>
    <row r="1363" spans="1:16">
      <c r="A1363" s="407" t="s">
        <v>4393</v>
      </c>
      <c r="B1363" s="414" t="s">
        <v>4356</v>
      </c>
      <c r="C1363" s="404" t="s">
        <v>4357</v>
      </c>
      <c r="D1363" s="415" t="s">
        <v>4358</v>
      </c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</row>
    <row r="1364" spans="1:16">
      <c r="A1364" s="407" t="s">
        <v>4393</v>
      </c>
      <c r="B1364" s="403" t="s">
        <v>4359</v>
      </c>
      <c r="C1364" s="404" t="s">
        <v>4360</v>
      </c>
      <c r="D1364" s="403" t="s">
        <v>4198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</row>
    <row r="1365" spans="1:16">
      <c r="A1365" s="407" t="s">
        <v>4393</v>
      </c>
      <c r="B1365" s="414" t="s">
        <v>4361</v>
      </c>
      <c r="C1365" s="404" t="s">
        <v>4362</v>
      </c>
      <c r="D1365" s="415" t="s">
        <v>4363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</row>
    <row r="1366" spans="1:16">
      <c r="A1366" s="407" t="s">
        <v>4393</v>
      </c>
      <c r="B1366" s="414" t="s">
        <v>4364</v>
      </c>
      <c r="C1366" s="404" t="s">
        <v>4365</v>
      </c>
      <c r="D1366" s="415" t="s">
        <v>4366</v>
      </c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</row>
    <row r="1367" spans="1:16">
      <c r="A1367" s="407" t="s">
        <v>4393</v>
      </c>
      <c r="B1367" s="414" t="s">
        <v>4367</v>
      </c>
      <c r="C1367" s="404" t="s">
        <v>4368</v>
      </c>
      <c r="D1367" s="415" t="s">
        <v>4369</v>
      </c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</row>
    <row r="1368" spans="1:16">
      <c r="A1368" s="407" t="s">
        <v>4393</v>
      </c>
      <c r="B1368" s="414" t="s">
        <v>4370</v>
      </c>
      <c r="C1368" s="404" t="s">
        <v>4002</v>
      </c>
      <c r="D1368" s="403" t="s">
        <v>3722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</row>
    <row r="1369" spans="1:16">
      <c r="A1369" s="407" t="s">
        <v>4393</v>
      </c>
      <c r="B1369" s="414" t="s">
        <v>4371</v>
      </c>
      <c r="C1369" s="404" t="s">
        <v>4372</v>
      </c>
      <c r="D1369" s="415" t="s">
        <v>4373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</row>
    <row r="1370" spans="1:16">
      <c r="A1370" s="407" t="s">
        <v>4393</v>
      </c>
      <c r="B1370" s="414" t="s">
        <v>4374</v>
      </c>
      <c r="C1370" s="404" t="s">
        <v>4002</v>
      </c>
      <c r="D1370" s="403" t="s">
        <v>3722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</row>
    <row r="1371" spans="1:16">
      <c r="A1371" s="407" t="s">
        <v>4393</v>
      </c>
      <c r="B1371" s="414" t="s">
        <v>4375</v>
      </c>
      <c r="C1371" s="404" t="s">
        <v>4376</v>
      </c>
      <c r="D1371" s="415" t="s">
        <v>4377</v>
      </c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</row>
    <row r="1372" spans="1:16">
      <c r="A1372" s="407" t="s">
        <v>4393</v>
      </c>
      <c r="B1372" s="414" t="s">
        <v>4378</v>
      </c>
      <c r="C1372" s="404" t="s">
        <v>4379</v>
      </c>
      <c r="D1372" s="403" t="s">
        <v>4380</v>
      </c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</row>
    <row r="1373" spans="1:16">
      <c r="A1373" s="407" t="s">
        <v>4393</v>
      </c>
      <c r="B1373" s="414" t="s">
        <v>4381</v>
      </c>
      <c r="C1373" s="404" t="s">
        <v>4382</v>
      </c>
      <c r="D1373" s="415" t="s">
        <v>4383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</row>
    <row r="1374" spans="1:16">
      <c r="A1374" s="407" t="s">
        <v>4393</v>
      </c>
      <c r="B1374" s="414" t="s">
        <v>4384</v>
      </c>
      <c r="C1374" s="404" t="s">
        <v>4385</v>
      </c>
      <c r="D1374" s="415" t="s">
        <v>4386</v>
      </c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</row>
    <row r="1375" spans="1:16">
      <c r="A1375" s="407" t="s">
        <v>4393</v>
      </c>
      <c r="B1375" s="414" t="s">
        <v>4387</v>
      </c>
      <c r="C1375" s="404" t="s">
        <v>4388</v>
      </c>
      <c r="D1375" s="415" t="s">
        <v>4389</v>
      </c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</row>
    <row r="1376" spans="1:16" ht="16.5" thickBot="1">
      <c r="A1376" s="407" t="s">
        <v>4393</v>
      </c>
      <c r="B1376" s="414" t="s">
        <v>4390</v>
      </c>
      <c r="C1376" s="404" t="s">
        <v>4391</v>
      </c>
      <c r="D1376" s="415" t="s">
        <v>4392</v>
      </c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</row>
    <row r="1377" spans="1:16" ht="16.5" thickBot="1">
      <c r="A1377" s="407" t="s">
        <v>4542</v>
      </c>
      <c r="B1377" s="418" t="s">
        <v>4394</v>
      </c>
      <c r="C1377" s="419">
        <v>729557653</v>
      </c>
      <c r="D1377" s="418" t="s">
        <v>1429</v>
      </c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</row>
    <row r="1378" spans="1:16" ht="16.5" thickBot="1">
      <c r="A1378" s="407" t="s">
        <v>4542</v>
      </c>
      <c r="B1378" s="418" t="s">
        <v>4395</v>
      </c>
      <c r="C1378" s="419">
        <v>729557653</v>
      </c>
      <c r="D1378" s="418" t="s">
        <v>1429</v>
      </c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</row>
    <row r="1379" spans="1:16" ht="16.5" thickBot="1">
      <c r="A1379" s="407" t="s">
        <v>4542</v>
      </c>
      <c r="B1379" s="418" t="s">
        <v>4396</v>
      </c>
      <c r="C1379" s="419">
        <v>110837214</v>
      </c>
      <c r="D1379" s="418" t="s">
        <v>4397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</row>
    <row r="1380" spans="1:16" ht="16.5" thickBot="1">
      <c r="A1380" s="407" t="s">
        <v>4542</v>
      </c>
      <c r="B1380" s="418" t="s">
        <v>4398</v>
      </c>
      <c r="C1380" s="419">
        <v>721320665</v>
      </c>
      <c r="D1380" s="418" t="s">
        <v>4399</v>
      </c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</row>
    <row r="1381" spans="1:16" ht="16.5" thickBot="1">
      <c r="A1381" s="407" t="s">
        <v>4542</v>
      </c>
      <c r="B1381" s="418" t="s">
        <v>4400</v>
      </c>
      <c r="C1381" s="419">
        <v>790003006</v>
      </c>
      <c r="D1381" s="418" t="s">
        <v>4401</v>
      </c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</row>
    <row r="1382" spans="1:16" ht="16.5" thickBot="1">
      <c r="A1382" s="407" t="s">
        <v>4542</v>
      </c>
      <c r="B1382" s="418" t="s">
        <v>4402</v>
      </c>
      <c r="C1382" s="419">
        <v>795589966</v>
      </c>
      <c r="D1382" s="418" t="s">
        <v>27</v>
      </c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</row>
    <row r="1383" spans="1:16" ht="16.5" thickBot="1">
      <c r="A1383" s="407" t="s">
        <v>4542</v>
      </c>
      <c r="B1383" s="418" t="s">
        <v>4403</v>
      </c>
      <c r="C1383" s="419">
        <v>727649855</v>
      </c>
      <c r="D1383" s="418" t="s">
        <v>4404</v>
      </c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</row>
    <row r="1384" spans="1:16" ht="16.5" thickBot="1">
      <c r="A1384" s="407" t="s">
        <v>4542</v>
      </c>
      <c r="B1384" s="418" t="s">
        <v>4405</v>
      </c>
      <c r="C1384" s="419">
        <v>793776963</v>
      </c>
      <c r="D1384" s="418" t="s">
        <v>4406</v>
      </c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</row>
    <row r="1385" spans="1:16" ht="16.5" thickBot="1">
      <c r="A1385" s="407" t="s">
        <v>4542</v>
      </c>
      <c r="B1385" s="418" t="s">
        <v>4407</v>
      </c>
      <c r="C1385" s="419">
        <v>795305251</v>
      </c>
      <c r="D1385" s="418" t="s">
        <v>4408</v>
      </c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</row>
    <row r="1386" spans="1:16" ht="16.5" thickBot="1">
      <c r="A1386" s="407" t="s">
        <v>4542</v>
      </c>
      <c r="B1386" s="418" t="s">
        <v>4409</v>
      </c>
      <c r="C1386" s="419">
        <v>746194422</v>
      </c>
      <c r="D1386" s="418" t="s">
        <v>757</v>
      </c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</row>
    <row r="1387" spans="1:16" ht="16.5" thickBot="1">
      <c r="A1387" s="407" t="s">
        <v>4542</v>
      </c>
      <c r="B1387" s="418" t="s">
        <v>4410</v>
      </c>
      <c r="C1387" s="419">
        <v>726285182</v>
      </c>
      <c r="D1387" s="418" t="s">
        <v>4411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</row>
    <row r="1388" spans="1:16" ht="16.5" thickBot="1">
      <c r="A1388" s="407" t="s">
        <v>4542</v>
      </c>
      <c r="B1388" s="420" t="s">
        <v>4412</v>
      </c>
      <c r="C1388" s="421">
        <v>729761450</v>
      </c>
      <c r="D1388" s="418" t="s">
        <v>4413</v>
      </c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</row>
    <row r="1389" spans="1:16" ht="16.5" thickBot="1">
      <c r="A1389" s="407" t="s">
        <v>4542</v>
      </c>
      <c r="B1389" s="418" t="s">
        <v>4414</v>
      </c>
      <c r="C1389" s="419">
        <v>710894620</v>
      </c>
      <c r="D1389" s="418" t="s">
        <v>4415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</row>
    <row r="1390" spans="1:16" ht="16.5" thickBot="1">
      <c r="A1390" s="407" t="s">
        <v>4542</v>
      </c>
      <c r="B1390" s="418" t="s">
        <v>4416</v>
      </c>
      <c r="C1390" s="419">
        <v>711950907</v>
      </c>
      <c r="D1390" s="420" t="s">
        <v>2431</v>
      </c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</row>
    <row r="1391" spans="1:16" ht="16.5" thickBot="1">
      <c r="A1391" s="407" t="s">
        <v>4542</v>
      </c>
      <c r="B1391" s="420" t="s">
        <v>4417</v>
      </c>
      <c r="C1391" s="419">
        <v>794273097</v>
      </c>
      <c r="D1391" s="418" t="s">
        <v>4541</v>
      </c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</row>
    <row r="1392" spans="1:16" ht="16.5" thickBot="1">
      <c r="A1392" s="407" t="s">
        <v>4542</v>
      </c>
      <c r="B1392" s="420" t="s">
        <v>4418</v>
      </c>
      <c r="C1392" s="419">
        <v>714075357</v>
      </c>
      <c r="D1392" s="418" t="s">
        <v>4540</v>
      </c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</row>
    <row r="1393" spans="1:16" ht="16.5" thickBot="1">
      <c r="A1393" s="407" t="s">
        <v>4542</v>
      </c>
      <c r="B1393" s="420" t="s">
        <v>4419</v>
      </c>
      <c r="C1393" s="421">
        <v>722029909</v>
      </c>
      <c r="D1393" s="420" t="s">
        <v>4420</v>
      </c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</row>
    <row r="1394" spans="1:16" ht="16.5" thickBot="1">
      <c r="A1394" s="407" t="s">
        <v>4542</v>
      </c>
      <c r="B1394" s="420" t="s">
        <v>4421</v>
      </c>
      <c r="C1394" s="421">
        <v>722202092</v>
      </c>
      <c r="D1394" s="420" t="s">
        <v>4422</v>
      </c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</row>
    <row r="1395" spans="1:16" ht="16.5" thickBot="1">
      <c r="A1395" s="407" t="s">
        <v>4542</v>
      </c>
      <c r="B1395" s="420" t="s">
        <v>4423</v>
      </c>
      <c r="C1395" s="421">
        <v>716155355</v>
      </c>
      <c r="D1395" s="420" t="s">
        <v>4424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</row>
    <row r="1396" spans="1:16" ht="19.5" thickBot="1">
      <c r="A1396" s="407" t="s">
        <v>4542</v>
      </c>
      <c r="B1396" s="420" t="s">
        <v>4425</v>
      </c>
      <c r="C1396" s="421">
        <v>714772175</v>
      </c>
      <c r="D1396" s="422" t="s">
        <v>4426</v>
      </c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</row>
    <row r="1397" spans="1:16" ht="16.5" thickBot="1">
      <c r="A1397" s="407" t="s">
        <v>4542</v>
      </c>
      <c r="B1397" s="420" t="s">
        <v>4427</v>
      </c>
      <c r="C1397" s="419">
        <v>720543539</v>
      </c>
      <c r="D1397" s="420" t="s">
        <v>4428</v>
      </c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</row>
    <row r="1398" spans="1:16" ht="16.5" thickBot="1">
      <c r="A1398" s="407" t="s">
        <v>4542</v>
      </c>
      <c r="B1398" s="420" t="s">
        <v>4429</v>
      </c>
      <c r="C1398" s="421">
        <v>733198264</v>
      </c>
      <c r="D1398" s="420" t="s">
        <v>4430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</row>
    <row r="1399" spans="1:16" ht="16.5" thickBot="1">
      <c r="A1399" s="407" t="s">
        <v>4542</v>
      </c>
      <c r="B1399" s="420" t="s">
        <v>4431</v>
      </c>
      <c r="C1399" s="419">
        <v>715296648</v>
      </c>
      <c r="D1399" s="418" t="s">
        <v>4432</v>
      </c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</row>
    <row r="1400" spans="1:16" ht="16.5" thickBot="1">
      <c r="A1400" s="407" t="s">
        <v>4542</v>
      </c>
      <c r="B1400" s="420" t="s">
        <v>4433</v>
      </c>
      <c r="C1400" s="421" t="s">
        <v>4434</v>
      </c>
      <c r="D1400" s="422" t="s">
        <v>4544</v>
      </c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</row>
    <row r="1401" spans="1:16" ht="16.5" thickBot="1">
      <c r="A1401" s="407" t="s">
        <v>4542</v>
      </c>
      <c r="B1401" s="420" t="s">
        <v>4435</v>
      </c>
      <c r="C1401" s="421">
        <v>711211174</v>
      </c>
      <c r="D1401" s="420" t="s">
        <v>4436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</row>
    <row r="1402" spans="1:16" ht="16.5" thickBot="1">
      <c r="A1402" s="407" t="s">
        <v>4542</v>
      </c>
      <c r="B1402" s="420" t="s">
        <v>4437</v>
      </c>
      <c r="C1402" s="421">
        <v>7410571808</v>
      </c>
      <c r="D1402" s="422" t="s">
        <v>4438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</row>
    <row r="1403" spans="1:16" ht="16.5" thickBot="1">
      <c r="A1403" s="407" t="s">
        <v>4542</v>
      </c>
      <c r="B1403" s="420" t="s">
        <v>4439</v>
      </c>
      <c r="C1403" s="421">
        <v>745242858</v>
      </c>
      <c r="D1403" s="420" t="s">
        <v>4440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</row>
    <row r="1404" spans="1:16" ht="16.5" thickBot="1">
      <c r="A1404" s="407" t="s">
        <v>4542</v>
      </c>
      <c r="B1404" s="420" t="s">
        <v>4441</v>
      </c>
      <c r="C1404" s="421">
        <v>716046638</v>
      </c>
      <c r="D1404" s="420" t="s">
        <v>4442</v>
      </c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</row>
    <row r="1405" spans="1:16" ht="16.5" thickBot="1">
      <c r="A1405" s="407" t="s">
        <v>4542</v>
      </c>
      <c r="B1405" s="420" t="s">
        <v>4443</v>
      </c>
      <c r="C1405" s="419">
        <v>757720358</v>
      </c>
      <c r="D1405" s="418" t="s">
        <v>4444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</row>
    <row r="1406" spans="1:16" ht="16.5" thickBot="1">
      <c r="A1406" s="407" t="s">
        <v>4542</v>
      </c>
      <c r="B1406" s="420" t="s">
        <v>4445</v>
      </c>
      <c r="C1406" s="421" t="s">
        <v>4446</v>
      </c>
      <c r="D1406" s="420" t="s">
        <v>4447</v>
      </c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</row>
    <row r="1407" spans="1:16" ht="16.5" thickBot="1">
      <c r="A1407" s="407" t="s">
        <v>4542</v>
      </c>
      <c r="B1407" s="420" t="s">
        <v>4448</v>
      </c>
      <c r="C1407" s="421">
        <v>722914951</v>
      </c>
      <c r="D1407" s="420" t="s">
        <v>4449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</row>
    <row r="1408" spans="1:16" ht="16.5" thickBot="1">
      <c r="A1408" s="407" t="s">
        <v>4542</v>
      </c>
      <c r="B1408" s="420" t="s">
        <v>4450</v>
      </c>
      <c r="C1408" s="421">
        <v>720919606</v>
      </c>
      <c r="D1408" s="420" t="s">
        <v>4451</v>
      </c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</row>
    <row r="1409" spans="1:16" ht="16.5" thickBot="1">
      <c r="A1409" s="407" t="s">
        <v>4542</v>
      </c>
      <c r="B1409" s="420" t="s">
        <v>4452</v>
      </c>
      <c r="C1409" s="421">
        <v>706533240</v>
      </c>
      <c r="D1409" s="420" t="s">
        <v>4453</v>
      </c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</row>
    <row r="1410" spans="1:16" ht="16.5" thickBot="1">
      <c r="A1410" s="407" t="s">
        <v>4542</v>
      </c>
      <c r="B1410" s="420" t="s">
        <v>4454</v>
      </c>
      <c r="C1410" s="421">
        <v>706210194</v>
      </c>
      <c r="D1410" s="422" t="s">
        <v>4543</v>
      </c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</row>
    <row r="1411" spans="1:16" ht="16.5" thickBot="1">
      <c r="A1411" s="407" t="s">
        <v>4542</v>
      </c>
      <c r="B1411" s="418" t="s">
        <v>4455</v>
      </c>
      <c r="C1411" s="421">
        <v>734666001</v>
      </c>
      <c r="D1411" s="420" t="s">
        <v>4456</v>
      </c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</row>
    <row r="1412" spans="1:16" ht="16.5" thickBot="1">
      <c r="A1412" s="407" t="s">
        <v>4542</v>
      </c>
      <c r="B1412" s="420" t="s">
        <v>4457</v>
      </c>
      <c r="C1412" s="421">
        <v>714842148</v>
      </c>
      <c r="D1412" s="420" t="s">
        <v>4458</v>
      </c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</row>
    <row r="1413" spans="1:16" ht="16.5" thickBot="1">
      <c r="A1413" s="407" t="s">
        <v>4542</v>
      </c>
      <c r="B1413" s="420" t="s">
        <v>4459</v>
      </c>
      <c r="C1413" s="421">
        <v>720308311</v>
      </c>
      <c r="D1413" s="420" t="s">
        <v>4460</v>
      </c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</row>
    <row r="1414" spans="1:16" ht="16.5" thickBot="1">
      <c r="A1414" s="407" t="s">
        <v>4542</v>
      </c>
      <c r="B1414" s="420" t="s">
        <v>4461</v>
      </c>
      <c r="C1414" s="421">
        <v>710894620</v>
      </c>
      <c r="D1414" s="420" t="s">
        <v>4462</v>
      </c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</row>
    <row r="1415" spans="1:16" ht="16.5" thickBot="1">
      <c r="A1415" s="407" t="s">
        <v>4542</v>
      </c>
      <c r="B1415" s="420" t="s">
        <v>4463</v>
      </c>
      <c r="C1415" s="421">
        <v>727257350</v>
      </c>
      <c r="D1415" s="420" t="s">
        <v>4464</v>
      </c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</row>
    <row r="1416" spans="1:16" ht="16.5" thickBot="1">
      <c r="A1416" s="407" t="s">
        <v>4542</v>
      </c>
      <c r="B1416" s="420" t="s">
        <v>4465</v>
      </c>
      <c r="C1416" s="421">
        <v>722561567</v>
      </c>
      <c r="D1416" s="420" t="s">
        <v>4466</v>
      </c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</row>
    <row r="1417" spans="1:16" ht="16.5" thickBot="1">
      <c r="A1417" s="407" t="s">
        <v>4542</v>
      </c>
      <c r="B1417" s="420" t="s">
        <v>4467</v>
      </c>
      <c r="C1417" s="421">
        <v>702418182</v>
      </c>
      <c r="D1417" s="420" t="s">
        <v>4468</v>
      </c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</row>
    <row r="1418" spans="1:16" ht="16.5" thickBot="1">
      <c r="A1418" s="407" t="s">
        <v>4542</v>
      </c>
      <c r="B1418" s="420" t="s">
        <v>4469</v>
      </c>
      <c r="C1418" s="421" t="s">
        <v>4470</v>
      </c>
      <c r="D1418" s="420" t="s">
        <v>4471</v>
      </c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</row>
    <row r="1419" spans="1:16" ht="16.5" thickBot="1">
      <c r="A1419" s="407" t="s">
        <v>4542</v>
      </c>
      <c r="B1419" s="420" t="s">
        <v>4472</v>
      </c>
      <c r="C1419" s="421">
        <v>737599697</v>
      </c>
      <c r="D1419" s="420" t="s">
        <v>4473</v>
      </c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</row>
    <row r="1420" spans="1:16" ht="16.5" thickBot="1">
      <c r="A1420" s="407" t="s">
        <v>4542</v>
      </c>
      <c r="B1420" s="420" t="s">
        <v>4474</v>
      </c>
      <c r="C1420" s="421">
        <v>712128884</v>
      </c>
      <c r="D1420" s="418" t="s">
        <v>4475</v>
      </c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</row>
    <row r="1421" spans="1:16" ht="16.5" thickBot="1">
      <c r="A1421" s="407" t="s">
        <v>4542</v>
      </c>
      <c r="B1421" s="420" t="s">
        <v>4476</v>
      </c>
      <c r="C1421" s="421">
        <v>712489673</v>
      </c>
      <c r="D1421" s="420" t="s">
        <v>4477</v>
      </c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</row>
    <row r="1422" spans="1:16" ht="16.5" thickBot="1">
      <c r="A1422" s="407" t="s">
        <v>4542</v>
      </c>
      <c r="B1422" s="420" t="s">
        <v>4478</v>
      </c>
      <c r="C1422" s="421">
        <v>716518978</v>
      </c>
      <c r="D1422" s="420" t="s">
        <v>4479</v>
      </c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</row>
    <row r="1423" spans="1:16" ht="16.5" thickBot="1">
      <c r="A1423" s="407" t="s">
        <v>4542</v>
      </c>
      <c r="B1423" s="420" t="s">
        <v>4480</v>
      </c>
      <c r="C1423" s="421">
        <v>733743289</v>
      </c>
      <c r="D1423" s="420" t="s">
        <v>4481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</row>
    <row r="1424" spans="1:16" ht="16.5" thickBot="1">
      <c r="A1424" s="407" t="s">
        <v>4542</v>
      </c>
      <c r="B1424" s="420" t="s">
        <v>4482</v>
      </c>
      <c r="C1424" s="421">
        <v>720740802</v>
      </c>
      <c r="D1424" s="420" t="s">
        <v>4483</v>
      </c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</row>
    <row r="1425" spans="1:16" ht="16.5" thickBot="1">
      <c r="A1425" s="407" t="s">
        <v>4542</v>
      </c>
      <c r="B1425" s="420" t="s">
        <v>4484</v>
      </c>
      <c r="C1425" s="421">
        <v>710223706</v>
      </c>
      <c r="D1425" s="420" t="s">
        <v>4485</v>
      </c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</row>
    <row r="1426" spans="1:16" ht="16.5" thickBot="1">
      <c r="A1426" s="407" t="s">
        <v>4542</v>
      </c>
      <c r="B1426" s="420" t="s">
        <v>4486</v>
      </c>
      <c r="C1426" s="421">
        <v>532030901</v>
      </c>
      <c r="D1426" s="420" t="s">
        <v>4487</v>
      </c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</row>
    <row r="1427" spans="1:16" ht="16.5" thickBot="1">
      <c r="A1427" s="407" t="s">
        <v>4542</v>
      </c>
      <c r="B1427" s="420" t="s">
        <v>4488</v>
      </c>
      <c r="C1427" s="419">
        <v>721692018</v>
      </c>
      <c r="D1427" s="420" t="s">
        <v>4489</v>
      </c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</row>
    <row r="1428" spans="1:16" ht="16.5" thickBot="1">
      <c r="A1428" s="407" t="s">
        <v>4542</v>
      </c>
      <c r="B1428" s="420" t="s">
        <v>4490</v>
      </c>
      <c r="C1428" s="421">
        <v>724658180</v>
      </c>
      <c r="D1428" s="420" t="s">
        <v>4491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</row>
    <row r="1429" spans="1:16" ht="16.5" thickBot="1">
      <c r="A1429" s="407" t="s">
        <v>4542</v>
      </c>
      <c r="B1429" s="420" t="s">
        <v>4492</v>
      </c>
      <c r="C1429" s="421">
        <v>725517139</v>
      </c>
      <c r="D1429" s="420" t="s">
        <v>4493</v>
      </c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</row>
    <row r="1430" spans="1:16" ht="16.5" thickBot="1">
      <c r="A1430" s="407" t="s">
        <v>4542</v>
      </c>
      <c r="B1430" s="420" t="s">
        <v>4494</v>
      </c>
      <c r="C1430" s="421">
        <v>782191799</v>
      </c>
      <c r="D1430" s="420" t="s">
        <v>4495</v>
      </c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</row>
    <row r="1431" spans="1:16" ht="16.5" thickBot="1">
      <c r="A1431" s="407" t="s">
        <v>4542</v>
      </c>
      <c r="B1431" s="418" t="s">
        <v>4496</v>
      </c>
      <c r="C1431" s="421">
        <v>701906398</v>
      </c>
      <c r="D1431" s="420" t="s">
        <v>4497</v>
      </c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</row>
    <row r="1432" spans="1:16" ht="16.5" thickBot="1">
      <c r="A1432" s="407" t="s">
        <v>4542</v>
      </c>
      <c r="B1432" s="420" t="s">
        <v>4498</v>
      </c>
      <c r="C1432" s="421">
        <v>714275371</v>
      </c>
      <c r="D1432" s="420" t="s">
        <v>4499</v>
      </c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</row>
    <row r="1433" spans="1:16" ht="16.5" thickBot="1">
      <c r="A1433" s="407" t="s">
        <v>4542</v>
      </c>
      <c r="B1433" s="420" t="s">
        <v>4500</v>
      </c>
      <c r="C1433" s="421">
        <v>724477942</v>
      </c>
      <c r="D1433" s="420" t="s">
        <v>4501</v>
      </c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</row>
    <row r="1434" spans="1:16" ht="16.5" thickBot="1">
      <c r="A1434" s="407" t="s">
        <v>4542</v>
      </c>
      <c r="B1434" s="420" t="s">
        <v>4502</v>
      </c>
      <c r="C1434" s="421">
        <v>729780566</v>
      </c>
      <c r="D1434" s="420" t="s">
        <v>4503</v>
      </c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</row>
    <row r="1435" spans="1:16" ht="16.5" thickBot="1">
      <c r="A1435" s="407" t="s">
        <v>4542</v>
      </c>
      <c r="B1435" s="420" t="s">
        <v>4504</v>
      </c>
      <c r="C1435" s="423">
        <v>722933628</v>
      </c>
      <c r="D1435" s="420" t="s">
        <v>4505</v>
      </c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</row>
    <row r="1436" spans="1:16" ht="16.5" thickBot="1">
      <c r="A1436" s="407" t="s">
        <v>4542</v>
      </c>
      <c r="B1436" s="420" t="s">
        <v>4506</v>
      </c>
      <c r="C1436" s="421">
        <v>729489638</v>
      </c>
      <c r="D1436" s="420" t="s">
        <v>4507</v>
      </c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</row>
    <row r="1437" spans="1:16" ht="16.5" thickBot="1">
      <c r="A1437" s="407" t="s">
        <v>4542</v>
      </c>
      <c r="B1437" s="420" t="s">
        <v>4508</v>
      </c>
      <c r="C1437" s="421">
        <v>729006445</v>
      </c>
      <c r="D1437" s="420" t="s">
        <v>4507</v>
      </c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</row>
    <row r="1438" spans="1:16" ht="16.5" thickBot="1">
      <c r="A1438" s="407" t="s">
        <v>4542</v>
      </c>
      <c r="B1438" s="418" t="s">
        <v>4509</v>
      </c>
      <c r="C1438" s="421">
        <v>722606784</v>
      </c>
      <c r="D1438" s="420" t="s">
        <v>4510</v>
      </c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</row>
    <row r="1439" spans="1:16" ht="16.5" thickBot="1">
      <c r="A1439" s="407" t="s">
        <v>4542</v>
      </c>
      <c r="B1439" s="420" t="s">
        <v>4511</v>
      </c>
      <c r="C1439" s="421" t="s">
        <v>4512</v>
      </c>
      <c r="D1439" s="420" t="s">
        <v>4513</v>
      </c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</row>
    <row r="1440" spans="1:16" ht="16.5" thickBot="1">
      <c r="A1440" s="407" t="s">
        <v>4542</v>
      </c>
      <c r="B1440" s="420" t="s">
        <v>4514</v>
      </c>
      <c r="C1440" s="421">
        <v>741402035</v>
      </c>
      <c r="D1440" s="420" t="s">
        <v>4539</v>
      </c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</row>
    <row r="1441" spans="1:16" ht="16.5" thickBot="1">
      <c r="A1441" s="407" t="s">
        <v>4542</v>
      </c>
      <c r="B1441" s="418" t="s">
        <v>4515</v>
      </c>
      <c r="C1441" s="421">
        <v>797986032</v>
      </c>
      <c r="D1441" s="420" t="s">
        <v>4516</v>
      </c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</row>
    <row r="1442" spans="1:16" ht="16.5" thickBot="1">
      <c r="A1442" s="407" t="s">
        <v>4542</v>
      </c>
      <c r="B1442" s="420" t="s">
        <v>4517</v>
      </c>
      <c r="C1442" s="421">
        <v>748683397</v>
      </c>
      <c r="D1442" s="424" t="s">
        <v>4538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</row>
    <row r="1443" spans="1:16" ht="16.5" thickBot="1">
      <c r="A1443" s="407" t="s">
        <v>4542</v>
      </c>
      <c r="B1443" s="420" t="s">
        <v>4518</v>
      </c>
      <c r="C1443" s="419">
        <v>792020943</v>
      </c>
      <c r="D1443" s="420" t="s">
        <v>4537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</row>
    <row r="1444" spans="1:16" ht="16.5" thickBot="1">
      <c r="A1444" s="407" t="s">
        <v>4542</v>
      </c>
      <c r="B1444" s="420" t="s">
        <v>4519</v>
      </c>
      <c r="C1444" s="419">
        <v>783480039</v>
      </c>
      <c r="D1444" s="420" t="s">
        <v>4520</v>
      </c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</row>
    <row r="1445" spans="1:16" ht="16.5" thickBot="1">
      <c r="A1445" s="407" t="s">
        <v>4542</v>
      </c>
      <c r="B1445" s="420" t="s">
        <v>4521</v>
      </c>
      <c r="C1445" s="421">
        <v>723410400</v>
      </c>
      <c r="D1445" s="420" t="s">
        <v>4522</v>
      </c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</row>
    <row r="1446" spans="1:16" ht="16.5" thickBot="1">
      <c r="A1446" s="407" t="s">
        <v>4542</v>
      </c>
      <c r="B1446" s="420" t="s">
        <v>4523</v>
      </c>
      <c r="C1446" s="419">
        <v>791918972</v>
      </c>
      <c r="D1446" s="420" t="s">
        <v>4524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</row>
    <row r="1447" spans="1:16" ht="16.5" thickBot="1">
      <c r="A1447" s="407" t="s">
        <v>4542</v>
      </c>
      <c r="B1447" s="420" t="s">
        <v>4525</v>
      </c>
      <c r="C1447" s="421">
        <v>720113990</v>
      </c>
      <c r="D1447" s="420" t="s">
        <v>4526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</row>
    <row r="1448" spans="1:16" ht="16.5" thickBot="1">
      <c r="A1448" s="407" t="s">
        <v>4542</v>
      </c>
      <c r="B1448" s="420" t="s">
        <v>4527</v>
      </c>
      <c r="C1448" s="421">
        <v>710571808</v>
      </c>
      <c r="D1448" s="420" t="s">
        <v>4528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</row>
    <row r="1449" spans="1:16" ht="16.5" thickBot="1">
      <c r="A1449" s="407" t="s">
        <v>4542</v>
      </c>
      <c r="B1449" s="420" t="s">
        <v>4529</v>
      </c>
      <c r="C1449" s="421">
        <v>769402571</v>
      </c>
      <c r="D1449" s="425" t="s">
        <v>223</v>
      </c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</row>
    <row r="1450" spans="1:16" ht="16.5" thickBot="1">
      <c r="A1450" s="407" t="s">
        <v>4542</v>
      </c>
      <c r="B1450" s="420" t="s">
        <v>4530</v>
      </c>
      <c r="C1450" s="421" t="s">
        <v>4531</v>
      </c>
      <c r="D1450" s="420" t="s">
        <v>4532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</row>
    <row r="1451" spans="1:16" ht="16.5" thickBot="1">
      <c r="A1451" s="407" t="s">
        <v>4542</v>
      </c>
      <c r="B1451" s="420" t="s">
        <v>4533</v>
      </c>
      <c r="C1451" s="421">
        <v>736790529</v>
      </c>
      <c r="D1451" s="420" t="s">
        <v>4536</v>
      </c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</row>
    <row r="1452" spans="1:16" ht="16.5" thickBot="1">
      <c r="A1452" s="407" t="s">
        <v>4542</v>
      </c>
      <c r="B1452" s="418" t="s">
        <v>4534</v>
      </c>
      <c r="C1452" s="421">
        <v>702670850</v>
      </c>
      <c r="D1452" s="420" t="s">
        <v>4535</v>
      </c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</row>
    <row r="1453" spans="1:16" ht="12.75">
      <c r="A1453" s="2"/>
      <c r="B1453" s="2"/>
      <c r="C1453" s="5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</row>
    <row r="1454" spans="1:16" ht="12.75">
      <c r="A1454" s="2"/>
      <c r="B1454" s="2"/>
      <c r="C1454" s="5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</row>
    <row r="1455" spans="1:16" ht="12.75">
      <c r="A1455" s="2"/>
      <c r="B1455" s="2"/>
      <c r="C1455" s="5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</row>
    <row r="1456" spans="1:16" ht="12.75">
      <c r="A1456" s="2"/>
      <c r="B1456" s="2"/>
      <c r="C1456" s="5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</row>
    <row r="1457" spans="1:16" ht="12.75">
      <c r="A1457" s="2"/>
      <c r="B1457" s="2"/>
      <c r="C1457" s="5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</row>
    <row r="1458" spans="1:16" ht="12.75">
      <c r="A1458" s="2"/>
      <c r="B1458" s="2"/>
      <c r="C1458" s="5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</row>
    <row r="1459" spans="1:16" ht="12.75">
      <c r="A1459" s="2"/>
      <c r="B1459" s="2"/>
      <c r="C1459" s="5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</row>
    <row r="1460" spans="1:16" ht="12.75">
      <c r="A1460" s="2"/>
      <c r="B1460" s="2"/>
      <c r="C1460" s="5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</row>
    <row r="1461" spans="1:16" ht="12.75">
      <c r="A1461" s="2"/>
      <c r="B1461" s="2"/>
      <c r="C1461" s="5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</row>
    <row r="1462" spans="1:16" ht="12.75">
      <c r="A1462" s="2"/>
      <c r="B1462" s="2"/>
      <c r="C1462" s="5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</row>
    <row r="1463" spans="1:16" ht="12.75">
      <c r="A1463" s="2"/>
      <c r="B1463" s="2"/>
      <c r="C1463" s="5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</row>
    <row r="1464" spans="1:16" ht="12.75">
      <c r="A1464" s="2"/>
      <c r="B1464" s="2"/>
      <c r="C1464" s="5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</row>
    <row r="1465" spans="1:16" ht="12.75">
      <c r="A1465" s="2"/>
      <c r="B1465" s="2"/>
      <c r="C1465" s="5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</row>
    <row r="1466" spans="1:16" ht="12.75">
      <c r="A1466" s="2"/>
      <c r="B1466" s="2"/>
      <c r="C1466" s="5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</row>
    <row r="1467" spans="1:16" ht="12.75">
      <c r="A1467" s="2"/>
      <c r="B1467" s="2"/>
      <c r="C1467" s="5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</row>
    <row r="1468" spans="1:16" ht="12.75">
      <c r="A1468" s="2"/>
      <c r="B1468" s="2"/>
      <c r="C1468" s="5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</row>
    <row r="1469" spans="1:16" ht="12.75">
      <c r="A1469" s="2"/>
      <c r="B1469" s="2"/>
      <c r="C1469" s="5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</row>
    <row r="1470" spans="1:16" ht="12.75">
      <c r="A1470" s="2"/>
      <c r="B1470" s="2"/>
      <c r="C1470" s="5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</row>
    <row r="1471" spans="1:16" ht="12.75">
      <c r="A1471" s="2"/>
      <c r="B1471" s="2"/>
      <c r="C1471" s="5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</row>
    <row r="1472" spans="1:16" ht="12.75">
      <c r="A1472" s="2"/>
      <c r="B1472" s="2"/>
      <c r="C1472" s="5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</row>
    <row r="1473" spans="1:16" ht="12.75">
      <c r="A1473" s="2"/>
      <c r="B1473" s="2"/>
      <c r="C1473" s="5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</row>
    <row r="1474" spans="1:16" ht="12.75">
      <c r="A1474" s="2"/>
      <c r="B1474" s="2"/>
      <c r="C1474" s="5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</row>
    <row r="1475" spans="1:16" ht="12.75">
      <c r="A1475" s="2"/>
      <c r="B1475" s="2"/>
      <c r="C1475" s="5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</row>
    <row r="1476" spans="1:16" ht="12.75">
      <c r="A1476" s="2"/>
      <c r="B1476" s="2"/>
      <c r="C1476" s="5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</row>
    <row r="1477" spans="1:16" ht="12.75">
      <c r="A1477" s="2"/>
      <c r="B1477" s="2"/>
      <c r="C1477" s="5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</row>
    <row r="1478" spans="1:16" ht="12.75">
      <c r="A1478" s="2"/>
      <c r="B1478" s="2"/>
      <c r="C1478" s="5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</row>
    <row r="1479" spans="1:16" ht="12.75">
      <c r="A1479" s="2"/>
      <c r="B1479" s="2"/>
      <c r="C1479" s="5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</row>
    <row r="1480" spans="1:16" ht="12.75">
      <c r="A1480" s="2"/>
      <c r="B1480" s="2"/>
      <c r="C1480" s="5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</row>
    <row r="1481" spans="1:16" ht="12.75">
      <c r="A1481" s="2"/>
      <c r="B1481" s="2"/>
      <c r="C1481" s="5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</row>
    <row r="1482" spans="1:16" ht="12.75">
      <c r="A1482" s="2"/>
      <c r="B1482" s="2"/>
      <c r="C1482" s="5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</row>
    <row r="1483" spans="1:16" ht="12.75">
      <c r="A1483" s="2"/>
      <c r="B1483" s="2"/>
      <c r="C1483" s="5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</row>
    <row r="1484" spans="1:16" ht="12.75">
      <c r="A1484" s="2"/>
      <c r="B1484" s="2"/>
      <c r="C1484" s="5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</row>
    <row r="1485" spans="1:16" ht="12.75">
      <c r="A1485" s="2"/>
      <c r="B1485" s="2"/>
      <c r="C1485" s="5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</row>
    <row r="1486" spans="1:16" ht="12.75">
      <c r="A1486" s="2"/>
      <c r="B1486" s="2"/>
      <c r="C1486" s="5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</row>
    <row r="1487" spans="1:16" ht="12.75">
      <c r="A1487" s="2"/>
      <c r="B1487" s="2"/>
      <c r="C1487" s="5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</row>
    <row r="1488" spans="1:16" ht="12.75">
      <c r="A1488" s="2"/>
      <c r="B1488" s="2"/>
      <c r="C1488" s="5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</row>
    <row r="1489" spans="1:16" ht="12.75">
      <c r="A1489" s="2"/>
      <c r="B1489" s="2"/>
      <c r="C1489" s="5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</row>
    <row r="1490" spans="1:16" ht="12.75">
      <c r="A1490" s="2"/>
      <c r="B1490" s="2"/>
      <c r="C1490" s="5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</row>
    <row r="1491" spans="1:16" ht="12.75">
      <c r="A1491" s="2"/>
      <c r="B1491" s="2"/>
      <c r="C1491" s="5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</row>
    <row r="1492" spans="1:16" ht="12.75">
      <c r="A1492" s="2"/>
      <c r="B1492" s="2"/>
      <c r="C1492" s="5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</row>
    <row r="1493" spans="1:16" ht="12.75">
      <c r="A1493" s="2"/>
      <c r="B1493" s="2"/>
      <c r="C1493" s="5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</row>
    <row r="1494" spans="1:16" ht="12.75">
      <c r="A1494" s="2"/>
      <c r="B1494" s="2"/>
      <c r="C1494" s="5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</row>
    <row r="1495" spans="1:16" ht="12.75">
      <c r="A1495" s="2"/>
      <c r="B1495" s="2"/>
      <c r="C1495" s="5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</row>
    <row r="1496" spans="1:16" ht="12.75">
      <c r="A1496" s="2"/>
      <c r="B1496" s="2"/>
      <c r="C1496" s="5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</row>
    <row r="1497" spans="1:16" ht="12.75">
      <c r="A1497" s="2"/>
      <c r="B1497" s="2"/>
      <c r="C1497" s="5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</row>
    <row r="1498" spans="1:16" ht="12.75">
      <c r="A1498" s="2"/>
      <c r="B1498" s="2"/>
      <c r="C1498" s="5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</row>
    <row r="1499" spans="1:16" ht="12.75">
      <c r="A1499" s="2"/>
      <c r="B1499" s="2"/>
      <c r="C1499" s="5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</row>
    <row r="1500" spans="1:16" ht="12.75">
      <c r="A1500" s="2"/>
      <c r="B1500" s="2"/>
      <c r="C1500" s="5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</row>
    <row r="1501" spans="1:16" ht="12.75">
      <c r="A1501" s="2"/>
      <c r="B1501" s="2"/>
      <c r="C1501" s="5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</row>
    <row r="1502" spans="1:16" ht="12.75">
      <c r="A1502" s="2"/>
      <c r="B1502" s="2"/>
      <c r="C1502" s="5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</row>
    <row r="1503" spans="1:16" ht="12.75">
      <c r="A1503" s="2"/>
      <c r="B1503" s="2"/>
      <c r="C1503" s="5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</row>
    <row r="1504" spans="1:16" ht="12.75">
      <c r="A1504" s="2"/>
      <c r="B1504" s="2"/>
      <c r="C1504" s="5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</row>
    <row r="1505" spans="1:16" ht="12.75">
      <c r="A1505" s="2"/>
      <c r="B1505" s="2"/>
      <c r="C1505" s="5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</row>
    <row r="1506" spans="1:16" ht="12.75">
      <c r="A1506" s="2"/>
      <c r="B1506" s="2"/>
      <c r="C1506" s="5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</row>
    <row r="1507" spans="1:16" ht="12.75">
      <c r="A1507" s="2"/>
      <c r="B1507" s="2"/>
      <c r="C1507" s="5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</row>
    <row r="1508" spans="1:16" ht="12.75">
      <c r="A1508" s="2"/>
      <c r="B1508" s="2"/>
      <c r="C1508" s="5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</row>
    <row r="1509" spans="1:16" ht="12.75">
      <c r="A1509" s="2"/>
      <c r="B1509" s="2"/>
      <c r="C1509" s="5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</row>
    <row r="1510" spans="1:16" ht="12.75">
      <c r="A1510" s="2"/>
      <c r="B1510" s="2"/>
      <c r="C1510" s="5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</row>
    <row r="1511" spans="1:16" ht="12.75">
      <c r="A1511" s="2"/>
      <c r="B1511" s="2"/>
      <c r="C1511" s="5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</row>
    <row r="1512" spans="1:16" ht="12.75">
      <c r="A1512" s="2"/>
      <c r="B1512" s="2"/>
      <c r="C1512" s="5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</row>
    <row r="1513" spans="1:16" ht="12.75">
      <c r="A1513" s="2"/>
      <c r="B1513" s="2"/>
      <c r="C1513" s="5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</row>
    <row r="1514" spans="1:16" ht="12.75">
      <c r="A1514" s="2"/>
      <c r="B1514" s="2"/>
      <c r="C1514" s="5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</row>
    <row r="1515" spans="1:16" ht="12.75">
      <c r="A1515" s="2"/>
      <c r="B1515" s="2"/>
      <c r="C1515" s="5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</row>
    <row r="1516" spans="1:16" ht="12.75">
      <c r="A1516" s="2"/>
      <c r="B1516" s="2"/>
      <c r="C1516" s="5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</row>
    <row r="1517" spans="1:16" ht="12.75">
      <c r="A1517" s="2"/>
      <c r="B1517" s="2"/>
      <c r="C1517" s="5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</row>
    <row r="1518" spans="1:16" ht="12.75">
      <c r="A1518" s="2"/>
      <c r="B1518" s="2"/>
      <c r="C1518" s="5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</row>
    <row r="1519" spans="1:16" ht="12.75">
      <c r="A1519" s="2"/>
      <c r="B1519" s="2"/>
      <c r="C1519" s="5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</row>
    <row r="1520" spans="1:16" ht="12.75">
      <c r="A1520" s="2"/>
      <c r="B1520" s="2"/>
      <c r="C1520" s="5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</row>
    <row r="1521" spans="1:16" ht="12.75">
      <c r="A1521" s="2"/>
      <c r="B1521" s="2"/>
      <c r="C1521" s="5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</row>
    <row r="1522" spans="1:16" ht="12.75">
      <c r="A1522" s="2"/>
      <c r="B1522" s="2"/>
      <c r="C1522" s="5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</row>
    <row r="1523" spans="1:16" ht="12.75">
      <c r="A1523" s="2"/>
      <c r="B1523" s="2"/>
      <c r="C1523" s="5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</row>
    <row r="1524" spans="1:16" ht="12.75">
      <c r="A1524" s="2"/>
      <c r="B1524" s="2"/>
      <c r="C1524" s="5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</row>
    <row r="1525" spans="1:16" ht="12.75">
      <c r="A1525" s="2"/>
      <c r="B1525" s="2"/>
      <c r="C1525" s="5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</row>
    <row r="1526" spans="1:16" ht="12.75">
      <c r="A1526" s="2"/>
      <c r="B1526" s="2"/>
      <c r="C1526" s="5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</row>
    <row r="1527" spans="1:16" ht="12.75">
      <c r="A1527" s="2"/>
      <c r="B1527" s="2"/>
      <c r="C1527" s="5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</row>
    <row r="1528" spans="1:16" ht="12.75">
      <c r="A1528" s="2"/>
      <c r="B1528" s="2"/>
      <c r="C1528" s="5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</row>
    <row r="1529" spans="1:16" ht="12.75">
      <c r="A1529" s="2"/>
      <c r="B1529" s="2"/>
      <c r="C1529" s="5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</row>
    <row r="1530" spans="1:16" ht="12.75">
      <c r="A1530" s="2"/>
      <c r="B1530" s="2"/>
      <c r="C1530" s="5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</row>
    <row r="1531" spans="1:16" ht="12.75">
      <c r="A1531" s="2"/>
      <c r="B1531" s="2"/>
      <c r="C1531" s="5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</row>
    <row r="1532" spans="1:16" ht="12.75">
      <c r="A1532" s="2"/>
      <c r="B1532" s="2"/>
      <c r="C1532" s="5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</row>
    <row r="1533" spans="1:16" ht="12.75">
      <c r="A1533" s="2"/>
      <c r="B1533" s="2"/>
      <c r="C1533" s="5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</row>
    <row r="1534" spans="1:16" ht="12.75">
      <c r="A1534" s="2"/>
      <c r="B1534" s="2"/>
      <c r="C1534" s="5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</row>
    <row r="1535" spans="1:16" ht="12.75">
      <c r="A1535" s="2"/>
      <c r="B1535" s="2"/>
      <c r="C1535" s="5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</row>
    <row r="1536" spans="1:16" ht="12.75">
      <c r="A1536" s="2"/>
      <c r="B1536" s="2"/>
      <c r="C1536" s="5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</row>
    <row r="1537" spans="1:16" ht="12.75">
      <c r="A1537" s="2"/>
      <c r="B1537" s="2"/>
      <c r="C1537" s="5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</row>
    <row r="1538" spans="1:16" ht="12.75">
      <c r="A1538" s="2"/>
      <c r="B1538" s="2"/>
      <c r="C1538" s="5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</row>
    <row r="1539" spans="1:16" ht="12.75">
      <c r="A1539" s="2"/>
      <c r="B1539" s="2"/>
      <c r="C1539" s="5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</row>
    <row r="1540" spans="1:16" ht="12.75">
      <c r="A1540" s="2"/>
      <c r="B1540" s="2"/>
      <c r="C1540" s="5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</row>
    <row r="1541" spans="1:16" ht="12.75">
      <c r="A1541" s="2"/>
      <c r="B1541" s="2"/>
      <c r="C1541" s="5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</row>
    <row r="1542" spans="1:16" ht="12.75">
      <c r="A1542" s="2"/>
      <c r="B1542" s="2"/>
      <c r="C1542" s="5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</row>
    <row r="1543" spans="1:16" ht="12.75">
      <c r="A1543" s="2"/>
      <c r="B1543" s="2"/>
      <c r="C1543" s="5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</row>
    <row r="1544" spans="1:16" ht="12.75">
      <c r="A1544" s="2"/>
      <c r="B1544" s="2"/>
      <c r="C1544" s="5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</row>
    <row r="1545" spans="1:16" ht="12.75">
      <c r="A1545" s="2"/>
      <c r="B1545" s="2"/>
      <c r="C1545" s="5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</row>
    <row r="1546" spans="1:16" ht="12.75">
      <c r="A1546" s="2"/>
      <c r="B1546" s="2"/>
      <c r="C1546" s="5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</row>
    <row r="1547" spans="1:16" ht="12.75">
      <c r="A1547" s="2"/>
      <c r="B1547" s="2"/>
      <c r="C1547" s="5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</row>
    <row r="1548" spans="1:16" ht="12.75">
      <c r="A1548" s="2"/>
      <c r="B1548" s="2"/>
      <c r="C1548" s="5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</row>
    <row r="1549" spans="1:16" ht="12.75">
      <c r="A1549" s="2"/>
      <c r="B1549" s="2"/>
      <c r="C1549" s="5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</row>
    <row r="1550" spans="1:16" ht="12.75">
      <c r="A1550" s="2"/>
      <c r="B1550" s="2"/>
      <c r="C1550" s="5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</row>
    <row r="1551" spans="1:16" ht="12.75">
      <c r="A1551" s="2"/>
      <c r="B1551" s="2"/>
      <c r="C1551" s="5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</row>
    <row r="1552" spans="1:16" ht="12.75">
      <c r="A1552" s="2"/>
      <c r="B1552" s="2"/>
      <c r="C1552" s="5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</row>
    <row r="1553" spans="1:16" ht="12.75">
      <c r="A1553" s="2"/>
      <c r="B1553" s="2"/>
      <c r="C1553" s="5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</row>
    <row r="1554" spans="1:16" ht="12.75">
      <c r="A1554" s="2"/>
      <c r="B1554" s="2"/>
      <c r="C1554" s="5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</row>
    <row r="1555" spans="1:16" ht="12.75">
      <c r="A1555" s="2"/>
      <c r="B1555" s="2"/>
      <c r="C1555" s="5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</row>
    <row r="1556" spans="1:16" ht="12.75">
      <c r="A1556" s="2"/>
      <c r="B1556" s="2"/>
      <c r="C1556" s="5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</row>
    <row r="1557" spans="1:16" ht="12.75">
      <c r="A1557" s="2"/>
      <c r="B1557" s="2"/>
      <c r="C1557" s="5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</row>
    <row r="1558" spans="1:16" ht="12.75">
      <c r="A1558" s="2"/>
      <c r="B1558" s="2"/>
      <c r="C1558" s="5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</row>
    <row r="1559" spans="1:16" ht="12.75">
      <c r="A1559" s="2"/>
      <c r="B1559" s="2"/>
      <c r="C1559" s="5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</row>
    <row r="1560" spans="1:16" ht="12.75">
      <c r="A1560" s="2"/>
      <c r="B1560" s="2"/>
      <c r="C1560" s="5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</row>
    <row r="1561" spans="1:16" ht="12.75">
      <c r="A1561" s="2"/>
      <c r="B1561" s="2"/>
      <c r="C1561" s="5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</row>
    <row r="1562" spans="1:16" ht="12.75">
      <c r="A1562" s="2"/>
      <c r="B1562" s="2"/>
      <c r="C1562" s="5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</row>
    <row r="1563" spans="1:16" ht="12.75">
      <c r="A1563" s="2"/>
      <c r="B1563" s="2"/>
      <c r="C1563" s="5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</row>
    <row r="1564" spans="1:16" ht="12.75">
      <c r="A1564" s="2"/>
      <c r="B1564" s="2"/>
      <c r="C1564" s="5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</row>
    <row r="1565" spans="1:16" ht="12.75">
      <c r="A1565" s="2"/>
      <c r="B1565" s="2"/>
      <c r="C1565" s="5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</row>
    <row r="1566" spans="1:16" ht="12.75">
      <c r="A1566" s="2"/>
      <c r="B1566" s="2"/>
      <c r="C1566" s="5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</row>
    <row r="1567" spans="1:16" ht="12.75">
      <c r="A1567" s="2"/>
      <c r="B1567" s="2"/>
      <c r="C1567" s="5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</row>
    <row r="1568" spans="1:16" ht="12.75">
      <c r="A1568" s="2"/>
      <c r="B1568" s="2"/>
      <c r="C1568" s="5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</row>
    <row r="1569" spans="1:16" ht="12.75">
      <c r="A1569" s="2"/>
      <c r="B1569" s="2"/>
      <c r="C1569" s="5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</row>
    <row r="1570" spans="1:16" ht="12.75">
      <c r="A1570" s="2"/>
      <c r="B1570" s="2"/>
      <c r="C1570" s="5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</row>
    <row r="1571" spans="1:16" ht="12.75">
      <c r="A1571" s="2"/>
      <c r="B1571" s="2"/>
      <c r="C1571" s="5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</row>
    <row r="1572" spans="1:16" ht="12.75">
      <c r="A1572" s="2"/>
      <c r="B1572" s="2"/>
      <c r="C1572" s="5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</row>
    <row r="1573" spans="1:16" ht="12.75">
      <c r="A1573" s="2"/>
      <c r="B1573" s="2"/>
      <c r="C1573" s="5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</row>
    <row r="1574" spans="1:16" ht="12.75">
      <c r="A1574" s="2"/>
      <c r="B1574" s="2"/>
      <c r="C1574" s="5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</row>
    <row r="1575" spans="1:16" ht="12.75">
      <c r="A1575" s="2"/>
      <c r="B1575" s="2"/>
      <c r="C1575" s="5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</row>
    <row r="1576" spans="1:16" ht="12.75">
      <c r="A1576" s="2"/>
      <c r="B1576" s="2"/>
      <c r="C1576" s="5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</row>
    <row r="1577" spans="1:16" ht="12.75">
      <c r="A1577" s="2"/>
      <c r="B1577" s="2"/>
      <c r="C1577" s="5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</row>
    <row r="1578" spans="1:16" ht="12.75">
      <c r="A1578" s="2"/>
      <c r="B1578" s="2"/>
      <c r="C1578" s="5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</row>
    <row r="1579" spans="1:16" ht="12.75">
      <c r="A1579" s="2"/>
      <c r="B1579" s="2"/>
      <c r="C1579" s="5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</row>
    <row r="1580" spans="1:16" ht="12.75">
      <c r="A1580" s="2"/>
      <c r="B1580" s="2"/>
      <c r="C1580" s="5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</row>
    <row r="1581" spans="1:16" ht="12.75">
      <c r="A1581" s="2"/>
      <c r="B1581" s="2"/>
      <c r="C1581" s="5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</row>
    <row r="1582" spans="1:16" ht="12.75">
      <c r="A1582" s="2"/>
      <c r="B1582" s="2"/>
      <c r="C1582" s="5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</row>
    <row r="1583" spans="1:16" ht="12.75">
      <c r="A1583" s="2"/>
      <c r="B1583" s="2"/>
      <c r="C1583" s="5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</row>
    <row r="1584" spans="1:16" ht="12.75">
      <c r="A1584" s="2"/>
      <c r="B1584" s="2"/>
      <c r="C1584" s="5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</row>
    <row r="1585" spans="1:16" ht="12.75">
      <c r="A1585" s="2"/>
      <c r="B1585" s="2"/>
      <c r="C1585" s="5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</row>
    <row r="1586" spans="1:16" ht="12.75">
      <c r="A1586" s="2"/>
      <c r="B1586" s="2"/>
      <c r="C1586" s="5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</row>
    <row r="1587" spans="1:16" ht="12.75">
      <c r="A1587" s="2"/>
      <c r="B1587" s="2"/>
      <c r="C1587" s="5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</row>
    <row r="1588" spans="1:16" ht="12.75">
      <c r="A1588" s="2"/>
      <c r="B1588" s="2"/>
      <c r="C1588" s="5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</row>
    <row r="1589" spans="1:16" ht="12.75">
      <c r="A1589" s="2"/>
      <c r="B1589" s="2"/>
      <c r="C1589" s="5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</row>
    <row r="1590" spans="1:16" ht="12.75">
      <c r="A1590" s="2"/>
      <c r="B1590" s="2"/>
      <c r="C1590" s="5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</row>
    <row r="1591" spans="1:16" ht="12.75">
      <c r="A1591" s="2"/>
      <c r="B1591" s="2"/>
      <c r="C1591" s="5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</row>
    <row r="1592" spans="1:16" ht="12.75">
      <c r="A1592" s="2"/>
      <c r="B1592" s="2"/>
      <c r="C1592" s="5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</row>
    <row r="1593" spans="1:16" ht="12.75">
      <c r="A1593" s="2"/>
      <c r="B1593" s="2"/>
      <c r="C1593" s="5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</row>
    <row r="1594" spans="1:16" ht="12.75">
      <c r="A1594" s="2"/>
      <c r="B1594" s="2"/>
      <c r="C1594" s="5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</row>
    <row r="1595" spans="1:16" ht="12.75">
      <c r="A1595" s="2"/>
      <c r="B1595" s="2"/>
      <c r="C1595" s="5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</row>
    <row r="1596" spans="1:16" ht="12.75">
      <c r="A1596" s="2"/>
      <c r="B1596" s="2"/>
      <c r="C1596" s="5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</row>
    <row r="1597" spans="1:16" ht="12.75">
      <c r="A1597" s="2"/>
      <c r="B1597" s="2"/>
      <c r="C1597" s="5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</row>
    <row r="1598" spans="1:16" ht="12.75">
      <c r="A1598" s="2"/>
      <c r="B1598" s="2"/>
      <c r="C1598" s="5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</row>
    <row r="1599" spans="1:16" ht="12.75">
      <c r="A1599" s="2"/>
      <c r="B1599" s="2"/>
      <c r="C1599" s="5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</row>
    <row r="1600" spans="1:16" ht="12.75">
      <c r="A1600" s="2"/>
      <c r="B1600" s="2"/>
      <c r="C1600" s="5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</row>
    <row r="1601" spans="1:16" ht="12.75">
      <c r="A1601" s="2"/>
      <c r="B1601" s="2"/>
      <c r="C1601" s="5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</row>
    <row r="1602" spans="1:16" ht="12.75">
      <c r="A1602" s="2"/>
      <c r="B1602" s="2"/>
      <c r="C1602" s="5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</row>
    <row r="1603" spans="1:16" ht="12.75">
      <c r="A1603" s="2"/>
      <c r="B1603" s="2"/>
      <c r="C1603" s="5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</row>
    <row r="1604" spans="1:16" ht="12.75">
      <c r="A1604" s="2"/>
      <c r="B1604" s="2"/>
      <c r="C1604" s="5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</row>
    <row r="1605" spans="1:16" ht="12.75">
      <c r="A1605" s="2"/>
      <c r="B1605" s="2"/>
      <c r="C1605" s="5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</row>
    <row r="1606" spans="1:16" ht="12.75">
      <c r="A1606" s="2"/>
      <c r="B1606" s="2"/>
      <c r="C1606" s="5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</row>
    <row r="1607" spans="1:16" ht="12.75">
      <c r="A1607" s="2"/>
      <c r="B1607" s="2"/>
      <c r="C1607" s="5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</row>
    <row r="1608" spans="1:16" ht="12.75">
      <c r="A1608" s="2"/>
      <c r="B1608" s="2"/>
      <c r="C1608" s="5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</row>
    <row r="1609" spans="1:16" ht="12.75">
      <c r="A1609" s="2"/>
      <c r="B1609" s="2"/>
      <c r="C1609" s="5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</row>
    <row r="1610" spans="1:16" ht="12.75">
      <c r="A1610" s="2"/>
      <c r="B1610" s="2"/>
      <c r="C1610" s="5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</row>
    <row r="1611" spans="1:16" ht="12.75">
      <c r="A1611" s="2"/>
      <c r="B1611" s="2"/>
      <c r="C1611" s="5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</row>
    <row r="1612" spans="1:16" ht="12.75">
      <c r="A1612" s="2"/>
      <c r="B1612" s="2"/>
      <c r="C1612" s="5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</row>
    <row r="1613" spans="1:16" ht="12.75">
      <c r="A1613" s="2"/>
      <c r="B1613" s="2"/>
      <c r="C1613" s="5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</row>
    <row r="1614" spans="1:16" ht="12.75">
      <c r="A1614" s="2"/>
      <c r="B1614" s="2"/>
      <c r="C1614" s="5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</row>
    <row r="1615" spans="1:16" ht="12.75">
      <c r="A1615" s="2"/>
      <c r="B1615" s="2"/>
      <c r="C1615" s="5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</row>
    <row r="1616" spans="1:16" ht="12.75">
      <c r="A1616" s="2"/>
      <c r="B1616" s="2"/>
      <c r="C1616" s="5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</row>
    <row r="1617" spans="1:16" ht="12.75">
      <c r="A1617" s="2"/>
      <c r="B1617" s="2"/>
      <c r="C1617" s="5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</row>
    <row r="1618" spans="1:16" ht="12.75">
      <c r="A1618" s="2"/>
      <c r="B1618" s="2"/>
      <c r="C1618" s="5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</row>
    <row r="1619" spans="1:16" ht="12.75">
      <c r="A1619" s="2"/>
      <c r="B1619" s="2"/>
      <c r="C1619" s="5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</row>
    <row r="1620" spans="1:16" ht="12.75">
      <c r="A1620" s="2"/>
      <c r="B1620" s="2"/>
      <c r="C1620" s="5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</row>
    <row r="1621" spans="1:16" ht="12.75">
      <c r="A1621" s="2"/>
      <c r="B1621" s="2"/>
      <c r="C1621" s="5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</row>
    <row r="1622" spans="1:16" ht="12.75">
      <c r="A1622" s="2"/>
      <c r="B1622" s="2"/>
      <c r="C1622" s="5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</row>
    <row r="1623" spans="1:16" ht="12.75">
      <c r="A1623" s="2"/>
      <c r="B1623" s="2"/>
      <c r="C1623" s="5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</row>
    <row r="1624" spans="1:16" ht="12.75">
      <c r="A1624" s="2"/>
      <c r="B1624" s="2"/>
      <c r="C1624" s="5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</row>
    <row r="1625" spans="1:16" ht="12.75">
      <c r="A1625" s="2"/>
      <c r="B1625" s="2"/>
      <c r="C1625" s="5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</row>
    <row r="1626" spans="1:16" ht="12.75">
      <c r="A1626" s="2"/>
      <c r="B1626" s="2"/>
      <c r="C1626" s="5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</row>
    <row r="1627" spans="1:16" ht="12.75">
      <c r="A1627" s="2"/>
      <c r="B1627" s="2"/>
      <c r="C1627" s="5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</row>
    <row r="1628" spans="1:16" ht="12.75">
      <c r="A1628" s="2"/>
      <c r="B1628" s="2"/>
      <c r="C1628" s="5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</row>
    <row r="1629" spans="1:16" ht="12.75">
      <c r="A1629" s="2"/>
      <c r="B1629" s="2"/>
      <c r="C1629" s="5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</row>
    <row r="1630" spans="1:16" ht="12.75">
      <c r="A1630" s="2"/>
      <c r="B1630" s="2"/>
      <c r="C1630" s="5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</row>
    <row r="1631" spans="1:16" ht="12.75">
      <c r="A1631" s="2"/>
      <c r="B1631" s="2"/>
      <c r="C1631" s="5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</row>
    <row r="1632" spans="1:16" ht="12.75">
      <c r="A1632" s="2"/>
      <c r="B1632" s="2"/>
      <c r="C1632" s="5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</row>
    <row r="1633" spans="1:16" ht="12.75">
      <c r="A1633" s="2"/>
      <c r="B1633" s="2"/>
      <c r="C1633" s="5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</row>
    <row r="1634" spans="1:16" ht="12.75">
      <c r="A1634" s="2"/>
      <c r="B1634" s="2"/>
      <c r="C1634" s="5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</row>
    <row r="1635" spans="1:16" ht="12.75">
      <c r="A1635" s="2"/>
      <c r="B1635" s="2"/>
      <c r="C1635" s="5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</row>
    <row r="1636" spans="1:16" ht="12.75">
      <c r="A1636" s="2"/>
      <c r="B1636" s="2"/>
      <c r="C1636" s="5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</row>
    <row r="1637" spans="1:16" ht="12.75">
      <c r="A1637" s="2"/>
      <c r="B1637" s="2"/>
      <c r="C1637" s="5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</row>
    <row r="1638" spans="1:16" ht="12.75">
      <c r="A1638" s="2"/>
      <c r="B1638" s="2"/>
      <c r="C1638" s="5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</row>
    <row r="1639" spans="1:16" ht="12.75">
      <c r="A1639" s="2"/>
      <c r="B1639" s="2"/>
      <c r="C1639" s="5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</row>
    <row r="1640" spans="1:16" ht="12.75">
      <c r="A1640" s="2"/>
      <c r="B1640" s="2"/>
      <c r="C1640" s="5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</row>
    <row r="1641" spans="1:16" ht="12.75">
      <c r="A1641" s="2"/>
      <c r="B1641" s="2"/>
      <c r="C1641" s="5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</row>
    <row r="1642" spans="1:16" ht="12.75">
      <c r="A1642" s="2"/>
      <c r="B1642" s="2"/>
      <c r="C1642" s="5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</row>
    <row r="1643" spans="1:16" ht="12.75">
      <c r="A1643" s="2"/>
      <c r="B1643" s="2"/>
      <c r="C1643" s="5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</row>
    <row r="1644" spans="1:16" ht="12.75">
      <c r="A1644" s="2"/>
      <c r="B1644" s="2"/>
      <c r="C1644" s="5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</row>
    <row r="1645" spans="1:16" ht="12.75">
      <c r="A1645" s="2"/>
      <c r="B1645" s="2"/>
      <c r="C1645" s="5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</row>
    <row r="1646" spans="1:16" ht="12.75">
      <c r="A1646" s="2"/>
      <c r="B1646" s="2"/>
      <c r="C1646" s="5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</row>
    <row r="1647" spans="1:16" ht="12.75">
      <c r="A1647" s="2"/>
      <c r="B1647" s="2"/>
      <c r="C1647" s="5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</row>
    <row r="1648" spans="1:16" ht="12.75">
      <c r="A1648" s="2"/>
      <c r="B1648" s="2"/>
      <c r="C1648" s="5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</row>
    <row r="1649" spans="1:16" ht="12.75">
      <c r="A1649" s="2"/>
      <c r="B1649" s="2"/>
      <c r="C1649" s="5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</row>
    <row r="1650" spans="1:16" ht="12.75">
      <c r="A1650" s="2"/>
      <c r="B1650" s="2"/>
      <c r="C1650" s="5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</row>
    <row r="1651" spans="1:16" ht="12.75">
      <c r="A1651" s="2"/>
      <c r="B1651" s="2"/>
      <c r="C1651" s="5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</row>
    <row r="1652" spans="1:16" ht="12.75">
      <c r="A1652" s="2"/>
      <c r="B1652" s="2"/>
      <c r="C1652" s="5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</row>
    <row r="1653" spans="1:16" ht="12.75">
      <c r="A1653" s="2"/>
      <c r="B1653" s="2"/>
      <c r="C1653" s="5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</row>
    <row r="1654" spans="1:16" ht="12.75">
      <c r="A1654" s="2"/>
      <c r="B1654" s="2"/>
      <c r="C1654" s="5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</row>
    <row r="1655" spans="1:16" ht="12.75">
      <c r="A1655" s="2"/>
      <c r="B1655" s="2"/>
      <c r="C1655" s="5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</row>
    <row r="1656" spans="1:16" ht="12.75">
      <c r="A1656" s="2"/>
      <c r="B1656" s="2"/>
      <c r="C1656" s="5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</row>
    <row r="1657" spans="1:16" ht="12.75">
      <c r="A1657" s="2"/>
      <c r="B1657" s="2"/>
      <c r="C1657" s="5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</row>
    <row r="1658" spans="1:16" ht="12.75">
      <c r="A1658" s="2"/>
      <c r="B1658" s="2"/>
      <c r="C1658" s="5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</row>
    <row r="1659" spans="1:16" ht="12.75">
      <c r="A1659" s="2"/>
      <c r="B1659" s="2"/>
      <c r="C1659" s="5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</row>
    <row r="1660" spans="1:16" ht="12.75">
      <c r="A1660" s="2"/>
      <c r="B1660" s="2"/>
      <c r="C1660" s="5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</row>
    <row r="1661" spans="1:16" ht="12.75">
      <c r="A1661" s="2"/>
      <c r="B1661" s="2"/>
      <c r="C1661" s="5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</row>
    <row r="1662" spans="1:16" ht="12.75">
      <c r="A1662" s="2"/>
      <c r="B1662" s="2"/>
      <c r="C1662" s="5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</row>
    <row r="1663" spans="1:16" ht="12.75">
      <c r="A1663" s="2"/>
      <c r="B1663" s="2"/>
      <c r="C1663" s="5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</row>
    <row r="1664" spans="1:16" ht="12.75">
      <c r="A1664" s="2"/>
      <c r="B1664" s="2"/>
      <c r="C1664" s="5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</row>
    <row r="1665" spans="1:16" ht="12.75">
      <c r="A1665" s="2"/>
      <c r="B1665" s="2"/>
      <c r="C1665" s="5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</row>
    <row r="1666" spans="1:16" ht="12.75">
      <c r="A1666" s="2"/>
      <c r="B1666" s="2"/>
      <c r="C1666" s="5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</row>
    <row r="1667" spans="1:16" ht="12.75">
      <c r="A1667" s="2"/>
      <c r="B1667" s="2"/>
      <c r="C1667" s="5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</row>
    <row r="1668" spans="1:16" ht="12.75">
      <c r="A1668" s="2"/>
      <c r="B1668" s="2"/>
      <c r="C1668" s="5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</row>
    <row r="1669" spans="1:16" ht="12.75">
      <c r="A1669" s="2"/>
      <c r="B1669" s="2"/>
      <c r="C1669" s="5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</row>
    <row r="1670" spans="1:16" ht="12.75">
      <c r="A1670" s="2"/>
      <c r="B1670" s="2"/>
      <c r="C1670" s="5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</row>
    <row r="1671" spans="1:16" ht="12.75">
      <c r="A1671" s="2"/>
      <c r="B1671" s="2"/>
      <c r="C1671" s="5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</row>
    <row r="1672" spans="1:16" ht="12.75">
      <c r="A1672" s="2"/>
      <c r="B1672" s="2"/>
      <c r="C1672" s="5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</row>
    <row r="1673" spans="1:16" ht="12.75">
      <c r="A1673" s="2"/>
      <c r="B1673" s="2"/>
      <c r="C1673" s="5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</row>
    <row r="1674" spans="1:16" ht="12.75">
      <c r="A1674" s="2"/>
      <c r="B1674" s="2"/>
      <c r="C1674" s="5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</row>
    <row r="1675" spans="1:16" ht="12.75">
      <c r="A1675" s="2"/>
      <c r="B1675" s="2"/>
      <c r="C1675" s="5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</row>
    <row r="1676" spans="1:16" ht="12.75">
      <c r="A1676" s="2"/>
      <c r="B1676" s="2"/>
      <c r="C1676" s="5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</row>
    <row r="1677" spans="1:16" ht="12.75">
      <c r="A1677" s="2"/>
      <c r="B1677" s="2"/>
      <c r="C1677" s="5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</row>
    <row r="1678" spans="1:16" ht="12.75">
      <c r="A1678" s="2"/>
      <c r="B1678" s="2"/>
      <c r="C1678" s="5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</row>
    <row r="1679" spans="1:16" ht="12.75">
      <c r="A1679" s="2"/>
      <c r="B1679" s="2"/>
      <c r="C1679" s="5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</row>
    <row r="1680" spans="1:16" ht="12.75">
      <c r="A1680" s="2"/>
      <c r="B1680" s="2"/>
      <c r="C1680" s="5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</row>
    <row r="1681" spans="1:16" ht="12.75">
      <c r="A1681" s="2"/>
      <c r="B1681" s="2"/>
      <c r="C1681" s="5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</row>
    <row r="1682" spans="1:16" ht="12.75">
      <c r="A1682" s="2"/>
      <c r="B1682" s="2"/>
      <c r="C1682" s="5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</row>
    <row r="1683" spans="1:16" ht="12.75">
      <c r="A1683" s="2"/>
      <c r="B1683" s="2"/>
      <c r="C1683" s="5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</row>
    <row r="1684" spans="1:16" ht="12.75">
      <c r="A1684" s="2"/>
      <c r="B1684" s="2"/>
      <c r="C1684" s="5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</row>
    <row r="1685" spans="1:16" ht="12.75">
      <c r="A1685" s="2"/>
      <c r="B1685" s="2"/>
      <c r="C1685" s="5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</row>
    <row r="1686" spans="1:16" ht="12.75">
      <c r="A1686" s="2"/>
      <c r="B1686" s="2"/>
      <c r="C1686" s="5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</row>
    <row r="1687" spans="1:16" ht="12.75">
      <c r="A1687" s="2"/>
      <c r="B1687" s="2"/>
      <c r="C1687" s="5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</row>
    <row r="1688" spans="1:16" ht="12.75">
      <c r="A1688" s="2"/>
      <c r="B1688" s="2"/>
      <c r="C1688" s="5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</row>
    <row r="1689" spans="1:16" ht="12.75">
      <c r="A1689" s="2"/>
      <c r="B1689" s="2"/>
      <c r="C1689" s="5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</row>
    <row r="1690" spans="1:16" ht="12.75">
      <c r="A1690" s="2"/>
      <c r="B1690" s="2"/>
      <c r="C1690" s="5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</row>
    <row r="1691" spans="1:16" ht="12.75">
      <c r="A1691" s="2"/>
      <c r="B1691" s="2"/>
      <c r="C1691" s="5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</row>
    <row r="1692" spans="1:16" ht="12.75">
      <c r="A1692" s="2"/>
      <c r="B1692" s="2"/>
      <c r="C1692" s="5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</row>
    <row r="1693" spans="1:16" ht="12.75">
      <c r="A1693" s="2"/>
      <c r="B1693" s="2"/>
      <c r="C1693" s="5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</row>
    <row r="1694" spans="1:16" ht="12.75">
      <c r="A1694" s="2"/>
      <c r="B1694" s="2"/>
      <c r="C1694" s="5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</row>
    <row r="1695" spans="1:16" ht="12.75">
      <c r="A1695" s="2"/>
      <c r="B1695" s="2"/>
      <c r="C1695" s="5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</row>
    <row r="1696" spans="1:16" ht="12.75">
      <c r="A1696" s="2"/>
      <c r="B1696" s="2"/>
      <c r="C1696" s="5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</row>
    <row r="1697" spans="1:16" ht="12.75">
      <c r="A1697" s="2"/>
      <c r="B1697" s="2"/>
      <c r="C1697" s="5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</row>
    <row r="1698" spans="1:16" ht="12.75">
      <c r="A1698" s="2"/>
      <c r="B1698" s="2"/>
      <c r="C1698" s="5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</row>
    <row r="1699" spans="1:16" ht="12.75">
      <c r="A1699" s="2"/>
      <c r="B1699" s="2"/>
      <c r="C1699" s="5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</row>
    <row r="1700" spans="1:16" ht="12.75">
      <c r="A1700" s="2"/>
      <c r="B1700" s="2"/>
      <c r="C1700" s="5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</row>
    <row r="1701" spans="1:16" ht="12.75">
      <c r="A1701" s="2"/>
      <c r="B1701" s="2"/>
      <c r="C1701" s="5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</row>
    <row r="1702" spans="1:16" ht="12.75">
      <c r="A1702" s="2"/>
      <c r="B1702" s="2"/>
      <c r="C1702" s="5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</row>
    <row r="1703" spans="1:16" ht="12.75">
      <c r="A1703" s="2"/>
      <c r="B1703" s="2"/>
      <c r="C1703" s="5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</row>
    <row r="1704" spans="1:16" ht="12.75">
      <c r="A1704" s="2"/>
      <c r="B1704" s="2"/>
      <c r="C1704" s="5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</row>
    <row r="1705" spans="1:16" ht="12.75">
      <c r="A1705" s="2"/>
      <c r="B1705" s="2"/>
      <c r="C1705" s="5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</row>
    <row r="1706" spans="1:16" ht="12.75">
      <c r="A1706" s="2"/>
      <c r="B1706" s="2"/>
      <c r="C1706" s="5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</row>
    <row r="1707" spans="1:16" ht="12.75">
      <c r="A1707" s="2"/>
      <c r="B1707" s="2"/>
      <c r="C1707" s="5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</row>
    <row r="1708" spans="1:16" ht="12.75">
      <c r="A1708" s="2"/>
      <c r="B1708" s="2"/>
      <c r="C1708" s="5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</row>
    <row r="1709" spans="1:16" ht="12.75">
      <c r="A1709" s="2"/>
      <c r="B1709" s="2"/>
      <c r="C1709" s="5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</row>
    <row r="1710" spans="1:16" ht="12.75">
      <c r="A1710" s="2"/>
      <c r="B1710" s="2"/>
      <c r="C1710" s="5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</row>
    <row r="1711" spans="1:16" ht="12.75">
      <c r="A1711" s="2"/>
      <c r="B1711" s="2"/>
      <c r="C1711" s="5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</row>
    <row r="1712" spans="1:16" ht="12.75">
      <c r="A1712" s="2"/>
      <c r="B1712" s="2"/>
      <c r="C1712" s="5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</row>
    <row r="1713" spans="1:16" ht="12.75">
      <c r="A1713" s="2"/>
      <c r="B1713" s="2"/>
      <c r="C1713" s="5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</row>
    <row r="1714" spans="1:16" ht="12.75">
      <c r="A1714" s="2"/>
      <c r="B1714" s="2"/>
      <c r="C1714" s="5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</row>
  </sheetData>
  <conditionalFormatting sqref="A8">
    <cfRule type="colorScale" priority="1">
      <colorScale>
        <cfvo type="min"/>
        <cfvo type="max"/>
        <color rgb="FFFFFFFF"/>
        <color rgb="FF57BB8A"/>
      </colorScale>
    </cfRule>
  </conditionalFormatting>
  <hyperlinks>
    <hyperlink ref="D49" r:id="rId1" xr:uid="{00000000-0004-0000-0000-000000000000}"/>
    <hyperlink ref="D143" r:id="rId2" xr:uid="{00000000-0004-0000-0000-000002000000}"/>
    <hyperlink ref="D279" r:id="rId3" xr:uid="{00000000-0004-0000-0000-000004000000}"/>
    <hyperlink ref="D337" r:id="rId4" xr:uid="{00000000-0004-0000-0000-000006000000}"/>
    <hyperlink ref="D353" r:id="rId5" xr:uid="{00000000-0004-0000-0000-000007000000}"/>
    <hyperlink ref="B389" r:id="rId6" xr:uid="{00000000-0004-0000-0000-000008000000}"/>
    <hyperlink ref="D414" r:id="rId7" xr:uid="{00000000-0004-0000-0000-00000A000000}"/>
    <hyperlink ref="D447" r:id="rId8" xr:uid="{00000000-0004-0000-0000-00000B000000}"/>
    <hyperlink ref="D448" r:id="rId9" xr:uid="{00000000-0004-0000-0000-00000C000000}"/>
    <hyperlink ref="D147" r:id="rId10" xr:uid="{A80FD44A-B913-4C7F-812F-26456747309D}"/>
    <hyperlink ref="D888" r:id="rId11" xr:uid="{00000000-0004-0000-0000-000017000000}"/>
    <hyperlink ref="D832" r:id="rId12" xr:uid="{00000000-0004-0000-0000-000013000000}"/>
    <hyperlink ref="D817" r:id="rId13" xr:uid="{00000000-0004-0000-0000-000012000000}"/>
    <hyperlink ref="D631" r:id="rId14" xr:uid="{00000000-0004-0000-0000-00000E000000}"/>
    <hyperlink ref="D588" r:id="rId15" xr:uid="{00000000-0004-0000-0000-00000D000000}"/>
    <hyperlink ref="B883" r:id="rId16" xr:uid="{00000000-0004-0000-0000-000016000000}"/>
    <hyperlink ref="B864" r:id="rId17" xr:uid="{00000000-0004-0000-0000-000014000000}"/>
    <hyperlink ref="B409" r:id="rId18" xr:uid="{00000000-0004-0000-0000-000009000000}"/>
    <hyperlink ref="D1046" r:id="rId19" xr:uid="{D0CCD626-1818-458A-B4FA-2B26F399C0BD}"/>
    <hyperlink ref="D1105" r:id="rId20" xr:uid="{132D6997-EFEF-44EC-96F4-C3E14D6AA277}"/>
    <hyperlink ref="D1071" r:id="rId21" display="mailto:info@ncpb.co.ke" xr:uid="{CD58008A-7D58-4598-868B-A15B66BDB0A4}"/>
    <hyperlink ref="D1079" r:id="rId22" xr:uid="{EAAEF506-82E8-43D1-A778-96498ACFA18C}"/>
    <hyperlink ref="D1129" r:id="rId23" xr:uid="{1B783DE5-73BF-4C4A-83CC-AC9F5626006C}"/>
    <hyperlink ref="D1130" r:id="rId24" xr:uid="{8CB8E184-8F1C-4FFA-8204-A712C8A10F3F}"/>
    <hyperlink ref="D1132" r:id="rId25" xr:uid="{464E88C2-434D-411F-8FF6-6553EF48323F}"/>
    <hyperlink ref="D1133" r:id="rId26" xr:uid="{601DEA0B-2940-4734-86FF-C1C3C8304BC0}"/>
    <hyperlink ref="D1137" r:id="rId27" xr:uid="{94F7E30D-3238-47B2-B80F-878F90482399}"/>
    <hyperlink ref="D1114" r:id="rId28" xr:uid="{76615C5E-0592-44F0-84ED-E18ADA11EEEB}"/>
    <hyperlink ref="D1112" r:id="rId29" xr:uid="{F70A9321-90F2-4CE9-86D8-7E34B5F53130}"/>
    <hyperlink ref="D1111" r:id="rId30" xr:uid="{EC97B6CE-A05E-4408-89DA-29048B95EF25}"/>
    <hyperlink ref="D1102" r:id="rId31" xr:uid="{442210D0-FDAF-4999-9AA5-085F99A4E19E}"/>
    <hyperlink ref="D1101" r:id="rId32" xr:uid="{0355399D-3EF9-4C0C-97FD-C52DA94E793D}"/>
    <hyperlink ref="D1100" r:id="rId33" xr:uid="{682E8412-E782-486A-A55D-A5CD0D59D4B7}"/>
    <hyperlink ref="D1097" r:id="rId34" xr:uid="{0B13236E-BEE6-419E-A9A5-70A74AF49438}"/>
    <hyperlink ref="D1092" r:id="rId35" xr:uid="{3888008F-36A2-4BEE-B4A9-DEB5922CF956}"/>
    <hyperlink ref="D1084" r:id="rId36" xr:uid="{A9853477-80F4-4D99-A52D-99F33B22DC2A}"/>
    <hyperlink ref="D1075" r:id="rId37" xr:uid="{3F693F7B-C724-4833-9E05-2D2F82AB803E}"/>
    <hyperlink ref="D1074" r:id="rId38" xr:uid="{808B38F6-52CC-468C-8381-1F0AB107B3C9}"/>
    <hyperlink ref="D1056" r:id="rId39" xr:uid="{400C64F9-575B-44F9-8254-10B7290B08A1}"/>
    <hyperlink ref="D1052" r:id="rId40" xr:uid="{10DAB4E6-8699-4496-9BDD-4620AE6D122C}"/>
    <hyperlink ref="D1109" r:id="rId41" display="Psepsy.go.ke" xr:uid="{330CE720-0370-4593-B325-7393FBE8E4AE}"/>
    <hyperlink ref="D1366" r:id="rId42" xr:uid="{D8D00A10-3277-4100-BE47-B3ACE11FC79E}"/>
    <hyperlink ref="D1367" r:id="rId43" xr:uid="{9AE14002-F33A-4A15-A255-C4A4EAB20E75}"/>
    <hyperlink ref="D1376" r:id="rId44" xr:uid="{534D1359-BDCA-49BD-A716-7300434D5CF3}"/>
    <hyperlink ref="D1375" r:id="rId45" xr:uid="{0D5FEA3F-D7F2-4AA8-BE23-727873EFCE82}"/>
    <hyperlink ref="D1374" r:id="rId46" xr:uid="{C66A05D5-7425-40AA-BD37-438FF5F84170}"/>
    <hyperlink ref="D1373" r:id="rId47" xr:uid="{2DD81D1F-7B7D-43E5-A9D9-F3AF3882142A}"/>
    <hyperlink ref="D1371" r:id="rId48" xr:uid="{990BA954-BDCD-41D2-AD34-CD72FE8EEF4B}"/>
    <hyperlink ref="D1369" r:id="rId49" xr:uid="{3DACE31D-340B-46C2-A074-DE3348039228}"/>
    <hyperlink ref="D1365" r:id="rId50" xr:uid="{B95DA87A-51FB-489F-8C8D-FA9362AE5539}"/>
    <hyperlink ref="D1363" r:id="rId51" xr:uid="{A809D7A1-C793-4FB4-A1DB-9863AC949477}"/>
    <hyperlink ref="D1338" r:id="rId52" xr:uid="{ADA2BE45-0B74-4F1F-913D-10797F156474}"/>
  </hyperlinks>
  <printOptions horizontalCentered="1" gridLines="1"/>
  <pageMargins left="0.7" right="0.7" top="0.75" bottom="0.75" header="0" footer="0"/>
  <pageSetup fitToHeight="0" pageOrder="overThenDown" orientation="landscape" cellComments="atEnd" r:id="rId53"/>
  <drawing r:id="rId54"/>
  <legacyDrawing r:id="rId5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>
    <row r="1" spans="1:1">
      <c r="A1" s="60" t="s">
        <v>3552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N118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2" width="30.28515625" customWidth="1"/>
    <col min="3" max="3" width="17.85546875" customWidth="1"/>
    <col min="4" max="4" width="41.5703125" customWidth="1"/>
    <col min="5" max="5" width="41" customWidth="1"/>
    <col min="6" max="7" width="58.28515625" customWidth="1"/>
    <col min="8" max="8" width="40.42578125" customWidth="1"/>
    <col min="9" max="9" width="33.7109375" customWidth="1"/>
    <col min="10" max="10" width="39.5703125" customWidth="1"/>
    <col min="11" max="15" width="33" customWidth="1"/>
    <col min="16" max="16" width="22.140625" customWidth="1"/>
    <col min="17" max="17" width="23.140625" customWidth="1"/>
  </cols>
  <sheetData>
    <row r="1" spans="1:36" ht="18">
      <c r="A1" s="61"/>
      <c r="B1" s="61" t="s">
        <v>0</v>
      </c>
      <c r="C1" s="62" t="s">
        <v>1</v>
      </c>
      <c r="D1" s="62" t="s">
        <v>2</v>
      </c>
      <c r="E1" s="63" t="s">
        <v>3</v>
      </c>
      <c r="F1" s="62" t="s">
        <v>4</v>
      </c>
      <c r="G1" s="64"/>
      <c r="H1" s="64" t="s">
        <v>5</v>
      </c>
      <c r="I1" s="64" t="s">
        <v>6</v>
      </c>
      <c r="J1" s="64" t="s">
        <v>7</v>
      </c>
      <c r="K1" s="64" t="s">
        <v>8</v>
      </c>
      <c r="L1" s="65"/>
      <c r="M1" s="65"/>
      <c r="N1" s="65"/>
      <c r="O1" s="60"/>
      <c r="P1" s="60"/>
      <c r="Q1" s="60"/>
    </row>
    <row r="2" spans="1:36" ht="12.75">
      <c r="A2" s="66" t="s">
        <v>9</v>
      </c>
      <c r="B2" s="67"/>
      <c r="C2" s="67" t="s">
        <v>10</v>
      </c>
      <c r="D2" s="66" t="s">
        <v>11</v>
      </c>
      <c r="E2" s="68">
        <v>113149476</v>
      </c>
      <c r="F2" s="67" t="s">
        <v>12</v>
      </c>
      <c r="G2" s="69"/>
      <c r="H2" s="69" t="s">
        <v>13</v>
      </c>
      <c r="I2" s="70" t="s">
        <v>14</v>
      </c>
      <c r="J2" s="71">
        <v>721998308</v>
      </c>
      <c r="K2" s="69" t="s">
        <v>15</v>
      </c>
      <c r="L2" s="65"/>
      <c r="M2" s="65"/>
      <c r="N2" s="65"/>
      <c r="O2" s="60"/>
      <c r="P2" s="60"/>
      <c r="Q2" s="60"/>
    </row>
    <row r="3" spans="1:36" ht="12.75">
      <c r="A3" s="72" t="s">
        <v>1938</v>
      </c>
      <c r="B3" s="72"/>
      <c r="C3" s="72" t="s">
        <v>16</v>
      </c>
      <c r="D3" s="72" t="s">
        <v>17</v>
      </c>
      <c r="E3" s="73">
        <v>757182774</v>
      </c>
      <c r="F3" s="5" t="s">
        <v>18</v>
      </c>
      <c r="G3" s="7"/>
      <c r="H3" s="74" t="s">
        <v>19</v>
      </c>
      <c r="I3" s="75" t="s">
        <v>20</v>
      </c>
      <c r="J3" s="74">
        <v>704335222</v>
      </c>
      <c r="K3" s="74" t="s">
        <v>21</v>
      </c>
      <c r="L3" s="74"/>
      <c r="M3" s="74"/>
      <c r="N3" s="74"/>
      <c r="O3" s="74"/>
      <c r="P3" s="74"/>
      <c r="Q3" s="74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</row>
    <row r="4" spans="1:36" ht="12.75">
      <c r="A4" s="77" t="s">
        <v>22</v>
      </c>
      <c r="B4" s="77"/>
      <c r="C4" s="77" t="s">
        <v>23</v>
      </c>
      <c r="D4" s="77" t="s">
        <v>24</v>
      </c>
      <c r="E4" s="78">
        <v>799617124</v>
      </c>
      <c r="F4" s="3" t="s">
        <v>25</v>
      </c>
      <c r="G4" s="7"/>
      <c r="H4" s="74" t="s">
        <v>26</v>
      </c>
      <c r="I4" s="75" t="s">
        <v>27</v>
      </c>
      <c r="J4" s="74" t="s">
        <v>28</v>
      </c>
      <c r="K4" s="74" t="s">
        <v>29</v>
      </c>
      <c r="L4" s="74"/>
      <c r="M4" s="74"/>
      <c r="N4" s="74"/>
      <c r="O4" s="74"/>
      <c r="P4" s="76"/>
      <c r="Q4" s="74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</row>
    <row r="5" spans="1:36" ht="12.75">
      <c r="A5" s="72" t="s">
        <v>2933</v>
      </c>
      <c r="B5" s="72"/>
      <c r="C5" s="79" t="s">
        <v>30</v>
      </c>
      <c r="D5" s="80" t="s">
        <v>31</v>
      </c>
      <c r="E5" s="81">
        <v>708609096</v>
      </c>
      <c r="F5" s="5" t="s">
        <v>32</v>
      </c>
      <c r="G5" s="7"/>
      <c r="H5" s="74" t="s">
        <v>33</v>
      </c>
      <c r="I5" s="75" t="s">
        <v>34</v>
      </c>
      <c r="J5" s="74">
        <v>712547078</v>
      </c>
      <c r="K5" s="82" t="s">
        <v>35</v>
      </c>
      <c r="L5" s="74"/>
      <c r="M5" s="74"/>
      <c r="N5" s="74"/>
      <c r="O5" s="74"/>
      <c r="P5" s="76"/>
      <c r="Q5" s="74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</row>
    <row r="6" spans="1:36" ht="12.75">
      <c r="A6" s="77" t="s">
        <v>36</v>
      </c>
      <c r="B6" s="77"/>
      <c r="C6" s="77" t="s">
        <v>37</v>
      </c>
      <c r="D6" s="77" t="s">
        <v>38</v>
      </c>
      <c r="E6" s="78">
        <v>745169043</v>
      </c>
      <c r="F6" s="3" t="s">
        <v>39</v>
      </c>
      <c r="G6" s="7"/>
      <c r="H6" s="74" t="s">
        <v>40</v>
      </c>
      <c r="I6" s="75" t="s">
        <v>41</v>
      </c>
      <c r="J6" s="74">
        <v>710453693</v>
      </c>
      <c r="K6" s="74" t="s">
        <v>42</v>
      </c>
      <c r="L6" s="74"/>
      <c r="M6" s="74"/>
      <c r="N6" s="74"/>
      <c r="O6" s="74"/>
      <c r="P6" s="74"/>
      <c r="Q6" s="74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</row>
    <row r="7" spans="1:36" ht="12.75">
      <c r="A7" s="72" t="s">
        <v>43</v>
      </c>
      <c r="B7" s="83"/>
      <c r="C7" s="83" t="s">
        <v>44</v>
      </c>
      <c r="D7" s="83" t="s">
        <v>45</v>
      </c>
      <c r="E7" s="73">
        <v>794825579</v>
      </c>
      <c r="F7" s="5" t="s">
        <v>46</v>
      </c>
      <c r="G7" s="7"/>
      <c r="H7" s="76"/>
      <c r="I7" s="84"/>
      <c r="J7" s="76"/>
      <c r="K7" s="76"/>
      <c r="L7" s="74"/>
      <c r="M7" s="74"/>
      <c r="N7" s="74"/>
      <c r="O7" s="74"/>
      <c r="P7" s="74"/>
      <c r="Q7" s="74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</row>
    <row r="8" spans="1:36" ht="15">
      <c r="A8" s="77" t="s">
        <v>47</v>
      </c>
      <c r="B8" s="77"/>
      <c r="C8" s="77" t="s">
        <v>48</v>
      </c>
      <c r="D8" s="77" t="s">
        <v>49</v>
      </c>
      <c r="E8" s="78">
        <v>114400964</v>
      </c>
      <c r="F8" s="3" t="s">
        <v>50</v>
      </c>
      <c r="G8" s="7"/>
      <c r="H8" s="74" t="s">
        <v>51</v>
      </c>
      <c r="I8" s="75" t="s">
        <v>52</v>
      </c>
      <c r="J8" s="74">
        <v>746608000</v>
      </c>
      <c r="K8" s="12" t="s">
        <v>53</v>
      </c>
      <c r="L8" s="74"/>
      <c r="M8" s="74"/>
      <c r="N8" s="74"/>
      <c r="O8" s="74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</row>
    <row r="9" spans="1:36" ht="18.75">
      <c r="A9" s="72" t="s">
        <v>54</v>
      </c>
      <c r="B9" s="72"/>
      <c r="C9" s="72" t="s">
        <v>55</v>
      </c>
      <c r="D9" s="72" t="s">
        <v>56</v>
      </c>
      <c r="E9" s="73">
        <v>746599780</v>
      </c>
      <c r="F9" s="5" t="s">
        <v>57</v>
      </c>
      <c r="G9" s="7"/>
      <c r="H9" s="74" t="s">
        <v>58</v>
      </c>
      <c r="I9" s="75" t="s">
        <v>59</v>
      </c>
      <c r="J9" s="74">
        <v>720668236</v>
      </c>
      <c r="K9" s="74" t="s">
        <v>60</v>
      </c>
      <c r="L9" s="60"/>
      <c r="M9" s="60"/>
      <c r="N9" s="60"/>
      <c r="O9" s="60"/>
      <c r="P9" s="85"/>
      <c r="Q9" s="8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</row>
    <row r="10" spans="1:36" ht="18.75">
      <c r="A10" s="77"/>
      <c r="B10" s="77"/>
      <c r="C10" s="77" t="s">
        <v>61</v>
      </c>
      <c r="D10" s="77" t="s">
        <v>62</v>
      </c>
      <c r="E10" s="78">
        <v>792129407</v>
      </c>
      <c r="F10" s="3" t="s">
        <v>63</v>
      </c>
      <c r="G10" s="7"/>
      <c r="H10" s="74" t="s">
        <v>64</v>
      </c>
      <c r="I10" s="75" t="s">
        <v>65</v>
      </c>
      <c r="J10" s="74">
        <v>202044965</v>
      </c>
      <c r="K10" s="74" t="s">
        <v>66</v>
      </c>
      <c r="L10" s="60"/>
      <c r="M10" s="60"/>
      <c r="N10" s="60"/>
      <c r="O10" s="60"/>
      <c r="P10" s="85"/>
      <c r="Q10" s="8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</row>
    <row r="11" spans="1:36" ht="12.75">
      <c r="A11" s="72" t="s">
        <v>2976</v>
      </c>
      <c r="B11" s="72"/>
      <c r="C11" s="72" t="s">
        <v>67</v>
      </c>
      <c r="D11" s="72" t="s">
        <v>68</v>
      </c>
      <c r="E11" s="87"/>
      <c r="F11" s="13"/>
      <c r="G11" s="9"/>
      <c r="H11" s="76"/>
      <c r="I11" s="84"/>
      <c r="J11" s="76"/>
      <c r="K11" s="76"/>
      <c r="L11" s="74"/>
      <c r="M11" s="74"/>
      <c r="N11" s="74"/>
      <c r="O11" s="74"/>
      <c r="P11" s="74"/>
      <c r="Q11" s="74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</row>
    <row r="12" spans="1:36" ht="12.75">
      <c r="A12" s="77" t="s">
        <v>69</v>
      </c>
      <c r="B12" s="77"/>
      <c r="C12" s="77" t="s">
        <v>70</v>
      </c>
      <c r="D12" s="77" t="s">
        <v>71</v>
      </c>
      <c r="E12" s="68">
        <v>790822023</v>
      </c>
      <c r="F12" s="14" t="s">
        <v>72</v>
      </c>
      <c r="G12" s="1"/>
      <c r="H12" s="74" t="s">
        <v>73</v>
      </c>
      <c r="I12" s="88" t="s">
        <v>74</v>
      </c>
      <c r="J12" s="74">
        <v>704005047</v>
      </c>
      <c r="K12" s="60" t="s">
        <v>75</v>
      </c>
      <c r="L12" s="60"/>
      <c r="M12" s="60"/>
      <c r="N12" s="60"/>
      <c r="O12" s="60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</row>
    <row r="13" spans="1:36" ht="12.75">
      <c r="A13" s="89" t="s">
        <v>76</v>
      </c>
      <c r="B13" s="89"/>
      <c r="C13" s="72" t="s">
        <v>77</v>
      </c>
      <c r="D13" s="72" t="s">
        <v>78</v>
      </c>
      <c r="E13" s="73">
        <v>701590217</v>
      </c>
      <c r="F13" s="5" t="s">
        <v>79</v>
      </c>
      <c r="G13" s="7"/>
      <c r="H13" s="74" t="s">
        <v>80</v>
      </c>
      <c r="I13" s="75" t="s">
        <v>20</v>
      </c>
      <c r="J13" s="74">
        <v>737409471</v>
      </c>
      <c r="K13" s="76"/>
      <c r="L13" s="74"/>
      <c r="M13" s="74"/>
      <c r="N13" s="74"/>
      <c r="O13" s="74"/>
      <c r="P13" s="74"/>
      <c r="Q13" s="74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</row>
    <row r="14" spans="1:36" ht="12.75">
      <c r="A14" s="77" t="s">
        <v>81</v>
      </c>
      <c r="B14" s="77"/>
      <c r="C14" s="77" t="s">
        <v>82</v>
      </c>
      <c r="D14" s="77" t="s">
        <v>83</v>
      </c>
      <c r="E14" s="78">
        <v>113551500</v>
      </c>
      <c r="F14" s="3" t="s">
        <v>84</v>
      </c>
      <c r="G14" s="7"/>
      <c r="H14" s="74" t="s">
        <v>85</v>
      </c>
      <c r="I14" s="75" t="s">
        <v>86</v>
      </c>
      <c r="J14" s="74">
        <v>773416044</v>
      </c>
      <c r="K14" s="74" t="s">
        <v>87</v>
      </c>
      <c r="L14" s="90"/>
      <c r="M14" s="90"/>
      <c r="N14" s="90"/>
      <c r="O14" s="90"/>
      <c r="P14" s="74"/>
      <c r="Q14" s="74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</row>
    <row r="15" spans="1:36" ht="12.75">
      <c r="A15" s="72" t="s">
        <v>88</v>
      </c>
      <c r="B15" s="72"/>
      <c r="C15" s="72" t="s">
        <v>89</v>
      </c>
      <c r="D15" s="72" t="s">
        <v>90</v>
      </c>
      <c r="E15" s="73">
        <v>713707338</v>
      </c>
      <c r="F15" s="5" t="s">
        <v>91</v>
      </c>
      <c r="G15" s="7"/>
      <c r="H15" s="74" t="s">
        <v>92</v>
      </c>
      <c r="I15" s="75" t="s">
        <v>93</v>
      </c>
      <c r="J15" s="74">
        <v>723838579</v>
      </c>
      <c r="K15" s="74" t="s">
        <v>94</v>
      </c>
      <c r="L15" s="74"/>
      <c r="M15" s="74"/>
      <c r="N15" s="74"/>
      <c r="O15" s="74"/>
      <c r="P15" s="74"/>
      <c r="Q15" s="91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</row>
    <row r="16" spans="1:36" ht="12.75">
      <c r="A16" s="77" t="s">
        <v>95</v>
      </c>
      <c r="B16" s="77"/>
      <c r="C16" s="77" t="s">
        <v>96</v>
      </c>
      <c r="D16" s="77" t="s">
        <v>97</v>
      </c>
      <c r="E16" s="78">
        <v>254114826691</v>
      </c>
      <c r="F16" s="3" t="s">
        <v>98</v>
      </c>
      <c r="G16" s="7"/>
      <c r="H16" s="74" t="s">
        <v>99</v>
      </c>
      <c r="I16" s="75" t="s">
        <v>100</v>
      </c>
      <c r="J16" s="74">
        <v>254758722020</v>
      </c>
      <c r="K16" s="74" t="s">
        <v>101</v>
      </c>
      <c r="L16" s="90"/>
      <c r="M16" s="90"/>
      <c r="N16" s="90"/>
      <c r="O16" s="90"/>
      <c r="P16" s="74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</row>
    <row r="17" spans="1:36" ht="12.75">
      <c r="A17" s="72" t="s">
        <v>102</v>
      </c>
      <c r="B17" s="72"/>
      <c r="C17" s="72" t="s">
        <v>103</v>
      </c>
      <c r="D17" s="72"/>
      <c r="E17" s="73">
        <v>702216778</v>
      </c>
      <c r="F17" s="5" t="s">
        <v>39</v>
      </c>
      <c r="G17" s="7"/>
      <c r="H17" s="74" t="s">
        <v>104</v>
      </c>
      <c r="I17" s="75" t="s">
        <v>14</v>
      </c>
      <c r="J17" s="74">
        <v>715364294</v>
      </c>
      <c r="K17" s="74" t="s">
        <v>105</v>
      </c>
      <c r="L17" s="74"/>
      <c r="M17" s="74"/>
      <c r="N17" s="74"/>
      <c r="O17" s="74"/>
      <c r="P17" s="74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</row>
    <row r="18" spans="1:36" ht="12.75">
      <c r="A18" s="77" t="s">
        <v>106</v>
      </c>
      <c r="B18" s="77"/>
      <c r="C18" s="77" t="s">
        <v>107</v>
      </c>
      <c r="D18" s="77" t="s">
        <v>108</v>
      </c>
      <c r="E18" s="68">
        <v>112713144</v>
      </c>
      <c r="F18" s="3" t="s">
        <v>109</v>
      </c>
      <c r="G18" s="7"/>
      <c r="H18" s="74" t="s">
        <v>110</v>
      </c>
      <c r="I18" s="75" t="s">
        <v>111</v>
      </c>
      <c r="J18" s="74">
        <v>729333444</v>
      </c>
      <c r="K18" s="74" t="s">
        <v>112</v>
      </c>
      <c r="L18" s="74"/>
      <c r="M18" s="74"/>
      <c r="N18" s="74"/>
      <c r="O18" s="74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</row>
    <row r="19" spans="1:36" ht="12.75">
      <c r="A19" s="72" t="s">
        <v>113</v>
      </c>
      <c r="B19" s="72"/>
      <c r="C19" s="72" t="s">
        <v>114</v>
      </c>
      <c r="D19" s="72" t="s">
        <v>115</v>
      </c>
      <c r="E19" s="73">
        <v>758863974</v>
      </c>
      <c r="F19" s="4" t="s">
        <v>116</v>
      </c>
      <c r="G19" s="1"/>
      <c r="H19" s="76"/>
      <c r="I19" s="84"/>
      <c r="J19" s="76"/>
      <c r="K19" s="76"/>
      <c r="L19" s="74"/>
      <c r="M19" s="74"/>
      <c r="N19" s="74"/>
      <c r="O19" s="74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</row>
    <row r="20" spans="1:36" ht="12.75">
      <c r="A20" s="92" t="s">
        <v>117</v>
      </c>
      <c r="B20" s="92"/>
      <c r="C20" s="92" t="s">
        <v>118</v>
      </c>
      <c r="D20" s="92" t="s">
        <v>119</v>
      </c>
      <c r="E20" s="68">
        <v>796290165</v>
      </c>
      <c r="F20" s="14" t="s">
        <v>120</v>
      </c>
      <c r="G20" s="1"/>
      <c r="H20" s="60" t="s">
        <v>121</v>
      </c>
      <c r="I20" s="88" t="s">
        <v>122</v>
      </c>
      <c r="J20" s="60">
        <v>701167883</v>
      </c>
    </row>
    <row r="21" spans="1:36" ht="12.75">
      <c r="A21" s="72" t="s">
        <v>123</v>
      </c>
      <c r="B21" s="72"/>
      <c r="C21" s="72" t="s">
        <v>124</v>
      </c>
      <c r="D21" s="83" t="s">
        <v>125</v>
      </c>
      <c r="E21" s="93">
        <v>706083236</v>
      </c>
      <c r="F21" s="72" t="s">
        <v>126</v>
      </c>
      <c r="G21" s="74"/>
      <c r="H21" s="74" t="s">
        <v>127</v>
      </c>
      <c r="I21" s="75" t="s">
        <v>128</v>
      </c>
      <c r="J21" s="74">
        <v>728226333</v>
      </c>
      <c r="K21" s="74" t="s">
        <v>129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</row>
    <row r="22" spans="1:36" ht="12.75">
      <c r="A22" s="94" t="s">
        <v>130</v>
      </c>
      <c r="B22" s="94"/>
      <c r="C22" s="95" t="s">
        <v>131</v>
      </c>
      <c r="D22" s="96" t="s">
        <v>38</v>
      </c>
      <c r="E22" s="68">
        <v>752274339</v>
      </c>
      <c r="F22" s="3" t="s">
        <v>132</v>
      </c>
      <c r="G22" s="7"/>
      <c r="H22" s="74" t="s">
        <v>133</v>
      </c>
      <c r="I22" s="75" t="s">
        <v>134</v>
      </c>
      <c r="J22" s="74">
        <v>788014926</v>
      </c>
      <c r="K22" s="74" t="s">
        <v>135</v>
      </c>
      <c r="L22" s="74"/>
      <c r="M22" s="74"/>
      <c r="N22" s="74"/>
      <c r="O22" s="74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</row>
    <row r="23" spans="1:36" ht="12.75">
      <c r="A23" s="80" t="s">
        <v>136</v>
      </c>
      <c r="B23" s="80"/>
      <c r="C23" s="97" t="s">
        <v>137</v>
      </c>
      <c r="D23" s="79" t="s">
        <v>71</v>
      </c>
      <c r="E23" s="93">
        <v>799165528</v>
      </c>
      <c r="F23" s="5" t="s">
        <v>132</v>
      </c>
      <c r="G23" s="7"/>
      <c r="H23" s="74" t="s">
        <v>133</v>
      </c>
      <c r="I23" s="75" t="s">
        <v>134</v>
      </c>
      <c r="J23" s="74">
        <v>788014926</v>
      </c>
      <c r="K23" s="74" t="s">
        <v>135</v>
      </c>
      <c r="L23" s="74"/>
      <c r="M23" s="74"/>
      <c r="N23" s="74"/>
      <c r="O23" s="74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</row>
    <row r="24" spans="1:36" ht="12.75">
      <c r="A24" s="94" t="s">
        <v>138</v>
      </c>
      <c r="B24" s="94"/>
      <c r="C24" s="95" t="s">
        <v>139</v>
      </c>
      <c r="D24" s="98" t="s">
        <v>71</v>
      </c>
      <c r="E24" s="78" t="s">
        <v>140</v>
      </c>
      <c r="F24" s="3" t="s">
        <v>141</v>
      </c>
      <c r="G24" s="7"/>
      <c r="H24" s="74" t="s">
        <v>142</v>
      </c>
      <c r="I24" s="75" t="s">
        <v>143</v>
      </c>
      <c r="J24" s="74" t="s">
        <v>144</v>
      </c>
      <c r="K24" s="74" t="s">
        <v>145</v>
      </c>
      <c r="L24" s="74"/>
      <c r="M24" s="74"/>
      <c r="N24" s="74"/>
      <c r="O24" s="74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</row>
    <row r="25" spans="1:36" ht="12.75">
      <c r="A25" s="72" t="s">
        <v>146</v>
      </c>
      <c r="B25" s="72"/>
      <c r="C25" s="72" t="s">
        <v>147</v>
      </c>
      <c r="D25" s="72" t="s">
        <v>148</v>
      </c>
      <c r="E25" s="73">
        <v>759960969</v>
      </c>
      <c r="F25" s="5" t="s">
        <v>149</v>
      </c>
      <c r="G25" s="7"/>
      <c r="H25" s="74" t="s">
        <v>150</v>
      </c>
      <c r="I25" s="75" t="s">
        <v>151</v>
      </c>
      <c r="J25" s="74">
        <v>726773795</v>
      </c>
      <c r="K25" s="74" t="s">
        <v>152</v>
      </c>
      <c r="L25" s="74"/>
      <c r="M25" s="74"/>
      <c r="N25" s="74"/>
      <c r="O25" s="74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</row>
    <row r="26" spans="1:36" ht="12.75">
      <c r="A26" s="77" t="s">
        <v>153</v>
      </c>
      <c r="B26" s="77"/>
      <c r="C26" s="77" t="s">
        <v>154</v>
      </c>
      <c r="D26" s="77" t="s">
        <v>155</v>
      </c>
      <c r="E26" s="78">
        <v>25457750349</v>
      </c>
      <c r="F26" s="3" t="s">
        <v>156</v>
      </c>
      <c r="G26" s="7"/>
      <c r="H26" s="74" t="s">
        <v>157</v>
      </c>
      <c r="I26" s="75" t="s">
        <v>158</v>
      </c>
      <c r="J26" s="74" t="s">
        <v>159</v>
      </c>
      <c r="K26" s="74" t="s">
        <v>160</v>
      </c>
      <c r="L26" s="74"/>
      <c r="M26" s="74"/>
      <c r="N26" s="74"/>
      <c r="O26" s="74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</row>
    <row r="27" spans="1:36" ht="12.75">
      <c r="A27" s="72" t="s">
        <v>161</v>
      </c>
      <c r="B27" s="72"/>
      <c r="C27" s="72" t="s">
        <v>162</v>
      </c>
      <c r="D27" s="72" t="s">
        <v>163</v>
      </c>
      <c r="E27" s="73">
        <v>254796947002</v>
      </c>
      <c r="F27" s="5" t="s">
        <v>164</v>
      </c>
      <c r="G27" s="7"/>
      <c r="H27" s="74" t="s">
        <v>165</v>
      </c>
      <c r="I27" s="75" t="s">
        <v>166</v>
      </c>
      <c r="J27" s="74">
        <v>254705239289</v>
      </c>
      <c r="K27" s="98" t="s">
        <v>167</v>
      </c>
      <c r="L27" s="74"/>
      <c r="M27" s="74"/>
      <c r="N27" s="74"/>
      <c r="O27" s="74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</row>
    <row r="28" spans="1:36" ht="19.5">
      <c r="A28" s="92" t="s">
        <v>168</v>
      </c>
      <c r="B28" s="92"/>
      <c r="C28" s="96" t="s">
        <v>169</v>
      </c>
      <c r="D28" s="99" t="s">
        <v>170</v>
      </c>
      <c r="E28" s="78">
        <v>254769784597</v>
      </c>
      <c r="F28" s="16" t="s">
        <v>171</v>
      </c>
      <c r="G28" s="16"/>
      <c r="H28" s="98" t="s">
        <v>172</v>
      </c>
      <c r="I28" s="100" t="s">
        <v>173</v>
      </c>
      <c r="J28" s="17" t="s">
        <v>174</v>
      </c>
      <c r="K28" s="101" t="s">
        <v>175</v>
      </c>
      <c r="L28" s="74"/>
      <c r="M28" s="74"/>
      <c r="N28" s="74"/>
      <c r="O28" s="74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</row>
    <row r="29" spans="1:36" ht="12.75">
      <c r="A29" s="102" t="s">
        <v>176</v>
      </c>
      <c r="B29" s="102"/>
      <c r="C29" s="102" t="s">
        <v>177</v>
      </c>
      <c r="D29" s="102" t="s">
        <v>177</v>
      </c>
      <c r="E29" s="87"/>
      <c r="F29" s="102" t="s">
        <v>178</v>
      </c>
      <c r="G29" s="103"/>
      <c r="H29" s="103" t="s">
        <v>26</v>
      </c>
      <c r="I29" s="104" t="s">
        <v>179</v>
      </c>
      <c r="J29" s="105">
        <v>701158499</v>
      </c>
      <c r="K29" s="103" t="s">
        <v>180</v>
      </c>
      <c r="L29" s="74"/>
      <c r="M29" s="74"/>
      <c r="N29" s="74"/>
      <c r="O29" s="74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</row>
    <row r="30" spans="1:36" ht="12.75">
      <c r="A30" s="77" t="s">
        <v>181</v>
      </c>
      <c r="B30" s="77"/>
      <c r="C30" s="77" t="s">
        <v>182</v>
      </c>
      <c r="D30" s="77" t="s">
        <v>183</v>
      </c>
      <c r="E30" s="78">
        <v>704800599</v>
      </c>
      <c r="F30" s="3" t="s">
        <v>184</v>
      </c>
      <c r="G30" s="7"/>
      <c r="H30" s="7" t="s">
        <v>185</v>
      </c>
      <c r="I30" s="75" t="s">
        <v>186</v>
      </c>
      <c r="J30" s="74">
        <v>728336074</v>
      </c>
      <c r="K30" s="74" t="s">
        <v>187</v>
      </c>
      <c r="L30" s="74"/>
      <c r="M30" s="74"/>
      <c r="N30" s="74"/>
      <c r="O30" s="74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</row>
    <row r="31" spans="1:36" ht="12.75">
      <c r="A31" s="83" t="s">
        <v>188</v>
      </c>
      <c r="B31" s="83"/>
      <c r="C31" s="83" t="s">
        <v>189</v>
      </c>
      <c r="D31" s="83" t="s">
        <v>190</v>
      </c>
      <c r="E31" s="73">
        <v>254718268789</v>
      </c>
      <c r="F31" s="5" t="s">
        <v>191</v>
      </c>
      <c r="G31" s="7"/>
      <c r="H31" s="74" t="s">
        <v>192</v>
      </c>
      <c r="I31" s="75" t="s">
        <v>193</v>
      </c>
      <c r="J31" s="60" t="s">
        <v>194</v>
      </c>
      <c r="K31" s="74" t="s">
        <v>195</v>
      </c>
      <c r="L31" s="74"/>
      <c r="M31" s="74"/>
      <c r="N31" s="74"/>
      <c r="O31" s="74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</row>
    <row r="32" spans="1:36" ht="12.75">
      <c r="A32" s="92" t="s">
        <v>196</v>
      </c>
      <c r="B32" s="92"/>
      <c r="C32" s="92" t="s">
        <v>197</v>
      </c>
      <c r="D32" s="92" t="s">
        <v>198</v>
      </c>
      <c r="E32" s="68">
        <v>790117584</v>
      </c>
      <c r="F32" s="14" t="s">
        <v>199</v>
      </c>
      <c r="G32" s="1"/>
      <c r="H32" s="60" t="s">
        <v>58</v>
      </c>
      <c r="I32" s="88" t="s">
        <v>59</v>
      </c>
      <c r="J32" s="60">
        <v>720668236</v>
      </c>
      <c r="K32" s="74" t="s">
        <v>60</v>
      </c>
      <c r="L32" s="74"/>
      <c r="M32" s="74"/>
      <c r="N32" s="74"/>
      <c r="O32" s="74"/>
      <c r="P32" s="74"/>
      <c r="Q32" s="74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</row>
    <row r="33" spans="1:36" ht="12.75">
      <c r="A33" s="106" t="s">
        <v>200</v>
      </c>
      <c r="B33" s="106"/>
      <c r="C33" s="106" t="s">
        <v>201</v>
      </c>
      <c r="D33" s="106" t="s">
        <v>201</v>
      </c>
      <c r="E33" s="107"/>
      <c r="F33" s="106" t="s">
        <v>202</v>
      </c>
      <c r="G33" s="108"/>
      <c r="I33" s="109" t="s">
        <v>203</v>
      </c>
      <c r="J33" s="110">
        <v>720175015</v>
      </c>
      <c r="K33" s="103" t="s">
        <v>204</v>
      </c>
      <c r="L33" s="74"/>
      <c r="M33" s="74"/>
      <c r="N33" s="74"/>
      <c r="O33" s="74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</row>
    <row r="34" spans="1:36" ht="12.75">
      <c r="A34" s="95" t="s">
        <v>205</v>
      </c>
      <c r="B34" s="95"/>
      <c r="C34" s="77" t="s">
        <v>206</v>
      </c>
      <c r="D34" s="98" t="s">
        <v>207</v>
      </c>
      <c r="E34" s="111" t="s">
        <v>208</v>
      </c>
      <c r="F34" s="3" t="s">
        <v>209</v>
      </c>
      <c r="G34" s="7"/>
      <c r="H34" s="74" t="s">
        <v>210</v>
      </c>
      <c r="I34" s="75" t="s">
        <v>211</v>
      </c>
      <c r="J34" s="74" t="s">
        <v>212</v>
      </c>
      <c r="K34" s="74" t="s">
        <v>213</v>
      </c>
      <c r="L34" s="74"/>
      <c r="M34" s="74"/>
      <c r="N34" s="74"/>
      <c r="O34" s="7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</row>
    <row r="35" spans="1:36" ht="12.75">
      <c r="A35" s="72" t="s">
        <v>214</v>
      </c>
      <c r="B35" s="72"/>
      <c r="C35" s="72" t="s">
        <v>215</v>
      </c>
      <c r="D35" s="72" t="s">
        <v>71</v>
      </c>
      <c r="E35" s="73">
        <v>111707734</v>
      </c>
      <c r="F35" s="5" t="s">
        <v>216</v>
      </c>
      <c r="G35" s="7"/>
      <c r="H35" s="74" t="s">
        <v>217</v>
      </c>
      <c r="I35" s="75" t="s">
        <v>218</v>
      </c>
      <c r="J35" s="60">
        <v>254791507732</v>
      </c>
      <c r="K35" s="74" t="s">
        <v>219</v>
      </c>
      <c r="L35" s="74"/>
      <c r="M35" s="74"/>
      <c r="N35" s="74"/>
      <c r="O35" s="74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</row>
    <row r="36" spans="1:36" ht="12.75">
      <c r="A36" s="77" t="s">
        <v>220</v>
      </c>
      <c r="B36" s="77"/>
      <c r="C36" s="77" t="s">
        <v>221</v>
      </c>
      <c r="D36" s="77" t="s">
        <v>83</v>
      </c>
      <c r="E36" s="112">
        <v>254746771704</v>
      </c>
      <c r="F36" s="3" t="s">
        <v>222</v>
      </c>
      <c r="G36" s="7"/>
      <c r="H36" s="76"/>
      <c r="I36" s="75" t="s">
        <v>223</v>
      </c>
      <c r="J36" s="76"/>
      <c r="K36" s="74" t="s">
        <v>224</v>
      </c>
      <c r="L36" s="74"/>
      <c r="M36" s="74"/>
      <c r="N36" s="74"/>
      <c r="O36" s="74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</row>
    <row r="37" spans="1:36" ht="12.75">
      <c r="A37" s="113" t="s">
        <v>225</v>
      </c>
      <c r="B37" s="113"/>
      <c r="C37" s="72" t="s">
        <v>226</v>
      </c>
      <c r="D37" s="72" t="s">
        <v>227</v>
      </c>
      <c r="E37" s="73">
        <v>701968880</v>
      </c>
      <c r="F37" s="5" t="s">
        <v>228</v>
      </c>
      <c r="G37" s="7"/>
      <c r="H37" s="74" t="s">
        <v>229</v>
      </c>
      <c r="I37" s="75" t="s">
        <v>2953</v>
      </c>
      <c r="J37" s="74">
        <v>768483996</v>
      </c>
      <c r="K37" s="74" t="s">
        <v>230</v>
      </c>
      <c r="L37" s="74"/>
      <c r="M37" s="74"/>
      <c r="N37" s="74"/>
      <c r="O37" s="74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</row>
    <row r="38" spans="1:36" ht="12.75">
      <c r="A38" s="92" t="s">
        <v>231</v>
      </c>
      <c r="B38" s="92"/>
      <c r="C38" s="77" t="s">
        <v>232</v>
      </c>
      <c r="D38" s="77" t="s">
        <v>233</v>
      </c>
      <c r="E38" s="78" t="s">
        <v>234</v>
      </c>
      <c r="F38" s="3" t="s">
        <v>235</v>
      </c>
      <c r="G38" s="7"/>
      <c r="H38" s="74" t="s">
        <v>236</v>
      </c>
      <c r="I38" s="75" t="s">
        <v>237</v>
      </c>
      <c r="J38" s="74" t="s">
        <v>238</v>
      </c>
      <c r="K38" s="74" t="s">
        <v>239</v>
      </c>
      <c r="L38" s="74"/>
      <c r="M38" s="74"/>
      <c r="N38" s="74"/>
      <c r="O38" s="74"/>
      <c r="P38" s="74"/>
      <c r="Q38" s="74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</row>
    <row r="39" spans="1:36" ht="12.75">
      <c r="A39" s="72" t="s">
        <v>240</v>
      </c>
      <c r="B39" s="72"/>
      <c r="C39" s="72" t="s">
        <v>241</v>
      </c>
      <c r="D39" s="72" t="s">
        <v>242</v>
      </c>
      <c r="E39" s="73">
        <v>797093039</v>
      </c>
      <c r="F39" s="5" t="s">
        <v>243</v>
      </c>
      <c r="G39" s="7"/>
      <c r="H39" s="74" t="s">
        <v>244</v>
      </c>
      <c r="I39" s="75" t="s">
        <v>245</v>
      </c>
      <c r="J39" s="74">
        <v>710907511</v>
      </c>
      <c r="K39" s="74" t="s">
        <v>246</v>
      </c>
      <c r="L39" s="74"/>
      <c r="M39" s="74"/>
      <c r="N39" s="74"/>
      <c r="O39" s="74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</row>
    <row r="40" spans="1:36" ht="12.75">
      <c r="A40" s="77" t="s">
        <v>247</v>
      </c>
      <c r="B40" s="77"/>
      <c r="C40" s="77" t="s">
        <v>248</v>
      </c>
      <c r="D40" s="77" t="s">
        <v>227</v>
      </c>
      <c r="E40" s="112">
        <f>254759130352</f>
        <v>254759130352</v>
      </c>
      <c r="F40" s="3" t="s">
        <v>249</v>
      </c>
      <c r="G40" s="7"/>
      <c r="H40" s="74" t="s">
        <v>250</v>
      </c>
      <c r="I40" s="75" t="s">
        <v>251</v>
      </c>
      <c r="J40" s="74">
        <v>703126166</v>
      </c>
      <c r="K40" s="74" t="s">
        <v>252</v>
      </c>
      <c r="L40" s="74"/>
      <c r="M40" s="74"/>
      <c r="N40" s="74"/>
      <c r="O40" s="74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</row>
    <row r="41" spans="1:36" ht="12.75">
      <c r="A41" s="72" t="s">
        <v>253</v>
      </c>
      <c r="B41" s="72"/>
      <c r="C41" s="72" t="s">
        <v>254</v>
      </c>
      <c r="D41" s="72" t="s">
        <v>255</v>
      </c>
      <c r="E41" s="73">
        <v>798263946</v>
      </c>
      <c r="F41" s="5" t="s">
        <v>149</v>
      </c>
      <c r="G41" s="7"/>
      <c r="H41" s="74" t="s">
        <v>150</v>
      </c>
      <c r="I41" s="75" t="s">
        <v>151</v>
      </c>
      <c r="J41" s="74">
        <v>726773795</v>
      </c>
      <c r="K41" s="74" t="s">
        <v>152</v>
      </c>
      <c r="L41" s="74"/>
      <c r="M41" s="74"/>
      <c r="N41" s="74"/>
      <c r="O41" s="74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</row>
    <row r="42" spans="1:36" ht="12.75">
      <c r="A42" s="77" t="s">
        <v>256</v>
      </c>
      <c r="B42" s="77"/>
      <c r="C42" s="77" t="s">
        <v>257</v>
      </c>
      <c r="D42" s="77" t="s">
        <v>258</v>
      </c>
      <c r="E42" s="78" t="s">
        <v>259</v>
      </c>
      <c r="F42" s="3" t="s">
        <v>260</v>
      </c>
      <c r="G42" s="7"/>
      <c r="H42" s="74" t="s">
        <v>261</v>
      </c>
      <c r="I42" s="75" t="s">
        <v>218</v>
      </c>
      <c r="J42" s="114" t="s">
        <v>262</v>
      </c>
      <c r="K42" s="74" t="s">
        <v>263</v>
      </c>
      <c r="L42" s="74"/>
      <c r="M42" s="74"/>
      <c r="N42" s="74"/>
      <c r="O42" s="74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</row>
    <row r="43" spans="1:36" ht="12.75">
      <c r="A43" s="72" t="s">
        <v>264</v>
      </c>
      <c r="B43" s="72"/>
      <c r="C43" s="72" t="s">
        <v>265</v>
      </c>
      <c r="D43" s="72" t="s">
        <v>266</v>
      </c>
      <c r="E43" s="73">
        <v>114939391</v>
      </c>
      <c r="F43" s="5" t="s">
        <v>267</v>
      </c>
      <c r="G43" s="7"/>
      <c r="H43" s="74" t="s">
        <v>268</v>
      </c>
      <c r="I43" s="75" t="s">
        <v>269</v>
      </c>
      <c r="J43" s="74">
        <v>703080000</v>
      </c>
      <c r="K43" s="74" t="s">
        <v>270</v>
      </c>
      <c r="L43" s="74"/>
      <c r="M43" s="74"/>
      <c r="N43" s="74"/>
      <c r="O43" s="74"/>
      <c r="P43" s="74"/>
      <c r="Q43" s="74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</row>
    <row r="44" spans="1:36" ht="12.75">
      <c r="A44" s="77" t="s">
        <v>271</v>
      </c>
      <c r="B44" s="77"/>
      <c r="C44" s="77" t="s">
        <v>272</v>
      </c>
      <c r="D44" s="77" t="s">
        <v>273</v>
      </c>
      <c r="E44" s="78">
        <v>740629363</v>
      </c>
      <c r="F44" s="3" t="s">
        <v>274</v>
      </c>
      <c r="G44" s="7"/>
      <c r="H44" s="74" t="s">
        <v>275</v>
      </c>
      <c r="I44" s="75" t="s">
        <v>276</v>
      </c>
      <c r="J44" s="74">
        <v>714922311</v>
      </c>
      <c r="K44" s="76"/>
      <c r="L44" s="74"/>
      <c r="M44" s="74"/>
      <c r="N44" s="74"/>
      <c r="O44" s="74"/>
      <c r="P44" s="74"/>
      <c r="Q44" s="74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</row>
    <row r="45" spans="1:36" ht="12.75">
      <c r="A45" s="72" t="s">
        <v>277</v>
      </c>
      <c r="B45" s="72"/>
      <c r="C45" s="72" t="s">
        <v>278</v>
      </c>
      <c r="D45" s="79" t="s">
        <v>279</v>
      </c>
      <c r="E45" s="73">
        <v>254114760545</v>
      </c>
      <c r="F45" s="5" t="s">
        <v>280</v>
      </c>
      <c r="G45" s="7"/>
      <c r="H45" s="76"/>
      <c r="I45" s="84"/>
      <c r="J45" s="76"/>
      <c r="K45" s="76"/>
      <c r="L45" s="74"/>
      <c r="M45" s="74"/>
      <c r="N45" s="74"/>
      <c r="O45" s="74"/>
      <c r="P45" s="74"/>
      <c r="Q45" s="74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</row>
    <row r="46" spans="1:36" ht="12.75">
      <c r="A46" s="77" t="s">
        <v>281</v>
      </c>
      <c r="B46" s="77"/>
      <c r="C46" s="77" t="s">
        <v>282</v>
      </c>
      <c r="D46" s="77" t="s">
        <v>283</v>
      </c>
      <c r="E46" s="112">
        <v>254799574955</v>
      </c>
      <c r="F46" s="3" t="s">
        <v>284</v>
      </c>
      <c r="G46" s="7"/>
      <c r="H46" s="74" t="s">
        <v>285</v>
      </c>
      <c r="I46" s="75" t="s">
        <v>286</v>
      </c>
      <c r="J46" s="74">
        <v>682230033</v>
      </c>
      <c r="K46" s="74" t="s">
        <v>204</v>
      </c>
      <c r="L46" s="74"/>
      <c r="M46" s="74"/>
      <c r="N46" s="74"/>
      <c r="O46" s="74"/>
      <c r="P46" s="74"/>
      <c r="Q46" s="74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</row>
    <row r="47" spans="1:36" ht="12.75">
      <c r="A47" s="97" t="s">
        <v>287</v>
      </c>
      <c r="B47" s="97"/>
      <c r="C47" s="97" t="s">
        <v>288</v>
      </c>
      <c r="D47" s="97" t="s">
        <v>289</v>
      </c>
      <c r="E47" s="81">
        <v>743624994</v>
      </c>
      <c r="F47" s="5" t="s">
        <v>290</v>
      </c>
      <c r="G47" s="7"/>
      <c r="H47" s="74"/>
      <c r="I47" s="75" t="s">
        <v>237</v>
      </c>
      <c r="J47" s="74"/>
      <c r="K47" s="74" t="s">
        <v>291</v>
      </c>
      <c r="L47" s="74"/>
      <c r="M47" s="74"/>
      <c r="N47" s="74"/>
      <c r="O47" s="74"/>
      <c r="P47" s="74"/>
      <c r="Q47" s="74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</row>
    <row r="48" spans="1:36" ht="15">
      <c r="A48" s="77" t="s">
        <v>292</v>
      </c>
      <c r="B48" s="77"/>
      <c r="C48" s="77" t="s">
        <v>293</v>
      </c>
      <c r="D48" s="77" t="s">
        <v>294</v>
      </c>
      <c r="E48" s="78">
        <v>113225565</v>
      </c>
      <c r="F48" s="3" t="s">
        <v>295</v>
      </c>
      <c r="G48" s="7"/>
      <c r="H48" s="74" t="s">
        <v>296</v>
      </c>
      <c r="I48" s="75" t="s">
        <v>297</v>
      </c>
      <c r="J48" s="74">
        <v>700611875</v>
      </c>
      <c r="K48" s="115" t="s">
        <v>298</v>
      </c>
      <c r="L48" s="74"/>
      <c r="M48" s="74"/>
      <c r="N48" s="74"/>
      <c r="O48" s="74"/>
      <c r="P48" s="74"/>
      <c r="Q48" s="74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</row>
    <row r="49" spans="1:40" ht="12.75">
      <c r="A49" s="72" t="s">
        <v>299</v>
      </c>
      <c r="B49" s="72"/>
      <c r="C49" s="72" t="s">
        <v>300</v>
      </c>
      <c r="D49" s="72" t="s">
        <v>301</v>
      </c>
      <c r="E49" s="73">
        <v>795829464</v>
      </c>
      <c r="F49" s="5" t="s">
        <v>302</v>
      </c>
      <c r="G49" s="7"/>
      <c r="H49" s="74" t="s">
        <v>303</v>
      </c>
      <c r="I49" s="75" t="s">
        <v>20</v>
      </c>
      <c r="J49" s="74">
        <v>704335222</v>
      </c>
      <c r="K49" s="74" t="s">
        <v>21</v>
      </c>
      <c r="L49" s="74"/>
      <c r="M49" s="74"/>
      <c r="N49" s="74"/>
      <c r="O49" s="74"/>
      <c r="P49" s="74"/>
      <c r="Q49" s="74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</row>
    <row r="50" spans="1:40" ht="12.75">
      <c r="A50" s="95" t="s">
        <v>304</v>
      </c>
      <c r="B50" s="95"/>
      <c r="C50" s="95" t="s">
        <v>305</v>
      </c>
      <c r="D50" s="95" t="s">
        <v>306</v>
      </c>
      <c r="E50" s="111" t="s">
        <v>307</v>
      </c>
      <c r="F50" s="3" t="s">
        <v>141</v>
      </c>
      <c r="G50" s="7"/>
      <c r="H50" s="74" t="s">
        <v>142</v>
      </c>
      <c r="I50" s="75" t="s">
        <v>143</v>
      </c>
      <c r="J50" s="74" t="s">
        <v>144</v>
      </c>
      <c r="K50" s="74" t="s">
        <v>145</v>
      </c>
      <c r="L50" s="74"/>
      <c r="M50" s="74"/>
      <c r="N50" s="74"/>
      <c r="O50" s="74"/>
      <c r="P50" s="74"/>
      <c r="Q50" s="74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</row>
    <row r="51" spans="1:40" ht="12.75">
      <c r="A51" s="35" t="s">
        <v>308</v>
      </c>
      <c r="B51" s="35"/>
      <c r="C51" s="79" t="s">
        <v>309</v>
      </c>
      <c r="D51" s="79" t="s">
        <v>310</v>
      </c>
      <c r="E51" s="81">
        <v>716568609</v>
      </c>
      <c r="F51" s="5" t="s">
        <v>311</v>
      </c>
      <c r="G51" s="7"/>
      <c r="H51" s="74" t="s">
        <v>312</v>
      </c>
      <c r="I51" s="75" t="s">
        <v>313</v>
      </c>
      <c r="J51" s="74">
        <v>790566616</v>
      </c>
      <c r="K51" s="74" t="s">
        <v>314</v>
      </c>
      <c r="L51" s="74"/>
      <c r="M51" s="74"/>
      <c r="N51" s="74"/>
      <c r="O51" s="74"/>
      <c r="P51" s="74"/>
      <c r="Q51" s="74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</row>
    <row r="52" spans="1:40" ht="12.75">
      <c r="A52" s="77" t="s">
        <v>315</v>
      </c>
      <c r="B52" s="77"/>
      <c r="C52" s="77" t="s">
        <v>316</v>
      </c>
      <c r="D52" s="77" t="s">
        <v>317</v>
      </c>
      <c r="E52" s="78">
        <v>758052929</v>
      </c>
      <c r="F52" s="77" t="s">
        <v>318</v>
      </c>
      <c r="G52" s="74"/>
      <c r="H52" s="74" t="s">
        <v>319</v>
      </c>
      <c r="I52" s="75" t="s">
        <v>320</v>
      </c>
      <c r="J52" s="74">
        <v>729395433</v>
      </c>
      <c r="K52" s="74" t="s">
        <v>321</v>
      </c>
      <c r="L52" s="74"/>
      <c r="M52" s="74"/>
      <c r="N52" s="74"/>
      <c r="O52" s="74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</row>
    <row r="53" spans="1:40" ht="12.75">
      <c r="A53" s="72" t="s">
        <v>322</v>
      </c>
      <c r="B53" s="72"/>
      <c r="C53" s="72" t="s">
        <v>323</v>
      </c>
      <c r="D53" s="72" t="s">
        <v>324</v>
      </c>
      <c r="E53" s="73">
        <v>797881010</v>
      </c>
      <c r="F53" s="5" t="s">
        <v>325</v>
      </c>
      <c r="G53" s="7"/>
      <c r="H53" s="74" t="s">
        <v>326</v>
      </c>
      <c r="I53" s="75" t="s">
        <v>203</v>
      </c>
      <c r="J53" s="74">
        <v>709747759</v>
      </c>
      <c r="K53" s="74" t="s">
        <v>327</v>
      </c>
      <c r="L53" s="74"/>
      <c r="M53" s="74"/>
      <c r="N53" s="74"/>
      <c r="O53" s="74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</row>
    <row r="54" spans="1:40" ht="12.75">
      <c r="A54" s="77" t="s">
        <v>328</v>
      </c>
      <c r="B54" s="77"/>
      <c r="C54" s="77" t="s">
        <v>329</v>
      </c>
      <c r="D54" s="77" t="s">
        <v>330</v>
      </c>
      <c r="E54" s="78">
        <v>758352417</v>
      </c>
      <c r="F54" s="3" t="s">
        <v>331</v>
      </c>
      <c r="G54" s="7"/>
      <c r="H54" s="74" t="s">
        <v>332</v>
      </c>
      <c r="I54" s="75" t="s">
        <v>333</v>
      </c>
      <c r="J54" s="74">
        <v>705920928</v>
      </c>
      <c r="K54" s="74" t="s">
        <v>334</v>
      </c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</row>
    <row r="55" spans="1:40" ht="12.75">
      <c r="A55" s="72" t="s">
        <v>335</v>
      </c>
      <c r="B55" s="72"/>
      <c r="C55" s="72" t="s">
        <v>336</v>
      </c>
      <c r="D55" s="72" t="s">
        <v>337</v>
      </c>
      <c r="E55" s="73">
        <v>745214781</v>
      </c>
      <c r="F55" s="5" t="s">
        <v>338</v>
      </c>
      <c r="G55" s="7"/>
      <c r="H55" s="74"/>
      <c r="I55" s="75"/>
      <c r="J55" s="74"/>
      <c r="K55" s="74"/>
      <c r="L55" s="74"/>
      <c r="M55" s="74"/>
      <c r="N55" s="74"/>
      <c r="O55" s="74"/>
      <c r="P55" s="74"/>
      <c r="Q55" s="74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</row>
    <row r="56" spans="1:40" ht="12.75">
      <c r="A56" s="77" t="s">
        <v>339</v>
      </c>
      <c r="B56" s="77"/>
      <c r="C56" s="77" t="s">
        <v>340</v>
      </c>
      <c r="D56" s="77" t="s">
        <v>341</v>
      </c>
      <c r="E56" s="78">
        <v>768441549</v>
      </c>
      <c r="F56" s="3" t="s">
        <v>342</v>
      </c>
      <c r="G56" s="7"/>
      <c r="H56" s="74" t="s">
        <v>343</v>
      </c>
      <c r="I56" s="75" t="s">
        <v>41</v>
      </c>
      <c r="J56" s="74" t="s">
        <v>344</v>
      </c>
      <c r="K56" s="74" t="s">
        <v>105</v>
      </c>
      <c r="L56" s="74"/>
      <c r="M56" s="74"/>
      <c r="N56" s="74"/>
      <c r="O56" s="74"/>
      <c r="P56" s="74"/>
      <c r="Q56" s="74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</row>
    <row r="57" spans="1:40" ht="14.25">
      <c r="A57" s="72" t="s">
        <v>345</v>
      </c>
      <c r="B57" s="72"/>
      <c r="C57" s="72" t="s">
        <v>346</v>
      </c>
      <c r="D57" s="72" t="s">
        <v>347</v>
      </c>
      <c r="E57" s="73">
        <v>748269069</v>
      </c>
      <c r="F57" s="5" t="s">
        <v>348</v>
      </c>
      <c r="G57" s="7"/>
      <c r="H57" s="74" t="s">
        <v>349</v>
      </c>
      <c r="I57" s="75" t="s">
        <v>203</v>
      </c>
      <c r="J57" s="116">
        <v>795096576</v>
      </c>
      <c r="K57" s="117" t="s">
        <v>350</v>
      </c>
      <c r="L57" s="74"/>
      <c r="M57" s="74"/>
      <c r="N57" s="74"/>
      <c r="O57" s="74"/>
      <c r="P57" s="74"/>
      <c r="Q57" s="74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</row>
    <row r="58" spans="1:40" ht="12.75">
      <c r="A58" s="77" t="s">
        <v>351</v>
      </c>
      <c r="B58" s="77"/>
      <c r="C58" s="77" t="s">
        <v>352</v>
      </c>
      <c r="D58" s="77" t="s">
        <v>353</v>
      </c>
      <c r="E58" s="78">
        <v>746454462</v>
      </c>
      <c r="F58" s="66" t="s">
        <v>354</v>
      </c>
      <c r="G58" s="118"/>
      <c r="H58" s="118" t="s">
        <v>355</v>
      </c>
      <c r="I58" s="119" t="s">
        <v>356</v>
      </c>
      <c r="J58" s="71" t="s">
        <v>357</v>
      </c>
      <c r="K58" s="118" t="s">
        <v>358</v>
      </c>
      <c r="L58" s="74"/>
      <c r="M58" s="74"/>
      <c r="N58" s="74"/>
      <c r="O58" s="74"/>
      <c r="P58" s="74"/>
      <c r="Q58" s="74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</row>
    <row r="59" spans="1:40" ht="12.75">
      <c r="A59" s="72" t="s">
        <v>359</v>
      </c>
      <c r="B59" s="72"/>
      <c r="C59" s="72" t="s">
        <v>360</v>
      </c>
      <c r="D59" s="72" t="s">
        <v>266</v>
      </c>
      <c r="E59" s="73">
        <v>745679194</v>
      </c>
      <c r="F59" s="5" t="s">
        <v>361</v>
      </c>
      <c r="G59" s="7"/>
      <c r="H59" s="74" t="s">
        <v>362</v>
      </c>
      <c r="I59" s="75" t="s">
        <v>65</v>
      </c>
      <c r="J59" s="74">
        <v>734894994</v>
      </c>
      <c r="K59" s="74" t="s">
        <v>363</v>
      </c>
      <c r="L59" s="74"/>
      <c r="M59" s="74"/>
      <c r="N59" s="74"/>
      <c r="O59" s="74"/>
      <c r="P59" s="74"/>
      <c r="Q59" s="74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</row>
    <row r="60" spans="1:40" ht="12.75">
      <c r="A60" s="77" t="s">
        <v>364</v>
      </c>
      <c r="B60" s="77"/>
      <c r="C60" s="77" t="s">
        <v>365</v>
      </c>
      <c r="D60" s="77" t="s">
        <v>366</v>
      </c>
      <c r="E60" s="78">
        <v>703852546</v>
      </c>
      <c r="F60" s="3" t="s">
        <v>367</v>
      </c>
      <c r="G60" s="7"/>
      <c r="H60" s="74" t="s">
        <v>368</v>
      </c>
      <c r="I60" s="75" t="s">
        <v>369</v>
      </c>
      <c r="J60" s="74">
        <v>715728888</v>
      </c>
      <c r="K60" s="74" t="s">
        <v>370</v>
      </c>
      <c r="L60" s="74"/>
      <c r="M60" s="74"/>
      <c r="N60" s="74"/>
      <c r="O60" s="74"/>
      <c r="P60" s="74"/>
      <c r="Q60" s="74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</row>
    <row r="61" spans="1:40" ht="12.75">
      <c r="A61" s="72" t="s">
        <v>371</v>
      </c>
      <c r="B61" s="72"/>
      <c r="C61" s="72" t="s">
        <v>372</v>
      </c>
      <c r="D61" s="72" t="s">
        <v>373</v>
      </c>
      <c r="E61" s="73" t="s">
        <v>374</v>
      </c>
      <c r="F61" s="5" t="s">
        <v>375</v>
      </c>
      <c r="G61" s="7"/>
      <c r="H61" s="74" t="s">
        <v>376</v>
      </c>
      <c r="I61" s="75" t="s">
        <v>377</v>
      </c>
      <c r="J61" s="74" t="s">
        <v>378</v>
      </c>
      <c r="K61" s="74" t="s">
        <v>379</v>
      </c>
      <c r="L61" s="120"/>
      <c r="M61" s="120"/>
      <c r="N61" s="120"/>
      <c r="O61" s="120"/>
      <c r="P61" s="114"/>
      <c r="Q61" s="11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2"/>
      <c r="AL61" s="122"/>
      <c r="AM61" s="122"/>
      <c r="AN61" s="122"/>
    </row>
    <row r="62" spans="1:40" ht="12.75">
      <c r="A62" s="77" t="s">
        <v>380</v>
      </c>
      <c r="B62" s="77"/>
      <c r="C62" s="77" t="s">
        <v>381</v>
      </c>
      <c r="D62" s="77" t="s">
        <v>382</v>
      </c>
      <c r="E62" s="78">
        <v>748366638</v>
      </c>
      <c r="F62" s="3" t="s">
        <v>383</v>
      </c>
      <c r="G62" s="7"/>
      <c r="H62" s="74" t="s">
        <v>384</v>
      </c>
      <c r="I62" s="75" t="s">
        <v>385</v>
      </c>
      <c r="J62" s="76">
        <v>2545220104</v>
      </c>
      <c r="K62" s="74" t="s">
        <v>386</v>
      </c>
      <c r="L62" s="74"/>
      <c r="M62" s="74"/>
      <c r="N62" s="74"/>
      <c r="O62" s="74"/>
      <c r="P62" s="74"/>
      <c r="Q62" s="74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</row>
    <row r="63" spans="1:40" ht="12.75">
      <c r="A63" s="72" t="s">
        <v>387</v>
      </c>
      <c r="B63" s="83"/>
      <c r="C63" s="83" t="s">
        <v>388</v>
      </c>
      <c r="D63" s="83" t="s">
        <v>389</v>
      </c>
      <c r="E63" s="73">
        <v>707225290</v>
      </c>
      <c r="F63" s="5" t="s">
        <v>243</v>
      </c>
      <c r="G63" s="7"/>
      <c r="H63" s="74" t="s">
        <v>244</v>
      </c>
      <c r="I63" s="75" t="s">
        <v>245</v>
      </c>
      <c r="J63" s="74">
        <v>710907511</v>
      </c>
      <c r="K63" s="74"/>
      <c r="L63" s="74"/>
      <c r="M63" s="74"/>
      <c r="N63" s="74"/>
      <c r="O63" s="74"/>
      <c r="P63" s="74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</row>
    <row r="64" spans="1:40" ht="15">
      <c r="A64" s="77" t="s">
        <v>390</v>
      </c>
      <c r="B64" s="77"/>
      <c r="C64" s="77" t="s">
        <v>391</v>
      </c>
      <c r="D64" s="77" t="s">
        <v>306</v>
      </c>
      <c r="E64" s="78">
        <v>725925680</v>
      </c>
      <c r="F64" s="3" t="s">
        <v>243</v>
      </c>
      <c r="G64" s="7"/>
      <c r="H64" s="74" t="s">
        <v>392</v>
      </c>
      <c r="I64" s="75" t="s">
        <v>245</v>
      </c>
      <c r="J64" s="123">
        <v>710907511</v>
      </c>
      <c r="K64" s="123" t="s">
        <v>246</v>
      </c>
      <c r="L64" s="60"/>
      <c r="M64" s="60"/>
      <c r="N64" s="60"/>
      <c r="O64" s="60"/>
      <c r="P64" s="124"/>
      <c r="Q64" s="125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</row>
    <row r="65" spans="1:36" ht="12.75">
      <c r="A65" s="72" t="s">
        <v>393</v>
      </c>
      <c r="B65" s="83"/>
      <c r="C65" s="83" t="s">
        <v>394</v>
      </c>
      <c r="D65" s="83" t="s">
        <v>395</v>
      </c>
      <c r="E65" s="93">
        <v>701526064</v>
      </c>
      <c r="F65" s="5" t="s">
        <v>396</v>
      </c>
      <c r="G65" s="1"/>
      <c r="H65" s="60" t="s">
        <v>397</v>
      </c>
      <c r="I65" s="88" t="s">
        <v>398</v>
      </c>
      <c r="J65" s="74">
        <v>254208703000</v>
      </c>
      <c r="K65" s="60" t="s">
        <v>399</v>
      </c>
      <c r="L65" s="60"/>
      <c r="M65" s="60"/>
      <c r="N65" s="60"/>
      <c r="O65" s="60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</row>
    <row r="66" spans="1:36" ht="12.75">
      <c r="A66" s="77" t="s">
        <v>400</v>
      </c>
      <c r="B66" s="77"/>
      <c r="C66" s="77" t="s">
        <v>401</v>
      </c>
      <c r="D66" s="77" t="s">
        <v>402</v>
      </c>
      <c r="E66" s="78">
        <v>25415132089</v>
      </c>
      <c r="F66" s="3" t="s">
        <v>2958</v>
      </c>
      <c r="G66" s="7"/>
      <c r="H66" s="74" t="s">
        <v>2959</v>
      </c>
      <c r="I66" s="75" t="s">
        <v>1410</v>
      </c>
      <c r="J66" s="60">
        <v>104791045</v>
      </c>
      <c r="K66" s="60" t="s">
        <v>758</v>
      </c>
      <c r="L66" s="60"/>
      <c r="M66" s="60"/>
      <c r="N66" s="60"/>
      <c r="O66" s="60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</row>
    <row r="67" spans="1:36" ht="12.75">
      <c r="A67" s="72" t="s">
        <v>405</v>
      </c>
      <c r="B67" s="72"/>
      <c r="C67" s="72" t="s">
        <v>406</v>
      </c>
      <c r="D67" s="72" t="s">
        <v>407</v>
      </c>
      <c r="E67" s="73">
        <v>791360805</v>
      </c>
      <c r="F67" s="5" t="s">
        <v>408</v>
      </c>
      <c r="G67" s="7"/>
      <c r="H67" s="74" t="s">
        <v>409</v>
      </c>
      <c r="I67" s="75" t="s">
        <v>410</v>
      </c>
      <c r="J67" s="74">
        <v>202109472</v>
      </c>
      <c r="K67" s="74" t="s">
        <v>411</v>
      </c>
      <c r="L67" s="74"/>
      <c r="M67" s="74"/>
      <c r="N67" s="74"/>
      <c r="O67" s="74"/>
      <c r="P67" s="74"/>
      <c r="Q67" s="74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</row>
    <row r="68" spans="1:36" ht="12.75">
      <c r="A68" s="77" t="s">
        <v>412</v>
      </c>
      <c r="B68" s="77"/>
      <c r="C68" s="77" t="s">
        <v>413</v>
      </c>
      <c r="D68" s="77" t="s">
        <v>353</v>
      </c>
      <c r="E68" s="78">
        <v>254769021762</v>
      </c>
      <c r="F68" s="3" t="s">
        <v>414</v>
      </c>
      <c r="G68" s="7"/>
      <c r="H68" s="74" t="s">
        <v>415</v>
      </c>
      <c r="I68" s="75" t="s">
        <v>416</v>
      </c>
      <c r="J68" s="74">
        <v>728848622</v>
      </c>
      <c r="K68" s="74" t="s">
        <v>417</v>
      </c>
      <c r="L68" s="74"/>
      <c r="M68" s="74"/>
      <c r="N68" s="74"/>
      <c r="O68" s="74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</row>
    <row r="69" spans="1:36" ht="12.75">
      <c r="A69" s="72" t="s">
        <v>418</v>
      </c>
      <c r="B69" s="72"/>
      <c r="C69" s="72" t="s">
        <v>419</v>
      </c>
      <c r="D69" s="72" t="s">
        <v>90</v>
      </c>
      <c r="E69" s="73">
        <v>705911738</v>
      </c>
      <c r="F69" s="5" t="s">
        <v>420</v>
      </c>
      <c r="G69" s="7"/>
      <c r="H69" s="74" t="s">
        <v>421</v>
      </c>
      <c r="I69" s="75" t="s">
        <v>65</v>
      </c>
      <c r="J69" s="74">
        <v>720418444</v>
      </c>
      <c r="K69" s="74" t="s">
        <v>422</v>
      </c>
      <c r="L69" s="74"/>
      <c r="M69" s="74"/>
      <c r="N69" s="74"/>
      <c r="O69" s="74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</row>
    <row r="70" spans="1:36" ht="12.75">
      <c r="A70" s="77" t="s">
        <v>423</v>
      </c>
      <c r="B70" s="77"/>
      <c r="C70" s="77" t="s">
        <v>424</v>
      </c>
      <c r="D70" s="77" t="s">
        <v>425</v>
      </c>
      <c r="E70" s="112"/>
      <c r="F70" s="77" t="s">
        <v>426</v>
      </c>
      <c r="G70" s="74"/>
      <c r="H70" s="103" t="s">
        <v>427</v>
      </c>
      <c r="I70" s="84"/>
      <c r="J70" s="105">
        <v>254704384714</v>
      </c>
      <c r="K70" s="76"/>
      <c r="L70" s="74"/>
      <c r="M70" s="74"/>
      <c r="N70" s="74"/>
      <c r="O70" s="74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</row>
    <row r="71" spans="1:36" ht="12.75">
      <c r="A71" s="102" t="s">
        <v>423</v>
      </c>
      <c r="B71" s="102"/>
      <c r="C71" s="102" t="s">
        <v>424</v>
      </c>
      <c r="D71" s="102" t="s">
        <v>425</v>
      </c>
      <c r="E71" s="87"/>
      <c r="F71" s="102" t="s">
        <v>426</v>
      </c>
      <c r="G71" s="103"/>
      <c r="H71" s="103" t="s">
        <v>427</v>
      </c>
      <c r="I71" s="84"/>
      <c r="J71" s="76"/>
      <c r="K71" s="76"/>
      <c r="L71" s="74"/>
      <c r="M71" s="74"/>
      <c r="N71" s="74"/>
      <c r="O71" s="74"/>
      <c r="P71" s="74"/>
      <c r="Q71" s="74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</row>
    <row r="72" spans="1:36" ht="12.75">
      <c r="A72" s="77" t="s">
        <v>428</v>
      </c>
      <c r="B72" s="77"/>
      <c r="C72" s="77" t="s">
        <v>429</v>
      </c>
      <c r="D72" s="77" t="s">
        <v>430</v>
      </c>
      <c r="E72" s="78" t="s">
        <v>431</v>
      </c>
      <c r="F72" s="25" t="s">
        <v>98</v>
      </c>
      <c r="G72" s="126"/>
      <c r="H72" s="127" t="s">
        <v>99</v>
      </c>
      <c r="I72" s="128" t="s">
        <v>100</v>
      </c>
      <c r="J72" s="129" t="s">
        <v>432</v>
      </c>
      <c r="K72" s="127" t="s">
        <v>101</v>
      </c>
      <c r="L72" s="130"/>
      <c r="M72" s="130"/>
      <c r="N72" s="130"/>
      <c r="O72" s="74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</row>
    <row r="73" spans="1:36" ht="12.75">
      <c r="A73" s="131" t="s">
        <v>433</v>
      </c>
      <c r="B73" s="131"/>
      <c r="C73" s="72" t="s">
        <v>434</v>
      </c>
      <c r="D73" s="72" t="s">
        <v>373</v>
      </c>
      <c r="E73" s="73">
        <v>748929074</v>
      </c>
      <c r="F73" s="24" t="s">
        <v>435</v>
      </c>
      <c r="G73" s="126"/>
      <c r="H73" s="127" t="s">
        <v>436</v>
      </c>
      <c r="I73" s="128" t="s">
        <v>437</v>
      </c>
      <c r="J73" s="129">
        <v>202390930</v>
      </c>
      <c r="K73" s="127" t="s">
        <v>438</v>
      </c>
      <c r="L73" s="132"/>
      <c r="M73" s="132"/>
      <c r="N73" s="132"/>
      <c r="O73" s="74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</row>
    <row r="74" spans="1:36" ht="15">
      <c r="A74" s="77" t="s">
        <v>439</v>
      </c>
      <c r="B74" s="77"/>
      <c r="C74" s="77" t="s">
        <v>440</v>
      </c>
      <c r="D74" s="77" t="s">
        <v>441</v>
      </c>
      <c r="E74" s="78">
        <v>791337188</v>
      </c>
      <c r="F74" s="133" t="s">
        <v>354</v>
      </c>
      <c r="G74" s="134"/>
      <c r="H74" s="127" t="s">
        <v>355</v>
      </c>
      <c r="I74" s="128" t="s">
        <v>14</v>
      </c>
      <c r="J74" s="135" t="s">
        <v>442</v>
      </c>
      <c r="K74" s="127" t="s">
        <v>105</v>
      </c>
      <c r="L74" s="130"/>
      <c r="M74" s="130"/>
      <c r="N74" s="130"/>
      <c r="O74" s="74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</row>
    <row r="75" spans="1:36" ht="12.75">
      <c r="A75" s="72" t="s">
        <v>443</v>
      </c>
      <c r="B75" s="72"/>
      <c r="C75" s="72" t="s">
        <v>444</v>
      </c>
      <c r="D75" s="72" t="s">
        <v>445</v>
      </c>
      <c r="E75" s="73">
        <v>725158687</v>
      </c>
      <c r="F75" s="5" t="s">
        <v>342</v>
      </c>
      <c r="G75" s="7"/>
      <c r="H75" s="74" t="s">
        <v>446</v>
      </c>
      <c r="I75" s="75" t="s">
        <v>356</v>
      </c>
      <c r="J75" s="74">
        <v>715364294</v>
      </c>
      <c r="K75" s="74" t="s">
        <v>105</v>
      </c>
      <c r="L75" s="74"/>
      <c r="M75" s="74"/>
      <c r="N75" s="74"/>
      <c r="O75" s="74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</row>
    <row r="76" spans="1:36" ht="12.75">
      <c r="A76" s="77" t="s">
        <v>447</v>
      </c>
      <c r="B76" s="77"/>
      <c r="C76" s="77" t="s">
        <v>448</v>
      </c>
      <c r="D76" s="92" t="s">
        <v>38</v>
      </c>
      <c r="E76" s="78">
        <v>727045550</v>
      </c>
      <c r="F76" s="3" t="s">
        <v>449</v>
      </c>
      <c r="G76" s="7"/>
      <c r="H76" s="74" t="s">
        <v>450</v>
      </c>
      <c r="I76" s="75" t="s">
        <v>451</v>
      </c>
      <c r="J76" s="74">
        <v>799290271</v>
      </c>
      <c r="K76" s="74" t="s">
        <v>87</v>
      </c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</row>
    <row r="77" spans="1:36" ht="12.75">
      <c r="A77" s="72" t="s">
        <v>452</v>
      </c>
      <c r="B77" s="72"/>
      <c r="C77" s="72" t="s">
        <v>453</v>
      </c>
      <c r="D77" s="72" t="s">
        <v>454</v>
      </c>
      <c r="E77" s="73">
        <v>791616700</v>
      </c>
      <c r="F77" s="5" t="s">
        <v>455</v>
      </c>
      <c r="G77" s="7"/>
      <c r="H77" s="74" t="s">
        <v>456</v>
      </c>
      <c r="I77" s="75" t="s">
        <v>218</v>
      </c>
      <c r="J77" s="74">
        <v>703080000</v>
      </c>
      <c r="K77" s="74" t="s">
        <v>457</v>
      </c>
      <c r="L77" s="74"/>
      <c r="M77" s="74"/>
      <c r="N77" s="74"/>
      <c r="O77" s="74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</row>
    <row r="78" spans="1:36" ht="12.75">
      <c r="A78" s="77" t="s">
        <v>458</v>
      </c>
      <c r="B78" s="77"/>
      <c r="C78" s="77" t="s">
        <v>459</v>
      </c>
      <c r="D78" s="77" t="s">
        <v>460</v>
      </c>
      <c r="E78" s="78">
        <v>769943744</v>
      </c>
      <c r="F78" s="3" t="s">
        <v>461</v>
      </c>
      <c r="G78" s="7"/>
      <c r="H78" s="7" t="s">
        <v>462</v>
      </c>
      <c r="I78" s="8" t="s">
        <v>463</v>
      </c>
      <c r="J78" s="76">
        <v>254726001458</v>
      </c>
      <c r="K78" s="74" t="s">
        <v>464</v>
      </c>
      <c r="L78" s="74"/>
      <c r="M78" s="74"/>
      <c r="N78" s="74"/>
      <c r="O78" s="74"/>
      <c r="P78" s="74"/>
      <c r="Q78" s="74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</row>
    <row r="79" spans="1:36" ht="12.75">
      <c r="A79" s="72" t="s">
        <v>465</v>
      </c>
      <c r="B79" s="72"/>
      <c r="C79" s="72" t="s">
        <v>466</v>
      </c>
      <c r="D79" s="72" t="s">
        <v>467</v>
      </c>
      <c r="E79" s="73">
        <v>112685689</v>
      </c>
      <c r="F79" s="5" t="s">
        <v>468</v>
      </c>
      <c r="G79" s="7"/>
      <c r="H79" s="74" t="s">
        <v>469</v>
      </c>
      <c r="I79" s="75" t="s">
        <v>65</v>
      </c>
      <c r="J79" s="74">
        <v>722333776</v>
      </c>
      <c r="K79" s="74" t="s">
        <v>470</v>
      </c>
      <c r="L79" s="74"/>
      <c r="M79" s="74"/>
      <c r="N79" s="74"/>
      <c r="O79" s="74"/>
      <c r="P79" s="74"/>
      <c r="Q79" s="74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</row>
    <row r="80" spans="1:36" ht="12.75">
      <c r="A80" s="77" t="s">
        <v>471</v>
      </c>
      <c r="B80" s="77"/>
      <c r="C80" s="77" t="s">
        <v>472</v>
      </c>
      <c r="D80" s="77" t="s">
        <v>56</v>
      </c>
      <c r="E80" s="78">
        <v>705688180</v>
      </c>
      <c r="F80" s="3" t="s">
        <v>57</v>
      </c>
      <c r="G80" s="7"/>
      <c r="H80" s="74" t="s">
        <v>58</v>
      </c>
      <c r="I80" s="75" t="s">
        <v>59</v>
      </c>
      <c r="J80" s="74">
        <v>720668236</v>
      </c>
      <c r="K80" s="74" t="s">
        <v>60</v>
      </c>
      <c r="L80" s="74"/>
      <c r="M80" s="74"/>
      <c r="N80" s="74"/>
      <c r="O80" s="74"/>
      <c r="P80" s="74"/>
      <c r="Q80" s="74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</row>
    <row r="81" spans="1:36" ht="12.75">
      <c r="A81" s="72" t="s">
        <v>473</v>
      </c>
      <c r="B81" s="72"/>
      <c r="C81" s="72" t="s">
        <v>474</v>
      </c>
      <c r="D81" s="72" t="s">
        <v>475</v>
      </c>
      <c r="E81" s="73">
        <v>254726130834</v>
      </c>
      <c r="F81" s="5" t="s">
        <v>476</v>
      </c>
      <c r="G81" s="1"/>
      <c r="H81" s="60" t="s">
        <v>477</v>
      </c>
      <c r="I81" s="88" t="s">
        <v>237</v>
      </c>
      <c r="J81" s="76">
        <v>254724637993</v>
      </c>
      <c r="K81" s="74" t="s">
        <v>478</v>
      </c>
      <c r="L81" s="74"/>
      <c r="M81" s="74"/>
      <c r="N81" s="74"/>
      <c r="O81" s="74"/>
      <c r="P81" s="74"/>
      <c r="Q81" s="74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</row>
    <row r="82" spans="1:36" ht="12.75">
      <c r="A82" s="77" t="s">
        <v>479</v>
      </c>
      <c r="B82" s="77"/>
      <c r="C82" s="77" t="s">
        <v>480</v>
      </c>
      <c r="D82" s="77" t="s">
        <v>83</v>
      </c>
      <c r="E82" s="78">
        <v>716923720</v>
      </c>
      <c r="F82" s="3" t="s">
        <v>481</v>
      </c>
      <c r="G82" s="7"/>
      <c r="H82" s="74" t="s">
        <v>482</v>
      </c>
      <c r="I82" s="75" t="s">
        <v>483</v>
      </c>
      <c r="J82" s="74">
        <v>703872670</v>
      </c>
      <c r="K82" s="74" t="s">
        <v>484</v>
      </c>
      <c r="L82" s="74"/>
      <c r="M82" s="74"/>
      <c r="N82" s="74"/>
      <c r="O82" s="74"/>
      <c r="P82" s="74"/>
      <c r="Q82" s="74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</row>
    <row r="83" spans="1:36" ht="12.75">
      <c r="A83" s="72" t="s">
        <v>485</v>
      </c>
      <c r="B83" s="72"/>
      <c r="C83" s="72" t="s">
        <v>486</v>
      </c>
      <c r="D83" s="72" t="s">
        <v>294</v>
      </c>
      <c r="E83" s="72">
        <v>790482014</v>
      </c>
      <c r="F83" s="5" t="s">
        <v>487</v>
      </c>
      <c r="G83" s="7"/>
      <c r="H83" s="74" t="s">
        <v>488</v>
      </c>
      <c r="I83" s="75" t="s">
        <v>489</v>
      </c>
      <c r="J83" s="74">
        <v>114203510</v>
      </c>
      <c r="K83" s="74" t="s">
        <v>490</v>
      </c>
      <c r="L83" s="74"/>
      <c r="M83" s="74"/>
      <c r="N83" s="74"/>
      <c r="O83" s="74"/>
      <c r="P83" s="74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</row>
    <row r="84" spans="1:36" ht="12.75">
      <c r="A84" s="77" t="s">
        <v>491</v>
      </c>
      <c r="B84" s="77"/>
      <c r="C84" s="77" t="s">
        <v>492</v>
      </c>
      <c r="D84" s="77" t="s">
        <v>183</v>
      </c>
      <c r="E84" s="78">
        <v>708818064</v>
      </c>
      <c r="F84" s="3" t="s">
        <v>493</v>
      </c>
      <c r="G84" s="7"/>
      <c r="H84" s="74" t="s">
        <v>494</v>
      </c>
      <c r="I84" s="75" t="s">
        <v>495</v>
      </c>
      <c r="J84" s="74">
        <v>112807337</v>
      </c>
      <c r="K84" s="74" t="s">
        <v>496</v>
      </c>
      <c r="L84" s="74"/>
      <c r="M84" s="74"/>
      <c r="N84" s="74"/>
      <c r="O84" s="74"/>
      <c r="P84" s="74"/>
      <c r="Q84" s="74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</row>
    <row r="85" spans="1:36" ht="12.75">
      <c r="A85" s="72" t="s">
        <v>497</v>
      </c>
      <c r="B85" s="72"/>
      <c r="C85" s="72" t="s">
        <v>498</v>
      </c>
      <c r="D85" s="72" t="s">
        <v>441</v>
      </c>
      <c r="E85" s="73"/>
      <c r="F85" s="5"/>
      <c r="G85" s="7"/>
      <c r="H85" s="74"/>
      <c r="I85" s="136"/>
      <c r="J85" s="74"/>
      <c r="K85" s="74"/>
      <c r="L85" s="74"/>
      <c r="M85" s="74"/>
      <c r="N85" s="74"/>
      <c r="O85" s="74"/>
      <c r="P85" s="74"/>
      <c r="Q85" s="74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</row>
    <row r="86" spans="1:36" ht="12.75">
      <c r="A86" s="77" t="s">
        <v>499</v>
      </c>
      <c r="B86" s="77"/>
      <c r="C86" s="77" t="s">
        <v>500</v>
      </c>
      <c r="D86" s="77" t="s">
        <v>501</v>
      </c>
      <c r="E86" s="78">
        <v>114558240</v>
      </c>
      <c r="F86" s="3" t="s">
        <v>502</v>
      </c>
      <c r="G86" s="7"/>
      <c r="H86" s="74" t="s">
        <v>503</v>
      </c>
      <c r="I86" s="75" t="s">
        <v>504</v>
      </c>
      <c r="J86" s="74">
        <v>798145347</v>
      </c>
      <c r="K86" s="74" t="s">
        <v>505</v>
      </c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</row>
    <row r="87" spans="1:36" ht="12.75">
      <c r="A87" s="72" t="s">
        <v>506</v>
      </c>
      <c r="B87" s="72"/>
      <c r="C87" s="72" t="s">
        <v>507</v>
      </c>
      <c r="D87" s="72" t="s">
        <v>508</v>
      </c>
      <c r="E87" s="73">
        <v>746469327</v>
      </c>
      <c r="F87" s="5" t="s">
        <v>509</v>
      </c>
      <c r="G87" s="7"/>
      <c r="H87" s="74" t="s">
        <v>510</v>
      </c>
      <c r="I87" s="75" t="s">
        <v>511</v>
      </c>
      <c r="J87" s="74" t="s">
        <v>512</v>
      </c>
      <c r="K87" s="74" t="s">
        <v>513</v>
      </c>
      <c r="L87" s="74"/>
      <c r="M87" s="74"/>
      <c r="N87" s="74"/>
      <c r="O87" s="74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</row>
    <row r="88" spans="1:36" ht="12.75">
      <c r="A88" s="77" t="s">
        <v>514</v>
      </c>
      <c r="B88" s="77"/>
      <c r="C88" s="77" t="s">
        <v>515</v>
      </c>
      <c r="D88" s="77" t="s">
        <v>516</v>
      </c>
      <c r="E88" s="78">
        <v>794570935</v>
      </c>
      <c r="F88" s="3" t="s">
        <v>517</v>
      </c>
      <c r="G88" s="7"/>
      <c r="H88" s="74" t="s">
        <v>518</v>
      </c>
      <c r="I88" s="75" t="s">
        <v>356</v>
      </c>
      <c r="J88" s="74">
        <v>724477942</v>
      </c>
      <c r="K88" s="74" t="s">
        <v>519</v>
      </c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</row>
    <row r="89" spans="1:36" ht="25.5">
      <c r="A89" s="97" t="s">
        <v>520</v>
      </c>
      <c r="B89" s="97"/>
      <c r="C89" s="97" t="s">
        <v>521</v>
      </c>
      <c r="D89" s="97" t="s">
        <v>522</v>
      </c>
      <c r="E89" s="81">
        <v>798833762</v>
      </c>
      <c r="F89" s="137" t="s">
        <v>523</v>
      </c>
      <c r="G89" s="138"/>
      <c r="H89" s="74" t="s">
        <v>524</v>
      </c>
      <c r="I89" s="75" t="s">
        <v>525</v>
      </c>
      <c r="J89" s="74">
        <v>717627108</v>
      </c>
      <c r="K89" s="90" t="s">
        <v>526</v>
      </c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</row>
    <row r="90" spans="1:36" ht="12.75">
      <c r="A90" s="77" t="s">
        <v>527</v>
      </c>
      <c r="B90" s="77"/>
      <c r="C90" s="77" t="s">
        <v>528</v>
      </c>
      <c r="D90" s="77" t="s">
        <v>529</v>
      </c>
      <c r="E90" s="78">
        <v>745689907</v>
      </c>
      <c r="F90" s="3" t="s">
        <v>530</v>
      </c>
      <c r="G90" s="7"/>
      <c r="H90" s="76"/>
      <c r="I90" s="84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</row>
    <row r="91" spans="1:36" ht="12.75">
      <c r="A91" s="102" t="s">
        <v>531</v>
      </c>
      <c r="B91" s="102"/>
      <c r="C91" s="139" t="s">
        <v>532</v>
      </c>
      <c r="D91" s="72" t="s">
        <v>533</v>
      </c>
      <c r="E91" s="87"/>
      <c r="F91" s="72" t="s">
        <v>534</v>
      </c>
      <c r="G91" s="74"/>
      <c r="H91" s="74" t="s">
        <v>535</v>
      </c>
      <c r="I91" s="75" t="s">
        <v>536</v>
      </c>
      <c r="J91" s="74">
        <v>254112877556</v>
      </c>
      <c r="K91" s="74" t="s">
        <v>537</v>
      </c>
      <c r="L91" s="74"/>
      <c r="M91" s="74"/>
      <c r="N91" s="74"/>
      <c r="O91" s="74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</row>
    <row r="92" spans="1:36" ht="12.75">
      <c r="A92" s="77" t="s">
        <v>538</v>
      </c>
      <c r="B92" s="77"/>
      <c r="C92" s="77" t="s">
        <v>539</v>
      </c>
      <c r="D92" s="77" t="s">
        <v>227</v>
      </c>
      <c r="E92" s="78">
        <v>797916373</v>
      </c>
      <c r="F92" s="3" t="s">
        <v>342</v>
      </c>
      <c r="G92" s="7"/>
      <c r="H92" s="74" t="s">
        <v>343</v>
      </c>
      <c r="I92" s="75" t="s">
        <v>41</v>
      </c>
      <c r="J92" s="74">
        <v>710453693</v>
      </c>
      <c r="K92" s="74" t="s">
        <v>105</v>
      </c>
      <c r="L92" s="74"/>
      <c r="M92" s="74"/>
      <c r="N92" s="74"/>
      <c r="O92" s="74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</row>
    <row r="93" spans="1:36" ht="12.75">
      <c r="A93" s="72" t="s">
        <v>540</v>
      </c>
      <c r="B93" s="72"/>
      <c r="C93" s="72" t="s">
        <v>541</v>
      </c>
      <c r="D93" s="72" t="s">
        <v>542</v>
      </c>
      <c r="E93" s="73">
        <v>790315526</v>
      </c>
      <c r="F93" s="5" t="s">
        <v>116</v>
      </c>
      <c r="G93" s="7"/>
      <c r="H93" s="76"/>
      <c r="I93" s="84"/>
      <c r="J93" s="76"/>
      <c r="K93" s="76"/>
      <c r="L93" s="74"/>
      <c r="M93" s="74"/>
      <c r="N93" s="74"/>
      <c r="O93" s="74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</row>
    <row r="94" spans="1:36" ht="12.75">
      <c r="A94" s="77" t="s">
        <v>543</v>
      </c>
      <c r="B94" s="77"/>
      <c r="C94" s="77" t="s">
        <v>544</v>
      </c>
      <c r="D94" s="77" t="s">
        <v>441</v>
      </c>
      <c r="E94" s="78">
        <v>790417880</v>
      </c>
      <c r="F94" s="3" t="s">
        <v>545</v>
      </c>
      <c r="G94" s="7"/>
      <c r="H94" s="76"/>
      <c r="I94" s="84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</row>
    <row r="95" spans="1:36" ht="12.75">
      <c r="A95" s="72" t="s">
        <v>546</v>
      </c>
      <c r="B95" s="72"/>
      <c r="C95" s="72" t="s">
        <v>547</v>
      </c>
      <c r="D95" s="72" t="s">
        <v>266</v>
      </c>
      <c r="E95" s="73">
        <v>712796313</v>
      </c>
      <c r="F95" s="5" t="s">
        <v>548</v>
      </c>
      <c r="G95" s="7"/>
      <c r="H95" s="74" t="s">
        <v>549</v>
      </c>
      <c r="I95" s="75" t="s">
        <v>550</v>
      </c>
      <c r="J95" s="74">
        <v>711645955</v>
      </c>
      <c r="K95" s="74" t="s">
        <v>551</v>
      </c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</row>
    <row r="96" spans="1:36" ht="12.75">
      <c r="A96" s="77" t="s">
        <v>552</v>
      </c>
      <c r="B96" s="77"/>
      <c r="C96" s="77" t="s">
        <v>553</v>
      </c>
      <c r="D96" s="77" t="s">
        <v>78</v>
      </c>
      <c r="E96" s="78">
        <v>740786381</v>
      </c>
      <c r="F96" s="3" t="s">
        <v>554</v>
      </c>
      <c r="G96" s="7"/>
      <c r="H96" s="74" t="s">
        <v>555</v>
      </c>
      <c r="I96" s="75" t="s">
        <v>556</v>
      </c>
      <c r="J96" s="74">
        <v>722142927</v>
      </c>
      <c r="K96" s="74" t="s">
        <v>557</v>
      </c>
      <c r="L96" s="74"/>
      <c r="M96" s="74"/>
      <c r="N96" s="74"/>
      <c r="O96" s="74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</row>
    <row r="97" spans="1:36" ht="12.75">
      <c r="A97" s="72" t="s">
        <v>558</v>
      </c>
      <c r="B97" s="72"/>
      <c r="C97" s="72" t="s">
        <v>559</v>
      </c>
      <c r="D97" s="72" t="s">
        <v>529</v>
      </c>
      <c r="E97" s="73">
        <v>705752447</v>
      </c>
      <c r="F97" s="5" t="s">
        <v>560</v>
      </c>
      <c r="G97" s="7"/>
      <c r="H97" s="74" t="s">
        <v>561</v>
      </c>
      <c r="I97" s="75" t="s">
        <v>562</v>
      </c>
      <c r="J97" s="74">
        <v>734894994</v>
      </c>
      <c r="K97" s="74" t="s">
        <v>363</v>
      </c>
      <c r="L97" s="74"/>
      <c r="M97" s="74"/>
      <c r="N97" s="74"/>
      <c r="O97" s="74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</row>
    <row r="98" spans="1:36" ht="12.75">
      <c r="A98" s="3" t="s">
        <v>563</v>
      </c>
      <c r="B98" s="3"/>
      <c r="C98" s="77" t="s">
        <v>564</v>
      </c>
      <c r="D98" s="77" t="s">
        <v>565</v>
      </c>
      <c r="E98" s="78">
        <v>720711717</v>
      </c>
      <c r="F98" s="3" t="s">
        <v>566</v>
      </c>
      <c r="G98" s="7"/>
      <c r="H98" s="74" t="s">
        <v>567</v>
      </c>
      <c r="I98" s="75" t="s">
        <v>568</v>
      </c>
      <c r="J98" s="74">
        <v>721372383</v>
      </c>
      <c r="K98" s="74" t="s">
        <v>569</v>
      </c>
      <c r="L98" s="74"/>
      <c r="M98" s="74"/>
      <c r="N98" s="74"/>
      <c r="O98" s="74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</row>
    <row r="99" spans="1:36" ht="12.75">
      <c r="A99" s="97" t="s">
        <v>570</v>
      </c>
      <c r="B99" s="97"/>
      <c r="C99" s="97" t="s">
        <v>571</v>
      </c>
      <c r="D99" s="97" t="s">
        <v>572</v>
      </c>
      <c r="E99" s="81" t="s">
        <v>573</v>
      </c>
      <c r="F99" s="5" t="s">
        <v>574</v>
      </c>
      <c r="G99" s="7"/>
      <c r="H99" s="74" t="s">
        <v>575</v>
      </c>
      <c r="I99" s="75" t="s">
        <v>576</v>
      </c>
      <c r="J99" s="74" t="s">
        <v>577</v>
      </c>
      <c r="K99" s="74" t="s">
        <v>578</v>
      </c>
      <c r="L99" s="74"/>
      <c r="M99" s="74"/>
      <c r="N99" s="74"/>
      <c r="O99" s="74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</row>
    <row r="100" spans="1:36" ht="12.75">
      <c r="A100" s="77" t="s">
        <v>579</v>
      </c>
      <c r="B100" s="77"/>
      <c r="C100" s="77" t="s">
        <v>580</v>
      </c>
      <c r="D100" s="92" t="s">
        <v>341</v>
      </c>
      <c r="E100" s="78">
        <v>740238756</v>
      </c>
      <c r="F100" s="3" t="s">
        <v>581</v>
      </c>
      <c r="G100" s="7"/>
      <c r="H100" s="74" t="s">
        <v>582</v>
      </c>
      <c r="I100" s="75" t="s">
        <v>583</v>
      </c>
      <c r="J100" s="74">
        <v>710907511</v>
      </c>
      <c r="K100" s="98" t="s">
        <v>246</v>
      </c>
      <c r="L100" s="74"/>
      <c r="M100" s="74"/>
      <c r="N100" s="74"/>
      <c r="O100" s="74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</row>
    <row r="101" spans="1:36" ht="12.75">
      <c r="A101" s="72" t="s">
        <v>584</v>
      </c>
      <c r="B101" s="72"/>
      <c r="C101" s="72" t="s">
        <v>585</v>
      </c>
      <c r="D101" s="83" t="s">
        <v>301</v>
      </c>
      <c r="E101" s="73">
        <v>705802535</v>
      </c>
      <c r="F101" s="5" t="s">
        <v>586</v>
      </c>
      <c r="G101" s="7"/>
      <c r="H101" s="74" t="s">
        <v>587</v>
      </c>
      <c r="I101" s="75" t="s">
        <v>218</v>
      </c>
      <c r="J101" s="74">
        <v>111627483</v>
      </c>
      <c r="K101" s="60" t="s">
        <v>588</v>
      </c>
      <c r="L101" s="60"/>
      <c r="M101" s="60"/>
      <c r="N101" s="60"/>
      <c r="O101" s="74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</row>
    <row r="102" spans="1:36" ht="12.75">
      <c r="A102" s="77" t="s">
        <v>589</v>
      </c>
      <c r="B102" s="77"/>
      <c r="C102" s="77" t="s">
        <v>590</v>
      </c>
      <c r="D102" s="77" t="s">
        <v>341</v>
      </c>
      <c r="E102" s="78">
        <v>115703463</v>
      </c>
      <c r="F102" s="3" t="s">
        <v>591</v>
      </c>
      <c r="G102" s="7"/>
      <c r="H102" s="74" t="s">
        <v>450</v>
      </c>
      <c r="I102" s="75" t="s">
        <v>86</v>
      </c>
      <c r="J102" s="74">
        <v>773416044</v>
      </c>
      <c r="K102" s="74" t="s">
        <v>87</v>
      </c>
      <c r="L102" s="74"/>
      <c r="M102" s="74"/>
      <c r="N102" s="74"/>
      <c r="O102" s="74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</row>
    <row r="103" spans="1:36" ht="12.75">
      <c r="A103" s="102" t="s">
        <v>592</v>
      </c>
      <c r="B103" s="102"/>
      <c r="C103" s="102" t="s">
        <v>201</v>
      </c>
      <c r="D103" s="102" t="s">
        <v>201</v>
      </c>
      <c r="E103" s="87"/>
      <c r="F103" s="102" t="s">
        <v>593</v>
      </c>
      <c r="G103" s="103"/>
      <c r="H103" s="76"/>
      <c r="I103" s="104" t="s">
        <v>203</v>
      </c>
      <c r="J103" s="105">
        <v>713574839</v>
      </c>
      <c r="K103" s="103" t="s">
        <v>204</v>
      </c>
      <c r="L103" s="74"/>
      <c r="M103" s="74"/>
      <c r="N103" s="74"/>
      <c r="O103" s="74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</row>
    <row r="104" spans="1:36" ht="12.75">
      <c r="A104" s="77" t="s">
        <v>594</v>
      </c>
      <c r="B104" s="77"/>
      <c r="C104" s="77" t="s">
        <v>595</v>
      </c>
      <c r="D104" s="77" t="s">
        <v>596</v>
      </c>
      <c r="E104" s="10">
        <v>741861392</v>
      </c>
      <c r="F104" s="3" t="s">
        <v>597</v>
      </c>
      <c r="G104" s="7"/>
      <c r="H104" s="74" t="s">
        <v>598</v>
      </c>
      <c r="I104" s="75" t="s">
        <v>599</v>
      </c>
      <c r="J104" s="74" t="s">
        <v>600</v>
      </c>
      <c r="K104" s="74" t="s">
        <v>601</v>
      </c>
      <c r="L104" s="74"/>
      <c r="M104" s="74"/>
      <c r="N104" s="74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</row>
    <row r="105" spans="1:36" ht="12.75">
      <c r="A105" s="72" t="s">
        <v>602</v>
      </c>
      <c r="B105" s="72"/>
      <c r="C105" s="72" t="s">
        <v>603</v>
      </c>
      <c r="D105" s="72" t="s">
        <v>604</v>
      </c>
      <c r="E105" s="73">
        <v>111557959</v>
      </c>
      <c r="F105" s="5" t="s">
        <v>605</v>
      </c>
      <c r="G105" s="7"/>
      <c r="H105" s="74" t="s">
        <v>606</v>
      </c>
      <c r="I105" s="75" t="s">
        <v>607</v>
      </c>
      <c r="J105" s="74">
        <v>727248680</v>
      </c>
      <c r="K105" s="74" t="s">
        <v>608</v>
      </c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</row>
    <row r="106" spans="1:36" ht="12.75">
      <c r="A106" s="140" t="s">
        <v>609</v>
      </c>
      <c r="B106" s="140"/>
      <c r="C106" s="140" t="s">
        <v>610</v>
      </c>
      <c r="D106" s="77" t="s">
        <v>227</v>
      </c>
      <c r="E106" s="112"/>
      <c r="F106" s="77" t="s">
        <v>611</v>
      </c>
      <c r="G106" s="74"/>
      <c r="H106" s="76"/>
      <c r="I106" s="84"/>
      <c r="J106" s="76"/>
      <c r="K106" s="74" t="s">
        <v>612</v>
      </c>
      <c r="L106" s="74"/>
      <c r="M106" s="74"/>
      <c r="N106" s="74"/>
      <c r="O106" s="74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</row>
    <row r="107" spans="1:36">
      <c r="A107" s="102" t="s">
        <v>609</v>
      </c>
      <c r="B107" s="102"/>
      <c r="C107" s="102" t="s">
        <v>610</v>
      </c>
      <c r="D107" s="102" t="s">
        <v>227</v>
      </c>
      <c r="E107" s="87"/>
      <c r="F107" s="106" t="s">
        <v>611</v>
      </c>
      <c r="G107" s="108"/>
      <c r="H107" s="103" t="s">
        <v>613</v>
      </c>
      <c r="I107" s="104" t="s">
        <v>59</v>
      </c>
      <c r="K107" s="108" t="s">
        <v>612</v>
      </c>
      <c r="L107" s="26"/>
      <c r="M107" s="26"/>
      <c r="N107" s="26"/>
      <c r="O107" s="2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</row>
    <row r="108" spans="1:36" ht="15">
      <c r="A108" s="141" t="s">
        <v>614</v>
      </c>
      <c r="B108" s="141"/>
      <c r="C108" s="141" t="s">
        <v>615</v>
      </c>
      <c r="D108" s="141" t="s">
        <v>616</v>
      </c>
      <c r="E108" s="142">
        <v>799163101</v>
      </c>
      <c r="F108" s="46" t="s">
        <v>342</v>
      </c>
      <c r="G108" s="20"/>
      <c r="H108" s="116" t="s">
        <v>355</v>
      </c>
      <c r="I108" s="143" t="s">
        <v>617</v>
      </c>
      <c r="J108" s="116">
        <v>715364294</v>
      </c>
      <c r="K108" s="116" t="s">
        <v>105</v>
      </c>
      <c r="L108" s="74"/>
      <c r="M108" s="74"/>
      <c r="N108" s="74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</row>
    <row r="109" spans="1:36" ht="12.75">
      <c r="A109" s="79" t="s">
        <v>618</v>
      </c>
      <c r="B109" s="79"/>
      <c r="C109" s="72" t="s">
        <v>619</v>
      </c>
      <c r="D109" s="72" t="s">
        <v>475</v>
      </c>
      <c r="E109" s="73" t="s">
        <v>620</v>
      </c>
      <c r="F109" s="5" t="s">
        <v>621</v>
      </c>
      <c r="G109" s="7"/>
      <c r="H109" s="74" t="s">
        <v>622</v>
      </c>
      <c r="I109" s="75" t="s">
        <v>623</v>
      </c>
      <c r="J109" s="74" t="s">
        <v>624</v>
      </c>
      <c r="K109" s="74" t="s">
        <v>625</v>
      </c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</row>
    <row r="110" spans="1:36" ht="12.75">
      <c r="A110" s="77" t="s">
        <v>626</v>
      </c>
      <c r="B110" s="77"/>
      <c r="C110" s="77" t="s">
        <v>627</v>
      </c>
      <c r="D110" s="77" t="s">
        <v>628</v>
      </c>
      <c r="E110" s="78">
        <v>111503727</v>
      </c>
      <c r="F110" s="3" t="s">
        <v>629</v>
      </c>
      <c r="G110" s="7"/>
      <c r="H110" s="74" t="s">
        <v>630</v>
      </c>
      <c r="I110" s="75" t="s">
        <v>218</v>
      </c>
      <c r="J110" s="76">
        <v>254207903260</v>
      </c>
      <c r="K110" s="74" t="s">
        <v>631</v>
      </c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</row>
    <row r="111" spans="1:36" ht="12.75">
      <c r="A111" s="72" t="s">
        <v>632</v>
      </c>
      <c r="B111" s="72"/>
      <c r="C111" s="72" t="s">
        <v>633</v>
      </c>
      <c r="D111" s="79" t="s">
        <v>395</v>
      </c>
      <c r="E111" s="73">
        <v>110856452</v>
      </c>
      <c r="F111" s="5" t="s">
        <v>634</v>
      </c>
      <c r="G111" s="7"/>
      <c r="H111" s="74" t="s">
        <v>635</v>
      </c>
      <c r="I111" s="75" t="s">
        <v>186</v>
      </c>
      <c r="J111" s="74">
        <v>723799647</v>
      </c>
      <c r="K111" s="74" t="s">
        <v>636</v>
      </c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</row>
    <row r="112" spans="1:36" ht="12.75">
      <c r="A112" s="95" t="s">
        <v>637</v>
      </c>
      <c r="B112" s="95"/>
      <c r="C112" s="95" t="s">
        <v>638</v>
      </c>
      <c r="D112" s="95" t="s">
        <v>639</v>
      </c>
      <c r="E112" s="111" t="s">
        <v>640</v>
      </c>
      <c r="F112" s="3" t="s">
        <v>641</v>
      </c>
      <c r="G112" s="7"/>
      <c r="H112" s="74" t="s">
        <v>642</v>
      </c>
      <c r="I112" s="75" t="s">
        <v>643</v>
      </c>
      <c r="J112" s="74" t="s">
        <v>644</v>
      </c>
      <c r="K112" s="74" t="s">
        <v>645</v>
      </c>
      <c r="L112" s="74"/>
      <c r="M112" s="74"/>
      <c r="N112" s="74"/>
      <c r="O112" s="74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</row>
    <row r="113" spans="1:36" ht="12.75">
      <c r="A113" s="72" t="s">
        <v>646</v>
      </c>
      <c r="B113" s="72"/>
      <c r="C113" s="72" t="s">
        <v>647</v>
      </c>
      <c r="D113" s="97" t="s">
        <v>648</v>
      </c>
      <c r="E113" s="73">
        <v>758565180</v>
      </c>
      <c r="F113" s="5" t="s">
        <v>1117</v>
      </c>
      <c r="G113" s="7"/>
      <c r="H113" s="74" t="s">
        <v>1118</v>
      </c>
      <c r="I113" s="75" t="s">
        <v>650</v>
      </c>
      <c r="J113" s="74">
        <v>723927833</v>
      </c>
      <c r="K113" s="74" t="s">
        <v>651</v>
      </c>
      <c r="L113" s="74"/>
      <c r="M113" s="74"/>
      <c r="N113" s="74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</row>
    <row r="114" spans="1:36" ht="12.75">
      <c r="A114" s="77" t="s">
        <v>652</v>
      </c>
      <c r="B114" s="77"/>
      <c r="C114" s="77" t="s">
        <v>653</v>
      </c>
      <c r="D114" s="77" t="s">
        <v>654</v>
      </c>
      <c r="E114" s="78">
        <v>714689250</v>
      </c>
      <c r="F114" s="3" t="s">
        <v>655</v>
      </c>
      <c r="G114" s="7"/>
      <c r="H114" s="74" t="s">
        <v>656</v>
      </c>
      <c r="I114" s="75" t="s">
        <v>237</v>
      </c>
      <c r="J114" s="74" t="s">
        <v>657</v>
      </c>
      <c r="K114" s="74" t="s">
        <v>658</v>
      </c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</row>
    <row r="115" spans="1:36" ht="12.75">
      <c r="A115" s="72" t="s">
        <v>659</v>
      </c>
      <c r="B115" s="72"/>
      <c r="C115" s="72" t="s">
        <v>660</v>
      </c>
      <c r="D115" s="72" t="s">
        <v>661</v>
      </c>
      <c r="E115" s="73">
        <v>758280470</v>
      </c>
      <c r="F115" s="72" t="s">
        <v>662</v>
      </c>
      <c r="G115" s="74"/>
      <c r="H115" s="74" t="s">
        <v>663</v>
      </c>
      <c r="I115" s="75" t="s">
        <v>664</v>
      </c>
      <c r="J115" s="74">
        <v>722577340</v>
      </c>
      <c r="K115" s="74" t="s">
        <v>665</v>
      </c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</row>
    <row r="116" spans="1:36" ht="12.75">
      <c r="A116" s="77" t="s">
        <v>666</v>
      </c>
      <c r="B116" s="77"/>
      <c r="C116" s="77" t="s">
        <v>667</v>
      </c>
      <c r="D116" s="77" t="s">
        <v>306</v>
      </c>
      <c r="E116" s="78">
        <v>254758667531</v>
      </c>
      <c r="F116" s="3" t="s">
        <v>668</v>
      </c>
      <c r="G116" s="7"/>
      <c r="H116" s="74" t="s">
        <v>669</v>
      </c>
      <c r="I116" s="75" t="s">
        <v>237</v>
      </c>
      <c r="J116" s="74">
        <f>254732058126</f>
        <v>254732058126</v>
      </c>
      <c r="K116" s="74" t="s">
        <v>670</v>
      </c>
      <c r="L116" s="74"/>
      <c r="M116" s="74"/>
      <c r="N116" s="74"/>
      <c r="O116" s="74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</row>
    <row r="117" spans="1:36" ht="12.75">
      <c r="A117" s="72" t="s">
        <v>671</v>
      </c>
      <c r="B117" s="72"/>
      <c r="C117" s="72" t="s">
        <v>672</v>
      </c>
      <c r="D117" s="72" t="s">
        <v>673</v>
      </c>
      <c r="E117" s="73" t="s">
        <v>674</v>
      </c>
      <c r="F117" s="5" t="s">
        <v>675</v>
      </c>
      <c r="G117" s="7"/>
      <c r="H117" s="74" t="s">
        <v>676</v>
      </c>
      <c r="I117" s="75" t="s">
        <v>677</v>
      </c>
      <c r="J117" s="74">
        <v>254727592119</v>
      </c>
      <c r="K117" s="74" t="s">
        <v>678</v>
      </c>
      <c r="L117" s="74"/>
      <c r="M117" s="74"/>
      <c r="N117" s="74"/>
      <c r="O117" s="74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</row>
    <row r="118" spans="1:36" ht="12.75">
      <c r="A118" s="144" t="s">
        <v>679</v>
      </c>
      <c r="B118" s="144"/>
      <c r="C118" s="140" t="s">
        <v>680</v>
      </c>
      <c r="D118" s="140" t="s">
        <v>680</v>
      </c>
      <c r="E118" s="112"/>
      <c r="F118" s="140" t="s">
        <v>681</v>
      </c>
      <c r="G118" s="103"/>
      <c r="H118" s="103" t="s">
        <v>682</v>
      </c>
      <c r="I118" s="104" t="s">
        <v>179</v>
      </c>
      <c r="J118" s="105">
        <v>254713487535</v>
      </c>
      <c r="K118" s="103" t="s">
        <v>180</v>
      </c>
      <c r="L118" s="74"/>
      <c r="M118" s="74"/>
      <c r="N118" s="74"/>
      <c r="O118" s="74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</row>
    <row r="119" spans="1:36" ht="12.75">
      <c r="A119" s="72" t="s">
        <v>683</v>
      </c>
      <c r="B119" s="72"/>
      <c r="C119" s="72" t="s">
        <v>684</v>
      </c>
      <c r="D119" s="72" t="s">
        <v>330</v>
      </c>
      <c r="E119" s="73">
        <v>713162836</v>
      </c>
      <c r="F119" s="5" t="s">
        <v>685</v>
      </c>
      <c r="G119" s="7"/>
      <c r="H119" s="74" t="s">
        <v>686</v>
      </c>
      <c r="I119" s="75" t="s">
        <v>687</v>
      </c>
      <c r="J119" s="74">
        <v>716278428</v>
      </c>
      <c r="K119" s="74" t="s">
        <v>688</v>
      </c>
      <c r="L119" s="74"/>
      <c r="M119" s="74"/>
      <c r="N119" s="74"/>
      <c r="O119" s="74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</row>
    <row r="120" spans="1:36" ht="15">
      <c r="A120" s="77" t="s">
        <v>689</v>
      </c>
      <c r="B120" s="77"/>
      <c r="C120" s="77" t="s">
        <v>690</v>
      </c>
      <c r="D120" s="77" t="s">
        <v>691</v>
      </c>
      <c r="E120" s="78">
        <v>111819396</v>
      </c>
      <c r="F120" s="3" t="s">
        <v>692</v>
      </c>
      <c r="G120" s="7"/>
      <c r="H120" s="74" t="s">
        <v>693</v>
      </c>
      <c r="I120" s="75" t="s">
        <v>694</v>
      </c>
      <c r="J120" s="74">
        <v>788765979</v>
      </c>
      <c r="K120" s="60" t="s">
        <v>695</v>
      </c>
      <c r="L120" s="28"/>
      <c r="M120" s="28"/>
      <c r="N120" s="28"/>
      <c r="O120" s="28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</row>
    <row r="121" spans="1:36" ht="12.75">
      <c r="A121" s="72" t="s">
        <v>696</v>
      </c>
      <c r="B121" s="72"/>
      <c r="C121" s="72" t="s">
        <v>697</v>
      </c>
      <c r="D121" s="72" t="s">
        <v>78</v>
      </c>
      <c r="E121" s="73">
        <v>743695760</v>
      </c>
      <c r="F121" s="5" t="s">
        <v>79</v>
      </c>
      <c r="G121" s="7"/>
      <c r="H121" s="74" t="s">
        <v>80</v>
      </c>
      <c r="I121" s="75" t="s">
        <v>20</v>
      </c>
      <c r="J121" s="74">
        <v>737409471</v>
      </c>
      <c r="L121" s="60"/>
      <c r="M121" s="60"/>
      <c r="N121" s="60"/>
      <c r="O121" s="60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</row>
    <row r="122" spans="1:36" ht="12.75">
      <c r="A122" s="66" t="s">
        <v>698</v>
      </c>
      <c r="B122" s="66"/>
      <c r="C122" s="66" t="s">
        <v>699</v>
      </c>
      <c r="D122" s="77" t="s">
        <v>227</v>
      </c>
      <c r="E122" s="78">
        <v>794904946</v>
      </c>
      <c r="F122" s="77" t="s">
        <v>700</v>
      </c>
      <c r="G122" s="74"/>
      <c r="H122" s="74" t="s">
        <v>450</v>
      </c>
      <c r="I122" s="75" t="s">
        <v>451</v>
      </c>
      <c r="J122" s="74">
        <v>799290741</v>
      </c>
      <c r="K122" s="60" t="s">
        <v>87</v>
      </c>
      <c r="L122" s="60"/>
      <c r="M122" s="60"/>
      <c r="N122" s="60"/>
      <c r="O122" s="60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</row>
    <row r="123" spans="1:36" ht="12.75">
      <c r="A123" s="72" t="s">
        <v>701</v>
      </c>
      <c r="B123" s="72"/>
      <c r="C123" s="72" t="s">
        <v>702</v>
      </c>
      <c r="D123" s="72" t="s">
        <v>62</v>
      </c>
      <c r="E123" s="73">
        <v>706684022</v>
      </c>
      <c r="F123" s="5" t="s">
        <v>703</v>
      </c>
      <c r="G123" s="7"/>
      <c r="H123" s="74" t="s">
        <v>704</v>
      </c>
      <c r="I123" s="75" t="s">
        <v>705</v>
      </c>
      <c r="J123" s="74">
        <v>728226333</v>
      </c>
      <c r="K123" s="74" t="s">
        <v>129</v>
      </c>
      <c r="L123" s="74"/>
      <c r="M123" s="74"/>
      <c r="N123" s="74"/>
      <c r="O123" s="74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</row>
    <row r="124" spans="1:36" ht="12.75">
      <c r="A124" s="77" t="s">
        <v>706</v>
      </c>
      <c r="B124" s="92"/>
      <c r="C124" s="92" t="s">
        <v>707</v>
      </c>
      <c r="D124" s="92" t="s">
        <v>38</v>
      </c>
      <c r="E124" s="68">
        <v>254748929946</v>
      </c>
      <c r="F124" s="14" t="s">
        <v>708</v>
      </c>
      <c r="G124" s="1"/>
      <c r="H124" s="60" t="s">
        <v>40</v>
      </c>
      <c r="I124" s="75" t="s">
        <v>179</v>
      </c>
      <c r="K124" s="74" t="s">
        <v>42</v>
      </c>
      <c r="L124" s="74"/>
      <c r="M124" s="74"/>
      <c r="N124" s="74"/>
      <c r="O124" s="74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</row>
    <row r="125" spans="1:36" ht="15">
      <c r="A125" s="72" t="s">
        <v>709</v>
      </c>
      <c r="B125" s="72"/>
      <c r="C125" s="72" t="s">
        <v>710</v>
      </c>
      <c r="D125" s="72" t="s">
        <v>115</v>
      </c>
      <c r="E125" s="73">
        <v>794353043</v>
      </c>
      <c r="F125" s="5" t="s">
        <v>711</v>
      </c>
      <c r="G125" s="7"/>
      <c r="H125" s="74" t="s">
        <v>712</v>
      </c>
      <c r="I125" s="75" t="s">
        <v>713</v>
      </c>
      <c r="J125" s="74">
        <v>727618228</v>
      </c>
      <c r="K125" s="60" t="s">
        <v>714</v>
      </c>
      <c r="L125" s="28"/>
      <c r="M125" s="28"/>
      <c r="N125" s="28"/>
      <c r="O125" s="28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</row>
    <row r="126" spans="1:36" ht="12.75">
      <c r="A126" s="77" t="s">
        <v>715</v>
      </c>
      <c r="B126" s="77"/>
      <c r="C126" s="77" t="s">
        <v>716</v>
      </c>
      <c r="D126" s="77" t="s">
        <v>717</v>
      </c>
      <c r="E126" s="78">
        <v>746800549</v>
      </c>
      <c r="F126" s="77" t="s">
        <v>718</v>
      </c>
      <c r="G126" s="74"/>
      <c r="H126" s="74" t="s">
        <v>719</v>
      </c>
      <c r="I126" s="75" t="s">
        <v>59</v>
      </c>
      <c r="J126" s="74">
        <v>717372188</v>
      </c>
      <c r="K126" s="74" t="s">
        <v>720</v>
      </c>
      <c r="L126" s="74"/>
      <c r="M126" s="74"/>
      <c r="N126" s="74"/>
      <c r="O126" s="74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</row>
    <row r="127" spans="1:36" ht="12.75">
      <c r="A127" s="72" t="s">
        <v>721</v>
      </c>
      <c r="B127" s="83"/>
      <c r="C127" s="83" t="s">
        <v>722</v>
      </c>
      <c r="D127" s="83" t="s">
        <v>723</v>
      </c>
      <c r="E127" s="93">
        <v>719852724</v>
      </c>
      <c r="F127" s="4" t="s">
        <v>724</v>
      </c>
      <c r="G127" s="1"/>
      <c r="H127" s="60" t="s">
        <v>725</v>
      </c>
      <c r="I127" s="75" t="s">
        <v>726</v>
      </c>
      <c r="J127" s="60">
        <v>720621675</v>
      </c>
      <c r="K127" s="74" t="s">
        <v>727</v>
      </c>
      <c r="L127" s="74"/>
      <c r="M127" s="74"/>
      <c r="N127" s="74"/>
      <c r="O127" s="74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</row>
    <row r="128" spans="1:36" ht="12.75">
      <c r="A128" s="77" t="s">
        <v>728</v>
      </c>
      <c r="B128" s="77"/>
      <c r="C128" s="77" t="s">
        <v>729</v>
      </c>
      <c r="D128" s="77" t="s">
        <v>227</v>
      </c>
      <c r="E128" s="78">
        <v>112523358</v>
      </c>
      <c r="F128" s="3" t="s">
        <v>730</v>
      </c>
      <c r="G128" s="7"/>
      <c r="H128" s="74" t="s">
        <v>731</v>
      </c>
      <c r="I128" s="75" t="s">
        <v>732</v>
      </c>
      <c r="J128" s="74">
        <v>722575169</v>
      </c>
      <c r="K128" s="74" t="s">
        <v>733</v>
      </c>
      <c r="L128" s="74"/>
      <c r="M128" s="74"/>
      <c r="N128" s="74"/>
      <c r="O128" s="74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</row>
    <row r="129" spans="1:36" ht="12.75">
      <c r="A129" s="72" t="s">
        <v>734</v>
      </c>
      <c r="B129" s="72"/>
      <c r="C129" s="72" t="s">
        <v>735</v>
      </c>
      <c r="D129" s="72" t="s">
        <v>736</v>
      </c>
      <c r="E129" s="73">
        <v>795683650</v>
      </c>
      <c r="F129" s="5" t="s">
        <v>737</v>
      </c>
      <c r="G129" s="7"/>
      <c r="H129" s="74" t="s">
        <v>738</v>
      </c>
      <c r="I129" s="75" t="s">
        <v>739</v>
      </c>
      <c r="J129" s="74">
        <v>709988714</v>
      </c>
      <c r="K129" s="74" t="s">
        <v>740</v>
      </c>
      <c r="L129" s="74"/>
      <c r="M129" s="74"/>
      <c r="N129" s="74"/>
      <c r="O129" s="74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</row>
    <row r="130" spans="1:36" ht="12.75">
      <c r="A130" s="3" t="s">
        <v>741</v>
      </c>
      <c r="B130" s="3"/>
      <c r="C130" s="77" t="s">
        <v>742</v>
      </c>
      <c r="D130" s="77" t="s">
        <v>389</v>
      </c>
      <c r="E130" s="78">
        <v>716875574</v>
      </c>
      <c r="F130" s="3" t="s">
        <v>743</v>
      </c>
      <c r="G130" s="7"/>
      <c r="H130" s="74" t="s">
        <v>744</v>
      </c>
      <c r="I130" s="75" t="s">
        <v>745</v>
      </c>
      <c r="J130" s="74">
        <v>796954269</v>
      </c>
      <c r="K130" s="74" t="s">
        <v>746</v>
      </c>
      <c r="L130" s="74"/>
      <c r="M130" s="74"/>
      <c r="N130" s="74"/>
      <c r="O130" s="74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</row>
    <row r="131" spans="1:36" ht="12.75">
      <c r="A131" s="72" t="s">
        <v>747</v>
      </c>
      <c r="B131" s="72"/>
      <c r="C131" s="72" t="s">
        <v>748</v>
      </c>
      <c r="D131" s="89" t="s">
        <v>749</v>
      </c>
      <c r="E131" s="87">
        <v>254111639419</v>
      </c>
      <c r="F131" s="5" t="s">
        <v>750</v>
      </c>
      <c r="G131" s="7"/>
      <c r="H131" s="74" t="s">
        <v>751</v>
      </c>
      <c r="I131" s="75" t="s">
        <v>752</v>
      </c>
      <c r="J131" s="74">
        <v>724280219</v>
      </c>
      <c r="K131" s="74"/>
      <c r="L131" s="74"/>
      <c r="M131" s="74"/>
      <c r="N131" s="74"/>
      <c r="O131" s="74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</row>
    <row r="132" spans="1:36" ht="12.75">
      <c r="A132" s="77" t="s">
        <v>753</v>
      </c>
      <c r="B132" s="77"/>
      <c r="C132" s="77" t="s">
        <v>754</v>
      </c>
      <c r="D132" s="77" t="s">
        <v>441</v>
      </c>
      <c r="E132" s="77">
        <v>759444529</v>
      </c>
      <c r="F132" s="3" t="s">
        <v>755</v>
      </c>
      <c r="G132" s="7"/>
      <c r="H132" s="74" t="s">
        <v>756</v>
      </c>
      <c r="I132" s="75" t="s">
        <v>757</v>
      </c>
      <c r="J132" s="74">
        <v>723274626</v>
      </c>
      <c r="K132" s="74" t="s">
        <v>758</v>
      </c>
      <c r="L132" s="74"/>
      <c r="M132" s="74"/>
      <c r="N132" s="74"/>
      <c r="O132" s="74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</row>
    <row r="133" spans="1:36" ht="12.75">
      <c r="A133" s="72" t="s">
        <v>759</v>
      </c>
      <c r="B133" s="72"/>
      <c r="C133" s="72" t="s">
        <v>760</v>
      </c>
      <c r="D133" s="72" t="s">
        <v>723</v>
      </c>
      <c r="E133" s="73">
        <v>110272267</v>
      </c>
      <c r="F133" s="5" t="s">
        <v>761</v>
      </c>
      <c r="G133" s="7"/>
      <c r="H133" s="74" t="s">
        <v>762</v>
      </c>
      <c r="I133" s="75" t="s">
        <v>763</v>
      </c>
      <c r="J133" s="74">
        <v>254723661676</v>
      </c>
      <c r="K133" s="74" t="s">
        <v>101</v>
      </c>
      <c r="L133" s="74"/>
      <c r="M133" s="74"/>
      <c r="N133" s="74"/>
      <c r="O133" s="74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</row>
    <row r="134" spans="1:36" ht="12.75">
      <c r="A134" s="77" t="s">
        <v>764</v>
      </c>
      <c r="B134" s="77"/>
      <c r="C134" s="77" t="s">
        <v>765</v>
      </c>
      <c r="D134" s="77" t="s">
        <v>766</v>
      </c>
      <c r="E134" s="78">
        <v>743900785</v>
      </c>
      <c r="F134" s="3" t="s">
        <v>767</v>
      </c>
      <c r="G134" s="7"/>
      <c r="H134" s="74" t="s">
        <v>768</v>
      </c>
      <c r="I134" s="75" t="s">
        <v>218</v>
      </c>
      <c r="J134" s="74">
        <v>254206536028</v>
      </c>
      <c r="K134" s="74" t="s">
        <v>769</v>
      </c>
      <c r="L134" s="74"/>
      <c r="M134" s="74"/>
      <c r="N134" s="74"/>
      <c r="O134" s="74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</row>
    <row r="135" spans="1:36" ht="12.75">
      <c r="A135" s="72" t="s">
        <v>770</v>
      </c>
      <c r="B135" s="72"/>
      <c r="C135" s="72" t="s">
        <v>771</v>
      </c>
      <c r="D135" s="72" t="s">
        <v>772</v>
      </c>
      <c r="E135" s="73">
        <v>704274534</v>
      </c>
      <c r="F135" s="13"/>
      <c r="G135" s="9"/>
      <c r="H135" s="76"/>
      <c r="I135" s="84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</row>
    <row r="136" spans="1:36" ht="12.75">
      <c r="A136" s="77" t="s">
        <v>773</v>
      </c>
      <c r="B136" s="77"/>
      <c r="C136" s="77" t="s">
        <v>774</v>
      </c>
      <c r="D136" s="77" t="s">
        <v>775</v>
      </c>
      <c r="E136" s="78">
        <v>715434987</v>
      </c>
      <c r="F136" s="3" t="s">
        <v>776</v>
      </c>
      <c r="G136" s="7"/>
      <c r="H136" s="74" t="s">
        <v>777</v>
      </c>
      <c r="I136" s="75" t="s">
        <v>778</v>
      </c>
      <c r="J136" s="74" t="s">
        <v>779</v>
      </c>
      <c r="K136" s="74" t="s">
        <v>780</v>
      </c>
      <c r="L136" s="74"/>
      <c r="M136" s="74"/>
      <c r="N136" s="74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</row>
    <row r="137" spans="1:36" ht="12.75">
      <c r="A137" s="72" t="s">
        <v>781</v>
      </c>
      <c r="B137" s="72"/>
      <c r="C137" s="72" t="s">
        <v>782</v>
      </c>
      <c r="D137" s="72" t="s">
        <v>783</v>
      </c>
      <c r="E137" s="73">
        <v>793642867</v>
      </c>
      <c r="F137" s="5" t="s">
        <v>784</v>
      </c>
      <c r="G137" s="7"/>
      <c r="H137" s="74" t="s">
        <v>785</v>
      </c>
      <c r="I137" s="75" t="s">
        <v>786</v>
      </c>
      <c r="J137" s="74">
        <v>719212730</v>
      </c>
      <c r="K137" s="74" t="s">
        <v>787</v>
      </c>
      <c r="L137" s="74"/>
      <c r="M137" s="74"/>
      <c r="N137" s="74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</row>
    <row r="138" spans="1:36" ht="12.75">
      <c r="A138" s="77" t="s">
        <v>788</v>
      </c>
      <c r="B138" s="77"/>
      <c r="C138" s="77" t="s">
        <v>789</v>
      </c>
      <c r="D138" s="77" t="s">
        <v>790</v>
      </c>
      <c r="E138" s="78">
        <v>796539303</v>
      </c>
      <c r="F138" s="3" t="s">
        <v>791</v>
      </c>
      <c r="G138" s="7"/>
      <c r="H138" s="74" t="s">
        <v>792</v>
      </c>
      <c r="I138" s="75" t="s">
        <v>793</v>
      </c>
      <c r="J138" s="76"/>
      <c r="K138" s="76"/>
      <c r="L138" s="74"/>
      <c r="M138" s="74"/>
      <c r="N138" s="74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</row>
    <row r="139" spans="1:36" ht="12.75">
      <c r="A139" s="72" t="s">
        <v>794</v>
      </c>
      <c r="B139" s="72"/>
      <c r="C139" s="72" t="s">
        <v>795</v>
      </c>
      <c r="D139" s="72" t="s">
        <v>796</v>
      </c>
      <c r="E139" s="73">
        <v>254795408323</v>
      </c>
      <c r="F139" s="5" t="s">
        <v>797</v>
      </c>
      <c r="G139" s="7"/>
      <c r="H139" s="76"/>
      <c r="I139" s="84"/>
      <c r="J139" s="76"/>
      <c r="K139" s="76"/>
      <c r="L139" s="74"/>
      <c r="M139" s="74"/>
      <c r="N139" s="74"/>
      <c r="O139" s="74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</row>
    <row r="140" spans="1:36" ht="14.25">
      <c r="A140" s="77" t="s">
        <v>798</v>
      </c>
      <c r="B140" s="77"/>
      <c r="C140" s="77" t="s">
        <v>795</v>
      </c>
      <c r="D140" s="77" t="s">
        <v>799</v>
      </c>
      <c r="E140" s="10">
        <v>795408323</v>
      </c>
      <c r="F140" s="3" t="s">
        <v>800</v>
      </c>
      <c r="G140" s="7"/>
      <c r="H140" s="74" t="s">
        <v>801</v>
      </c>
      <c r="I140" s="75" t="s">
        <v>802</v>
      </c>
      <c r="J140" s="145">
        <v>737409416</v>
      </c>
      <c r="K140" s="74" t="s">
        <v>803</v>
      </c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</row>
    <row r="141" spans="1:36" ht="12.75">
      <c r="A141" s="72" t="s">
        <v>804</v>
      </c>
      <c r="B141" s="72"/>
      <c r="C141" s="72" t="s">
        <v>805</v>
      </c>
      <c r="D141" s="72" t="s">
        <v>78</v>
      </c>
      <c r="E141" s="87">
        <f>254757734404</f>
        <v>254757734404</v>
      </c>
      <c r="F141" s="6" t="s">
        <v>806</v>
      </c>
      <c r="G141" s="30"/>
      <c r="H141" s="146" t="s">
        <v>807</v>
      </c>
      <c r="I141" s="147" t="s">
        <v>356</v>
      </c>
      <c r="J141" s="146">
        <f>254722841136</f>
        <v>254722841136</v>
      </c>
      <c r="K141" s="74" t="s">
        <v>808</v>
      </c>
      <c r="L141" s="74"/>
      <c r="M141" s="74"/>
      <c r="N141" s="74"/>
      <c r="O141" s="74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</row>
    <row r="142" spans="1:36" ht="12.75">
      <c r="A142" s="77" t="s">
        <v>809</v>
      </c>
      <c r="B142" s="77"/>
      <c r="C142" s="77" t="s">
        <v>810</v>
      </c>
      <c r="D142" s="77" t="s">
        <v>71</v>
      </c>
      <c r="E142" s="78">
        <v>716580208</v>
      </c>
      <c r="F142" s="3" t="s">
        <v>811</v>
      </c>
      <c r="G142" s="7"/>
      <c r="H142" s="74" t="s">
        <v>58</v>
      </c>
      <c r="I142" s="75" t="s">
        <v>59</v>
      </c>
      <c r="J142" s="74">
        <v>720668236</v>
      </c>
      <c r="K142" s="74" t="s">
        <v>60</v>
      </c>
      <c r="L142" s="74"/>
      <c r="M142" s="74"/>
      <c r="N142" s="74"/>
      <c r="O142" s="74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</row>
    <row r="143" spans="1:36" ht="12.75">
      <c r="A143" s="72" t="s">
        <v>812</v>
      </c>
      <c r="B143" s="72"/>
      <c r="C143" s="72" t="s">
        <v>813</v>
      </c>
      <c r="D143" s="72" t="s">
        <v>78</v>
      </c>
      <c r="E143" s="73">
        <v>254113010443</v>
      </c>
      <c r="F143" s="5" t="s">
        <v>79</v>
      </c>
      <c r="G143" s="7"/>
      <c r="H143" s="74" t="s">
        <v>80</v>
      </c>
      <c r="I143" s="75" t="s">
        <v>20</v>
      </c>
      <c r="J143" s="74">
        <v>737409471</v>
      </c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</row>
    <row r="144" spans="1:36" ht="12.75">
      <c r="A144" s="77" t="s">
        <v>814</v>
      </c>
      <c r="B144" s="77"/>
      <c r="C144" s="77" t="s">
        <v>815</v>
      </c>
      <c r="D144" s="77" t="s">
        <v>816</v>
      </c>
      <c r="E144" s="78">
        <v>768191961</v>
      </c>
      <c r="F144" s="3" t="s">
        <v>817</v>
      </c>
      <c r="G144" s="7"/>
      <c r="H144" s="74" t="s">
        <v>818</v>
      </c>
      <c r="I144" s="75" t="s">
        <v>819</v>
      </c>
      <c r="J144" s="76"/>
      <c r="K144" s="74" t="s">
        <v>820</v>
      </c>
      <c r="L144" s="74"/>
      <c r="M144" s="74"/>
      <c r="N144" s="74"/>
      <c r="O144" s="74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</row>
    <row r="145" spans="1:36" ht="12.75">
      <c r="A145" s="72" t="s">
        <v>821</v>
      </c>
      <c r="B145" s="72"/>
      <c r="C145" s="72" t="s">
        <v>822</v>
      </c>
      <c r="D145" s="72" t="s">
        <v>301</v>
      </c>
      <c r="E145" s="73">
        <v>793667896</v>
      </c>
      <c r="F145" s="5" t="s">
        <v>823</v>
      </c>
      <c r="G145" s="7"/>
      <c r="H145" s="148" t="s">
        <v>3553</v>
      </c>
      <c r="I145" s="75" t="s">
        <v>269</v>
      </c>
      <c r="J145" s="74">
        <v>254111000600</v>
      </c>
      <c r="K145" s="74" t="s">
        <v>824</v>
      </c>
      <c r="L145" s="74"/>
      <c r="M145" s="74"/>
      <c r="N145" s="74"/>
      <c r="O145" s="74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</row>
    <row r="146" spans="1:36" ht="12.75">
      <c r="A146" s="77" t="s">
        <v>825</v>
      </c>
      <c r="B146" s="77"/>
      <c r="C146" s="77" t="s">
        <v>826</v>
      </c>
      <c r="D146" s="77" t="s">
        <v>227</v>
      </c>
      <c r="E146" s="78">
        <v>113197613</v>
      </c>
      <c r="F146" s="77" t="s">
        <v>827</v>
      </c>
      <c r="G146" s="74"/>
      <c r="H146" s="74" t="s">
        <v>244</v>
      </c>
      <c r="I146" s="75" t="s">
        <v>245</v>
      </c>
      <c r="J146" s="74">
        <v>710907511</v>
      </c>
      <c r="K146" s="74" t="s">
        <v>828</v>
      </c>
      <c r="L146" s="74"/>
      <c r="M146" s="74"/>
      <c r="N146" s="74"/>
      <c r="O146" s="74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</row>
    <row r="147" spans="1:36" ht="12.75">
      <c r="A147" s="72" t="s">
        <v>829</v>
      </c>
      <c r="B147" s="72"/>
      <c r="C147" s="72" t="s">
        <v>830</v>
      </c>
      <c r="D147" s="72" t="s">
        <v>395</v>
      </c>
      <c r="E147" s="73">
        <v>740969109</v>
      </c>
      <c r="F147" s="5" t="s">
        <v>831</v>
      </c>
      <c r="G147" s="7"/>
      <c r="H147" s="74" t="s">
        <v>832</v>
      </c>
      <c r="I147" s="75" t="s">
        <v>833</v>
      </c>
      <c r="J147" s="74">
        <v>724626334</v>
      </c>
      <c r="K147" s="74" t="s">
        <v>834</v>
      </c>
      <c r="L147" s="74"/>
      <c r="M147" s="74"/>
      <c r="N147" s="74"/>
      <c r="O147" s="74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</row>
    <row r="148" spans="1:36" ht="12.75">
      <c r="A148" s="77" t="s">
        <v>835</v>
      </c>
      <c r="B148" s="77"/>
      <c r="C148" s="77" t="s">
        <v>836</v>
      </c>
      <c r="D148" s="77" t="s">
        <v>382</v>
      </c>
      <c r="E148" s="78">
        <v>746745221</v>
      </c>
      <c r="F148" s="3" t="s">
        <v>383</v>
      </c>
      <c r="G148" s="7"/>
      <c r="H148" s="7" t="s">
        <v>837</v>
      </c>
      <c r="I148" s="8" t="s">
        <v>385</v>
      </c>
      <c r="J148" s="76">
        <v>2545220104</v>
      </c>
      <c r="K148" s="74" t="s">
        <v>386</v>
      </c>
      <c r="L148" s="74"/>
      <c r="M148" s="74"/>
      <c r="N148" s="74"/>
      <c r="O148" s="74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</row>
    <row r="149" spans="1:36" ht="12.75">
      <c r="A149" s="72" t="s">
        <v>838</v>
      </c>
      <c r="B149" s="72"/>
      <c r="C149" s="72" t="s">
        <v>839</v>
      </c>
      <c r="D149" s="72" t="s">
        <v>604</v>
      </c>
      <c r="E149" s="87">
        <v>254759934818</v>
      </c>
      <c r="F149" s="5" t="s">
        <v>840</v>
      </c>
      <c r="G149" s="7"/>
      <c r="H149" s="74" t="s">
        <v>26</v>
      </c>
      <c r="I149" s="75" t="s">
        <v>223</v>
      </c>
      <c r="J149" s="74" t="s">
        <v>28</v>
      </c>
      <c r="K149" s="74" t="s">
        <v>224</v>
      </c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</row>
    <row r="150" spans="1:36" ht="12.75">
      <c r="A150" s="92" t="s">
        <v>841</v>
      </c>
      <c r="B150" s="92"/>
      <c r="C150" s="77" t="s">
        <v>842</v>
      </c>
      <c r="D150" s="77" t="s">
        <v>306</v>
      </c>
      <c r="E150" s="112">
        <v>254700344104</v>
      </c>
      <c r="F150" s="3" t="s">
        <v>843</v>
      </c>
      <c r="G150" s="7"/>
      <c r="H150" s="74" t="s">
        <v>844</v>
      </c>
      <c r="I150" s="75" t="s">
        <v>845</v>
      </c>
      <c r="J150" s="74">
        <v>721218305</v>
      </c>
      <c r="K150" s="60" t="s">
        <v>846</v>
      </c>
      <c r="L150" s="149"/>
      <c r="M150" s="149"/>
      <c r="N150" s="149"/>
      <c r="O150" s="149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</row>
    <row r="151" spans="1:36" ht="12.75">
      <c r="A151" s="89" t="s">
        <v>847</v>
      </c>
      <c r="B151" s="89"/>
      <c r="C151" s="89" t="s">
        <v>848</v>
      </c>
      <c r="D151" s="72" t="s">
        <v>849</v>
      </c>
      <c r="E151" s="73">
        <v>114107570</v>
      </c>
      <c r="F151" s="5" t="s">
        <v>850</v>
      </c>
      <c r="G151" s="7"/>
      <c r="H151" s="74" t="s">
        <v>851</v>
      </c>
      <c r="I151" s="75" t="s">
        <v>852</v>
      </c>
      <c r="J151" s="74">
        <v>719502426</v>
      </c>
      <c r="K151" s="74" t="s">
        <v>853</v>
      </c>
      <c r="L151" s="74"/>
      <c r="M151" s="74"/>
      <c r="N151" s="74"/>
      <c r="O151" s="74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</row>
    <row r="152" spans="1:36" ht="12.75">
      <c r="A152" s="77" t="s">
        <v>854</v>
      </c>
      <c r="B152" s="77"/>
      <c r="C152" s="77" t="s">
        <v>855</v>
      </c>
      <c r="D152" s="77" t="s">
        <v>856</v>
      </c>
      <c r="E152" s="78"/>
      <c r="F152" s="3" t="s">
        <v>25</v>
      </c>
      <c r="G152" s="7"/>
      <c r="H152" s="74" t="s">
        <v>857</v>
      </c>
      <c r="I152" s="75" t="s">
        <v>858</v>
      </c>
      <c r="J152" s="74">
        <v>711234567</v>
      </c>
      <c r="K152" s="74" t="s">
        <v>859</v>
      </c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</row>
    <row r="153" spans="1:36" ht="12.75">
      <c r="A153" s="72" t="s">
        <v>860</v>
      </c>
      <c r="B153" s="72"/>
      <c r="C153" s="72" t="s">
        <v>861</v>
      </c>
      <c r="D153" s="72" t="s">
        <v>71</v>
      </c>
      <c r="E153" s="73"/>
      <c r="F153" s="11" t="s">
        <v>862</v>
      </c>
      <c r="G153" s="16"/>
      <c r="H153" s="74" t="s">
        <v>863</v>
      </c>
      <c r="I153" s="75" t="s">
        <v>218</v>
      </c>
      <c r="J153" s="74">
        <v>112784560</v>
      </c>
      <c r="K153" s="74" t="s">
        <v>864</v>
      </c>
      <c r="L153" s="74"/>
      <c r="M153" s="74"/>
      <c r="N153" s="74"/>
      <c r="O153" s="74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</row>
    <row r="154" spans="1:36" ht="12.75">
      <c r="A154" s="77" t="s">
        <v>865</v>
      </c>
      <c r="B154" s="77"/>
      <c r="C154" s="77" t="s">
        <v>866</v>
      </c>
      <c r="D154" s="77" t="s">
        <v>301</v>
      </c>
      <c r="E154" s="78"/>
      <c r="F154" s="3" t="s">
        <v>867</v>
      </c>
      <c r="G154" s="7"/>
      <c r="H154" s="74" t="s">
        <v>868</v>
      </c>
      <c r="I154" s="75" t="s">
        <v>869</v>
      </c>
      <c r="J154" s="74">
        <v>711060540</v>
      </c>
      <c r="K154" s="74" t="s">
        <v>870</v>
      </c>
      <c r="L154" s="74"/>
      <c r="M154" s="74"/>
      <c r="N154" s="74"/>
      <c r="O154" s="74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</row>
    <row r="155" spans="1:36" ht="12.75">
      <c r="A155" s="72" t="s">
        <v>871</v>
      </c>
      <c r="B155" s="72"/>
      <c r="C155" s="72" t="s">
        <v>872</v>
      </c>
      <c r="D155" s="72" t="s">
        <v>873</v>
      </c>
      <c r="E155" s="73"/>
      <c r="F155" s="5" t="s">
        <v>874</v>
      </c>
      <c r="G155" s="7"/>
      <c r="H155" s="74" t="s">
        <v>875</v>
      </c>
      <c r="I155" s="75" t="s">
        <v>237</v>
      </c>
      <c r="J155" s="74">
        <v>254721611202</v>
      </c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</row>
    <row r="156" spans="1:36" ht="14.25">
      <c r="A156" s="77" t="s">
        <v>876</v>
      </c>
      <c r="B156" s="77"/>
      <c r="C156" s="77" t="s">
        <v>877</v>
      </c>
      <c r="D156" s="77" t="s">
        <v>516</v>
      </c>
      <c r="E156" s="78"/>
      <c r="F156" s="3" t="s">
        <v>342</v>
      </c>
      <c r="G156" s="7"/>
      <c r="H156" s="74" t="s">
        <v>355</v>
      </c>
      <c r="I156" s="75" t="s">
        <v>223</v>
      </c>
      <c r="J156" s="150">
        <v>710453693</v>
      </c>
      <c r="K156" s="74" t="s">
        <v>105</v>
      </c>
      <c r="L156" s="74"/>
      <c r="M156" s="74"/>
      <c r="N156" s="74"/>
      <c r="O156" s="74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</row>
    <row r="157" spans="1:36" ht="12.75">
      <c r="A157" s="72" t="s">
        <v>878</v>
      </c>
      <c r="B157" s="72"/>
      <c r="C157" s="72" t="s">
        <v>879</v>
      </c>
      <c r="D157" s="72" t="s">
        <v>880</v>
      </c>
      <c r="E157" s="87"/>
      <c r="F157" s="5" t="s">
        <v>881</v>
      </c>
      <c r="G157" s="7"/>
      <c r="H157" s="74" t="s">
        <v>669</v>
      </c>
      <c r="I157" s="75" t="s">
        <v>86</v>
      </c>
      <c r="J157" s="76">
        <f>254733903289</f>
        <v>254733903289</v>
      </c>
      <c r="K157" s="74" t="s">
        <v>787</v>
      </c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</row>
    <row r="158" spans="1:36" ht="12.75">
      <c r="A158" s="77" t="s">
        <v>882</v>
      </c>
      <c r="B158" s="77"/>
      <c r="C158" s="77" t="s">
        <v>883</v>
      </c>
      <c r="D158" s="77" t="s">
        <v>884</v>
      </c>
      <c r="E158" s="78">
        <v>759302602</v>
      </c>
      <c r="F158" s="3" t="s">
        <v>885</v>
      </c>
      <c r="G158" s="7"/>
      <c r="H158" s="74" t="s">
        <v>886</v>
      </c>
      <c r="I158" s="75" t="s">
        <v>887</v>
      </c>
      <c r="J158" s="74">
        <v>703500980</v>
      </c>
      <c r="K158" s="74" t="s">
        <v>888</v>
      </c>
      <c r="L158" s="74"/>
      <c r="M158" s="74"/>
      <c r="N158" s="74"/>
      <c r="O158" s="74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</row>
    <row r="159" spans="1:36" ht="21">
      <c r="A159" s="72" t="s">
        <v>889</v>
      </c>
      <c r="B159" s="72"/>
      <c r="C159" s="72" t="s">
        <v>890</v>
      </c>
      <c r="D159" s="72" t="s">
        <v>891</v>
      </c>
      <c r="E159" s="73">
        <v>114176885</v>
      </c>
      <c r="F159" s="5" t="s">
        <v>892</v>
      </c>
      <c r="G159" s="7"/>
      <c r="H159" s="74" t="s">
        <v>893</v>
      </c>
      <c r="I159" s="75" t="s">
        <v>237</v>
      </c>
      <c r="J159" s="74">
        <v>737941095</v>
      </c>
      <c r="K159" s="60" t="s">
        <v>894</v>
      </c>
      <c r="L159" s="151"/>
      <c r="M159" s="151"/>
      <c r="N159" s="151"/>
      <c r="O159" s="151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</row>
    <row r="160" spans="1:36" ht="12.75">
      <c r="A160" s="77" t="s">
        <v>895</v>
      </c>
      <c r="B160" s="77"/>
      <c r="C160" s="77" t="s">
        <v>896</v>
      </c>
      <c r="D160" s="77" t="s">
        <v>227</v>
      </c>
      <c r="E160" s="78">
        <v>254706313335</v>
      </c>
      <c r="F160" s="3" t="s">
        <v>897</v>
      </c>
      <c r="G160" s="7"/>
      <c r="H160" s="74" t="s">
        <v>613</v>
      </c>
      <c r="I160" s="75" t="s">
        <v>59</v>
      </c>
      <c r="J160" s="74">
        <v>736118289</v>
      </c>
      <c r="K160" s="74" t="s">
        <v>898</v>
      </c>
      <c r="L160" s="74"/>
      <c r="M160" s="74"/>
      <c r="N160" s="74"/>
      <c r="O160" s="74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</row>
    <row r="161" spans="1:36" ht="12.75">
      <c r="A161" s="72" t="s">
        <v>899</v>
      </c>
      <c r="B161" s="72"/>
      <c r="C161" s="72" t="s">
        <v>896</v>
      </c>
      <c r="D161" s="72" t="s">
        <v>227</v>
      </c>
      <c r="E161" s="87"/>
      <c r="F161" s="72" t="s">
        <v>611</v>
      </c>
      <c r="G161" s="74"/>
      <c r="H161" s="76"/>
      <c r="I161" s="84"/>
      <c r="J161" s="76"/>
      <c r="K161" s="74" t="s">
        <v>612</v>
      </c>
      <c r="L161" s="74"/>
      <c r="M161" s="74"/>
      <c r="N161" s="74"/>
      <c r="O161" s="74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</row>
    <row r="162" spans="1:36" ht="12.75">
      <c r="A162" s="140" t="s">
        <v>899</v>
      </c>
      <c r="B162" s="140"/>
      <c r="C162" s="140" t="s">
        <v>896</v>
      </c>
      <c r="D162" s="140" t="s">
        <v>227</v>
      </c>
      <c r="E162" s="112"/>
      <c r="F162" s="140" t="s">
        <v>611</v>
      </c>
      <c r="G162" s="103"/>
      <c r="H162" s="103" t="s">
        <v>613</v>
      </c>
      <c r="I162" s="84"/>
      <c r="K162" s="103" t="s">
        <v>612</v>
      </c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</row>
    <row r="163" spans="1:36" ht="12.75">
      <c r="A163" s="102" t="s">
        <v>900</v>
      </c>
      <c r="B163" s="102"/>
      <c r="C163" s="102" t="s">
        <v>901</v>
      </c>
      <c r="D163" s="102" t="s">
        <v>901</v>
      </c>
      <c r="E163" s="87"/>
      <c r="F163" s="102" t="s">
        <v>902</v>
      </c>
      <c r="G163" s="103"/>
      <c r="H163" s="103" t="s">
        <v>903</v>
      </c>
      <c r="I163" s="104" t="s">
        <v>887</v>
      </c>
      <c r="J163" s="105">
        <v>726581733</v>
      </c>
      <c r="K163" s="103" t="s">
        <v>904</v>
      </c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</row>
    <row r="164" spans="1:36" ht="12.75">
      <c r="A164" s="77" t="s">
        <v>905</v>
      </c>
      <c r="B164" s="77"/>
      <c r="C164" s="77" t="s">
        <v>906</v>
      </c>
      <c r="D164" s="77" t="s">
        <v>475</v>
      </c>
      <c r="E164" s="78">
        <v>793640387</v>
      </c>
      <c r="F164" s="152" t="s">
        <v>907</v>
      </c>
      <c r="G164" s="120"/>
      <c r="H164" s="74" t="s">
        <v>908</v>
      </c>
      <c r="I164" s="75" t="s">
        <v>909</v>
      </c>
      <c r="J164" s="74">
        <v>722561388</v>
      </c>
      <c r="K164" s="74" t="s">
        <v>910</v>
      </c>
      <c r="L164" s="60"/>
      <c r="M164" s="60"/>
      <c r="N164" s="60"/>
      <c r="O164" s="60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</row>
    <row r="165" spans="1:36" ht="12.75">
      <c r="A165" s="72" t="s">
        <v>911</v>
      </c>
      <c r="B165" s="72"/>
      <c r="C165" s="72" t="s">
        <v>912</v>
      </c>
      <c r="D165" s="72" t="s">
        <v>330</v>
      </c>
      <c r="E165" s="87"/>
      <c r="F165" s="13"/>
      <c r="G165" s="9"/>
      <c r="H165" s="76"/>
      <c r="I165" s="84"/>
      <c r="J165" s="76"/>
      <c r="K165" s="76"/>
      <c r="L165" s="74"/>
      <c r="M165" s="74"/>
      <c r="N165" s="74"/>
      <c r="O165" s="74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</row>
    <row r="166" spans="1:36" ht="12.75">
      <c r="A166" s="77" t="s">
        <v>913</v>
      </c>
      <c r="B166" s="77"/>
      <c r="C166" s="77" t="s">
        <v>914</v>
      </c>
      <c r="D166" s="77" t="s">
        <v>341</v>
      </c>
      <c r="E166" s="78">
        <v>112863597</v>
      </c>
      <c r="F166" s="3" t="s">
        <v>915</v>
      </c>
      <c r="G166" s="7"/>
      <c r="H166" s="76"/>
      <c r="I166" s="84"/>
      <c r="J166" s="76"/>
      <c r="K166" s="76"/>
      <c r="L166" s="74"/>
      <c r="M166" s="74"/>
      <c r="N166" s="74"/>
      <c r="O166" s="74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</row>
    <row r="167" spans="1:36" ht="12.75">
      <c r="A167" s="72" t="s">
        <v>918</v>
      </c>
      <c r="B167" s="72"/>
      <c r="C167" s="72" t="s">
        <v>919</v>
      </c>
      <c r="D167" s="72" t="s">
        <v>266</v>
      </c>
      <c r="E167" s="73">
        <v>254115666759</v>
      </c>
      <c r="F167" s="5" t="s">
        <v>920</v>
      </c>
      <c r="G167" s="7"/>
      <c r="H167" s="74" t="s">
        <v>921</v>
      </c>
      <c r="I167" s="75" t="s">
        <v>922</v>
      </c>
      <c r="J167" s="74" t="s">
        <v>923</v>
      </c>
      <c r="K167" s="74" t="s">
        <v>924</v>
      </c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</row>
    <row r="168" spans="1:36" ht="12.75">
      <c r="A168" s="153" t="s">
        <v>925</v>
      </c>
      <c r="B168" s="153"/>
      <c r="C168" s="77" t="s">
        <v>926</v>
      </c>
      <c r="D168" s="77" t="s">
        <v>78</v>
      </c>
      <c r="E168" s="78">
        <v>254713319696</v>
      </c>
      <c r="F168" s="3" t="s">
        <v>927</v>
      </c>
      <c r="G168" s="7"/>
      <c r="H168" s="74" t="s">
        <v>928</v>
      </c>
      <c r="I168" s="75" t="s">
        <v>929</v>
      </c>
      <c r="J168" s="74">
        <v>254704999298</v>
      </c>
      <c r="K168" s="74" t="s">
        <v>930</v>
      </c>
      <c r="L168" s="74"/>
      <c r="M168" s="74"/>
      <c r="N168" s="74"/>
      <c r="O168" s="74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</row>
    <row r="169" spans="1:36" ht="12.75">
      <c r="A169" s="72" t="s">
        <v>931</v>
      </c>
      <c r="B169" s="72"/>
      <c r="C169" s="72" t="s">
        <v>932</v>
      </c>
      <c r="D169" s="72" t="s">
        <v>227</v>
      </c>
      <c r="E169" s="93">
        <v>111906558</v>
      </c>
      <c r="F169" s="5" t="s">
        <v>342</v>
      </c>
      <c r="G169" s="7"/>
      <c r="H169" s="74" t="s">
        <v>933</v>
      </c>
      <c r="I169" s="84"/>
      <c r="J169" s="76"/>
      <c r="K169" s="76"/>
      <c r="L169" s="74"/>
      <c r="M169" s="74"/>
      <c r="N169" s="74"/>
      <c r="O169" s="74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</row>
    <row r="170" spans="1:36" ht="12.75">
      <c r="A170" s="77" t="s">
        <v>934</v>
      </c>
      <c r="B170" s="77"/>
      <c r="C170" s="77" t="s">
        <v>935</v>
      </c>
      <c r="D170" s="77" t="s">
        <v>936</v>
      </c>
      <c r="E170" s="78">
        <v>740704748</v>
      </c>
      <c r="F170" s="3" t="s">
        <v>342</v>
      </c>
      <c r="G170" s="7"/>
      <c r="H170" s="74" t="s">
        <v>937</v>
      </c>
      <c r="I170" s="75" t="s">
        <v>223</v>
      </c>
      <c r="J170" s="60">
        <v>710453693</v>
      </c>
      <c r="K170" s="74" t="s">
        <v>105</v>
      </c>
      <c r="L170" s="74"/>
      <c r="M170" s="74"/>
      <c r="N170" s="74"/>
      <c r="O170" s="74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</row>
    <row r="171" spans="1:36" ht="12.75">
      <c r="A171" s="72" t="s">
        <v>938</v>
      </c>
      <c r="B171" s="72"/>
      <c r="C171" s="72" t="s">
        <v>939</v>
      </c>
      <c r="D171" s="72" t="s">
        <v>71</v>
      </c>
      <c r="E171" s="73">
        <v>798177842</v>
      </c>
      <c r="F171" s="5" t="s">
        <v>940</v>
      </c>
      <c r="G171" s="7"/>
      <c r="H171" s="74" t="s">
        <v>941</v>
      </c>
      <c r="I171" s="75" t="s">
        <v>218</v>
      </c>
      <c r="J171" s="74">
        <v>704215496</v>
      </c>
      <c r="K171" s="74" t="s">
        <v>942</v>
      </c>
      <c r="L171" s="74"/>
      <c r="M171" s="74"/>
      <c r="N171" s="74"/>
      <c r="O171" s="74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</row>
    <row r="172" spans="1:36" ht="12.75">
      <c r="A172" s="77" t="s">
        <v>943</v>
      </c>
      <c r="B172" s="77"/>
      <c r="C172" s="77" t="s">
        <v>944</v>
      </c>
      <c r="D172" s="77" t="s">
        <v>880</v>
      </c>
      <c r="E172" s="78">
        <v>723242610</v>
      </c>
      <c r="F172" s="3" t="s">
        <v>945</v>
      </c>
      <c r="G172" s="7"/>
      <c r="H172" s="74" t="s">
        <v>946</v>
      </c>
      <c r="I172" s="75" t="s">
        <v>947</v>
      </c>
      <c r="J172" s="74">
        <v>512217987</v>
      </c>
      <c r="K172" s="74" t="s">
        <v>948</v>
      </c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</row>
    <row r="173" spans="1:36" ht="12.75">
      <c r="A173" s="72" t="s">
        <v>949</v>
      </c>
      <c r="B173" s="72"/>
      <c r="C173" s="72" t="s">
        <v>950</v>
      </c>
      <c r="D173" s="72" t="s">
        <v>951</v>
      </c>
      <c r="E173" s="73">
        <v>719524276</v>
      </c>
      <c r="F173" s="5"/>
      <c r="G173" s="7"/>
      <c r="H173" s="74" t="s">
        <v>952</v>
      </c>
      <c r="I173" s="75"/>
      <c r="J173" s="76"/>
      <c r="K173" s="76"/>
      <c r="L173" s="74"/>
      <c r="M173" s="74"/>
      <c r="N173" s="74"/>
      <c r="O173" s="74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</row>
    <row r="174" spans="1:36" ht="12.75">
      <c r="A174" s="77" t="s">
        <v>953</v>
      </c>
      <c r="B174" s="77"/>
      <c r="C174" s="77" t="s">
        <v>954</v>
      </c>
      <c r="D174" s="77" t="s">
        <v>955</v>
      </c>
      <c r="E174" s="78">
        <v>794622194</v>
      </c>
      <c r="F174" s="3" t="s">
        <v>956</v>
      </c>
      <c r="G174" s="7"/>
      <c r="H174" s="76"/>
      <c r="I174" s="84"/>
      <c r="J174" s="76"/>
      <c r="K174" s="76"/>
      <c r="L174" s="74"/>
      <c r="M174" s="74"/>
      <c r="N174" s="74"/>
      <c r="O174" s="74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</row>
    <row r="175" spans="1:36" ht="12.75">
      <c r="A175" s="72" t="s">
        <v>957</v>
      </c>
      <c r="B175" s="72"/>
      <c r="C175" s="72" t="s">
        <v>958</v>
      </c>
      <c r="D175" s="72" t="s">
        <v>959</v>
      </c>
      <c r="E175" s="73">
        <v>769898144</v>
      </c>
      <c r="F175" s="5" t="s">
        <v>342</v>
      </c>
      <c r="G175" s="7"/>
      <c r="H175" s="74" t="s">
        <v>343</v>
      </c>
      <c r="I175" s="75" t="s">
        <v>617</v>
      </c>
      <c r="J175" s="74">
        <v>714053850</v>
      </c>
      <c r="K175" s="74" t="s">
        <v>105</v>
      </c>
      <c r="L175" s="74"/>
      <c r="M175" s="74"/>
      <c r="N175" s="74"/>
      <c r="O175" s="74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</row>
    <row r="176" spans="1:36" ht="12.75">
      <c r="A176" s="77" t="s">
        <v>960</v>
      </c>
      <c r="B176" s="77"/>
      <c r="C176" s="77" t="s">
        <v>961</v>
      </c>
      <c r="D176" s="77" t="s">
        <v>508</v>
      </c>
      <c r="E176" s="78">
        <v>706102418</v>
      </c>
      <c r="F176" s="3" t="s">
        <v>962</v>
      </c>
      <c r="G176" s="7"/>
      <c r="H176" s="74" t="s">
        <v>963</v>
      </c>
      <c r="I176" s="75" t="s">
        <v>964</v>
      </c>
      <c r="J176" s="74">
        <v>724255538</v>
      </c>
      <c r="K176" s="74" t="s">
        <v>965</v>
      </c>
      <c r="L176" s="74"/>
      <c r="M176" s="74"/>
      <c r="N176" s="74"/>
      <c r="O176" s="74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</row>
    <row r="177" spans="1:36" ht="12.75">
      <c r="A177" s="154" t="s">
        <v>966</v>
      </c>
      <c r="B177" s="154"/>
      <c r="C177" s="72" t="s">
        <v>967</v>
      </c>
      <c r="D177" s="72" t="s">
        <v>183</v>
      </c>
      <c r="E177" s="73">
        <v>254748143442</v>
      </c>
      <c r="F177" s="5" t="s">
        <v>968</v>
      </c>
      <c r="G177" s="7"/>
      <c r="H177" s="74" t="s">
        <v>969</v>
      </c>
      <c r="I177" s="136" t="s">
        <v>970</v>
      </c>
      <c r="J177" s="74">
        <v>25490171131</v>
      </c>
      <c r="K177" s="74" t="s">
        <v>971</v>
      </c>
      <c r="L177" s="74"/>
      <c r="M177" s="74"/>
      <c r="N177" s="74"/>
      <c r="O177" s="74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</row>
    <row r="178" spans="1:36" ht="12.75">
      <c r="A178" s="77" t="s">
        <v>972</v>
      </c>
      <c r="B178" s="77"/>
      <c r="C178" s="77" t="s">
        <v>973</v>
      </c>
      <c r="D178" s="77" t="s">
        <v>974</v>
      </c>
      <c r="E178" s="78">
        <v>792066892</v>
      </c>
      <c r="F178" s="3" t="s">
        <v>975</v>
      </c>
      <c r="G178" s="7"/>
      <c r="H178" s="74" t="s">
        <v>976</v>
      </c>
      <c r="I178" s="75" t="s">
        <v>977</v>
      </c>
      <c r="J178" s="76">
        <f>254771370824</f>
        <v>254771370824</v>
      </c>
      <c r="K178" s="74" t="s">
        <v>978</v>
      </c>
      <c r="L178" s="74"/>
      <c r="M178" s="74"/>
      <c r="N178" s="74"/>
      <c r="O178" s="74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</row>
    <row r="179" spans="1:36" ht="12.75">
      <c r="A179" s="5" t="s">
        <v>979</v>
      </c>
      <c r="B179" s="5"/>
      <c r="C179" s="72" t="s">
        <v>980</v>
      </c>
      <c r="D179" s="72" t="s">
        <v>799</v>
      </c>
      <c r="E179" s="87">
        <v>254759408435</v>
      </c>
      <c r="F179" s="5" t="s">
        <v>981</v>
      </c>
      <c r="G179" s="7"/>
      <c r="H179" s="74" t="s">
        <v>982</v>
      </c>
      <c r="I179" s="75" t="s">
        <v>983</v>
      </c>
      <c r="J179" s="76">
        <v>254716786379</v>
      </c>
      <c r="K179" s="74" t="s">
        <v>984</v>
      </c>
      <c r="L179" s="74"/>
      <c r="M179" s="74"/>
      <c r="N179" s="74"/>
      <c r="O179" s="74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</row>
    <row r="180" spans="1:36" ht="12.75">
      <c r="A180" s="77" t="s">
        <v>985</v>
      </c>
      <c r="B180" s="77"/>
      <c r="C180" s="77" t="s">
        <v>986</v>
      </c>
      <c r="D180" s="77" t="s">
        <v>616</v>
      </c>
      <c r="E180" s="78">
        <v>741289114</v>
      </c>
      <c r="F180" s="3" t="s">
        <v>987</v>
      </c>
      <c r="G180" s="7"/>
      <c r="H180" s="74" t="s">
        <v>988</v>
      </c>
      <c r="I180" s="75" t="s">
        <v>989</v>
      </c>
      <c r="J180" s="74">
        <v>725760657</v>
      </c>
      <c r="K180" s="74" t="s">
        <v>990</v>
      </c>
      <c r="L180" s="74"/>
      <c r="M180" s="74"/>
      <c r="N180" s="74"/>
      <c r="O180" s="74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</row>
    <row r="181" spans="1:36" ht="12.75">
      <c r="A181" s="72" t="s">
        <v>991</v>
      </c>
      <c r="B181" s="72"/>
      <c r="C181" s="72" t="s">
        <v>992</v>
      </c>
      <c r="D181" s="72" t="s">
        <v>341</v>
      </c>
      <c r="E181" s="73">
        <v>706684040</v>
      </c>
      <c r="F181" s="5" t="s">
        <v>993</v>
      </c>
      <c r="G181" s="7"/>
      <c r="H181" s="74" t="s">
        <v>994</v>
      </c>
      <c r="I181" s="75" t="s">
        <v>269</v>
      </c>
      <c r="J181" s="74">
        <v>706684040</v>
      </c>
      <c r="K181" s="74" t="s">
        <v>995</v>
      </c>
      <c r="L181" s="74"/>
      <c r="M181" s="74"/>
      <c r="N181" s="74"/>
      <c r="O181" s="74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</row>
    <row r="182" spans="1:36" ht="12.75">
      <c r="A182" s="77" t="s">
        <v>996</v>
      </c>
      <c r="B182" s="77"/>
      <c r="C182" s="77" t="s">
        <v>997</v>
      </c>
      <c r="D182" s="77" t="s">
        <v>998</v>
      </c>
      <c r="E182" s="78">
        <v>714933162</v>
      </c>
      <c r="F182" s="3" t="s">
        <v>999</v>
      </c>
      <c r="G182" s="7"/>
      <c r="H182" s="74" t="s">
        <v>104</v>
      </c>
      <c r="I182" s="75" t="s">
        <v>14</v>
      </c>
      <c r="J182" s="74">
        <v>715364294</v>
      </c>
      <c r="K182" s="74" t="s">
        <v>105</v>
      </c>
      <c r="L182" s="74"/>
      <c r="M182" s="74"/>
      <c r="N182" s="74"/>
      <c r="O182" s="74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</row>
    <row r="183" spans="1:36" ht="12.75">
      <c r="A183" s="155" t="s">
        <v>1000</v>
      </c>
      <c r="B183" s="155"/>
      <c r="C183" s="97" t="s">
        <v>1001</v>
      </c>
      <c r="D183" s="97" t="s">
        <v>306</v>
      </c>
      <c r="E183" s="81">
        <v>748018182</v>
      </c>
      <c r="F183" s="5" t="s">
        <v>1002</v>
      </c>
      <c r="G183" s="7"/>
      <c r="H183" s="74" t="s">
        <v>1003</v>
      </c>
      <c r="I183" s="75" t="s">
        <v>1004</v>
      </c>
      <c r="J183" s="74" t="s">
        <v>1005</v>
      </c>
      <c r="K183" s="74" t="s">
        <v>1006</v>
      </c>
      <c r="L183" s="74"/>
      <c r="M183" s="74"/>
      <c r="N183" s="74"/>
      <c r="O183" s="74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</row>
    <row r="184" spans="1:36" ht="12.75">
      <c r="A184" s="77" t="s">
        <v>1007</v>
      </c>
      <c r="B184" s="77"/>
      <c r="C184" s="77" t="s">
        <v>1008</v>
      </c>
      <c r="D184" s="77" t="s">
        <v>341</v>
      </c>
      <c r="E184" s="78">
        <v>721745357</v>
      </c>
      <c r="F184" s="3" t="s">
        <v>1009</v>
      </c>
      <c r="G184" s="7"/>
      <c r="H184" s="74" t="s">
        <v>1009</v>
      </c>
      <c r="I184" s="75" t="s">
        <v>1010</v>
      </c>
      <c r="J184" s="74" t="s">
        <v>1011</v>
      </c>
      <c r="K184" s="74" t="s">
        <v>1011</v>
      </c>
      <c r="L184" s="74"/>
      <c r="M184" s="74"/>
      <c r="N184" s="74"/>
      <c r="O184" s="74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</row>
    <row r="185" spans="1:36" ht="12.75">
      <c r="A185" s="72" t="s">
        <v>1012</v>
      </c>
      <c r="B185" s="72"/>
      <c r="C185" s="72" t="s">
        <v>1013</v>
      </c>
      <c r="D185" s="72" t="s">
        <v>266</v>
      </c>
      <c r="E185" s="73">
        <v>723771963</v>
      </c>
      <c r="F185" s="32" t="s">
        <v>1014</v>
      </c>
      <c r="G185" s="21"/>
      <c r="H185" s="74" t="s">
        <v>1015</v>
      </c>
      <c r="I185" s="75" t="s">
        <v>964</v>
      </c>
      <c r="J185" s="74">
        <v>5320160000</v>
      </c>
      <c r="K185" s="74" t="s">
        <v>1016</v>
      </c>
      <c r="L185" s="74"/>
      <c r="M185" s="74"/>
      <c r="N185" s="74"/>
      <c r="O185" s="74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</row>
    <row r="186" spans="1:36" ht="12.75">
      <c r="A186" s="77" t="s">
        <v>1017</v>
      </c>
      <c r="B186" s="77"/>
      <c r="C186" s="77" t="s">
        <v>1018</v>
      </c>
      <c r="D186" s="77" t="s">
        <v>529</v>
      </c>
      <c r="E186" s="78">
        <v>741931126</v>
      </c>
      <c r="F186" s="3" t="s">
        <v>1019</v>
      </c>
      <c r="G186" s="7"/>
      <c r="H186" s="74" t="s">
        <v>1020</v>
      </c>
      <c r="I186" s="75" t="s">
        <v>385</v>
      </c>
      <c r="J186" s="74" t="s">
        <v>1021</v>
      </c>
      <c r="K186" s="74" t="s">
        <v>1022</v>
      </c>
      <c r="L186" s="74"/>
      <c r="M186" s="74"/>
      <c r="N186" s="74"/>
      <c r="O186" s="74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</row>
    <row r="187" spans="1:36" ht="12.75">
      <c r="A187" s="83" t="s">
        <v>1023</v>
      </c>
      <c r="B187" s="83"/>
      <c r="C187" s="83" t="s">
        <v>1024</v>
      </c>
      <c r="D187" s="83" t="s">
        <v>1025</v>
      </c>
      <c r="E187" s="73">
        <v>768551090</v>
      </c>
      <c r="F187" s="4" t="s">
        <v>1026</v>
      </c>
      <c r="G187" s="1"/>
      <c r="H187" s="60" t="s">
        <v>1027</v>
      </c>
      <c r="I187" s="156" t="s">
        <v>1028</v>
      </c>
      <c r="J187" s="157">
        <v>797860600</v>
      </c>
      <c r="K187" s="74" t="s">
        <v>1029</v>
      </c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</row>
    <row r="188" spans="1:36" ht="12.75">
      <c r="A188" s="92" t="s">
        <v>1030</v>
      </c>
      <c r="B188" s="92"/>
      <c r="C188" s="92" t="s">
        <v>1031</v>
      </c>
      <c r="D188" s="92" t="s">
        <v>83</v>
      </c>
      <c r="E188" s="78">
        <v>254700647035</v>
      </c>
      <c r="F188" s="14" t="s">
        <v>1032</v>
      </c>
      <c r="G188" s="1"/>
      <c r="H188" s="74" t="s">
        <v>104</v>
      </c>
      <c r="I188" s="75" t="s">
        <v>617</v>
      </c>
      <c r="J188" s="74">
        <v>715364294</v>
      </c>
      <c r="L188" s="60"/>
      <c r="M188" s="60"/>
      <c r="N188" s="60"/>
      <c r="O188" s="60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</row>
    <row r="189" spans="1:36" ht="12.75">
      <c r="A189" s="83" t="s">
        <v>1033</v>
      </c>
      <c r="B189" s="83"/>
      <c r="C189" s="83" t="s">
        <v>1034</v>
      </c>
      <c r="D189" s="83" t="s">
        <v>998</v>
      </c>
      <c r="E189" s="73">
        <v>115516860</v>
      </c>
      <c r="F189" s="4" t="s">
        <v>827</v>
      </c>
      <c r="G189" s="1"/>
      <c r="H189" s="74" t="s">
        <v>1035</v>
      </c>
      <c r="I189" s="75" t="s">
        <v>245</v>
      </c>
      <c r="J189" s="74">
        <v>710907511</v>
      </c>
      <c r="K189" s="74" t="s">
        <v>246</v>
      </c>
      <c r="L189" s="60"/>
      <c r="M189" s="60"/>
      <c r="N189" s="60"/>
      <c r="O189" s="60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</row>
    <row r="190" spans="1:36" ht="12.75">
      <c r="A190" s="92" t="s">
        <v>1036</v>
      </c>
      <c r="B190" s="92"/>
      <c r="C190" s="92" t="s">
        <v>1037</v>
      </c>
      <c r="D190" s="92" t="s">
        <v>1038</v>
      </c>
      <c r="E190" s="112">
        <v>254718140367</v>
      </c>
      <c r="F190" s="14" t="s">
        <v>1039</v>
      </c>
      <c r="G190" s="1"/>
      <c r="H190" s="74" t="s">
        <v>1040</v>
      </c>
      <c r="I190" s="75" t="s">
        <v>218</v>
      </c>
      <c r="J190" s="74">
        <v>721285886</v>
      </c>
      <c r="K190" s="60" t="s">
        <v>1041</v>
      </c>
      <c r="L190" s="60"/>
      <c r="M190" s="60"/>
      <c r="N190" s="60"/>
      <c r="O190" s="60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</row>
    <row r="191" spans="1:36" ht="12.75">
      <c r="A191" s="83" t="s">
        <v>1036</v>
      </c>
      <c r="B191" s="83"/>
      <c r="C191" s="83" t="s">
        <v>1042</v>
      </c>
      <c r="D191" s="83" t="s">
        <v>402</v>
      </c>
      <c r="E191" s="73">
        <v>254718140367</v>
      </c>
      <c r="F191" s="4" t="s">
        <v>1043</v>
      </c>
      <c r="G191" s="1"/>
      <c r="H191" s="60" t="s">
        <v>1044</v>
      </c>
      <c r="I191" s="88" t="s">
        <v>218</v>
      </c>
      <c r="J191" s="60">
        <v>721285886</v>
      </c>
      <c r="K191" s="60" t="s">
        <v>1041</v>
      </c>
      <c r="L191" s="60"/>
      <c r="M191" s="60"/>
      <c r="N191" s="60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</row>
    <row r="192" spans="1:36" ht="12.75">
      <c r="A192" s="92" t="s">
        <v>1045</v>
      </c>
      <c r="B192" s="92"/>
      <c r="C192" s="92" t="s">
        <v>1046</v>
      </c>
      <c r="D192" s="92" t="s">
        <v>790</v>
      </c>
      <c r="E192" s="77">
        <v>748936784</v>
      </c>
      <c r="F192" s="92" t="s">
        <v>1047</v>
      </c>
      <c r="G192" s="60"/>
      <c r="H192" s="60" t="s">
        <v>1048</v>
      </c>
      <c r="I192" s="88" t="s">
        <v>1049</v>
      </c>
      <c r="J192" s="60">
        <v>25472066232</v>
      </c>
      <c r="K192" s="74" t="s">
        <v>1050</v>
      </c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</row>
    <row r="193" spans="1:36" ht="12.75">
      <c r="A193" s="83" t="s">
        <v>1051</v>
      </c>
      <c r="B193" s="83"/>
      <c r="C193" s="83" t="s">
        <v>1052</v>
      </c>
      <c r="D193" s="83" t="s">
        <v>1053</v>
      </c>
      <c r="E193" s="73">
        <v>748883793</v>
      </c>
      <c r="F193" s="4" t="s">
        <v>1054</v>
      </c>
      <c r="G193" s="1"/>
      <c r="H193" s="60" t="s">
        <v>1055</v>
      </c>
      <c r="I193" s="88" t="s">
        <v>1056</v>
      </c>
      <c r="J193" s="60">
        <v>711794957</v>
      </c>
      <c r="K193" s="60" t="s">
        <v>1057</v>
      </c>
      <c r="L193" s="60"/>
      <c r="M193" s="60"/>
      <c r="N193" s="60"/>
      <c r="O193" s="60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</row>
    <row r="194" spans="1:36" ht="12.75">
      <c r="A194" s="92" t="s">
        <v>1058</v>
      </c>
      <c r="B194" s="92"/>
      <c r="C194" s="92" t="s">
        <v>1059</v>
      </c>
      <c r="D194" s="92" t="s">
        <v>1060</v>
      </c>
      <c r="E194" s="78">
        <v>742766340</v>
      </c>
      <c r="F194" s="3" t="s">
        <v>1061</v>
      </c>
      <c r="G194" s="7"/>
      <c r="H194" s="74" t="s">
        <v>1062</v>
      </c>
      <c r="I194" s="84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</row>
    <row r="195" spans="1:36" ht="12.75">
      <c r="A195" s="83" t="s">
        <v>1063</v>
      </c>
      <c r="B195" s="83"/>
      <c r="C195" s="83" t="s">
        <v>1064</v>
      </c>
      <c r="D195" s="83" t="s">
        <v>266</v>
      </c>
      <c r="E195" s="73">
        <v>722101609</v>
      </c>
      <c r="F195" s="4" t="s">
        <v>1065</v>
      </c>
      <c r="G195" s="1"/>
      <c r="H195" s="60" t="s">
        <v>1066</v>
      </c>
      <c r="I195" s="75" t="s">
        <v>1067</v>
      </c>
      <c r="J195" s="60">
        <v>722897169</v>
      </c>
      <c r="K195" s="74" t="s">
        <v>1068</v>
      </c>
      <c r="L195" s="74"/>
      <c r="M195" s="74"/>
      <c r="N195" s="74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</row>
    <row r="196" spans="1:36" ht="12.75">
      <c r="A196" s="77" t="s">
        <v>1069</v>
      </c>
      <c r="B196" s="77"/>
      <c r="C196" s="77" t="s">
        <v>1070</v>
      </c>
      <c r="D196" s="77" t="s">
        <v>628</v>
      </c>
      <c r="E196" s="78" t="s">
        <v>0</v>
      </c>
      <c r="F196" s="3" t="s">
        <v>1071</v>
      </c>
      <c r="G196" s="7"/>
      <c r="H196" s="74" t="s">
        <v>762</v>
      </c>
      <c r="I196" s="75" t="s">
        <v>1072</v>
      </c>
      <c r="J196" s="74">
        <v>254723661676</v>
      </c>
      <c r="K196" s="74" t="s">
        <v>101</v>
      </c>
      <c r="L196" s="74"/>
      <c r="M196" s="74"/>
      <c r="N196" s="74"/>
      <c r="O196" s="74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</row>
    <row r="197" spans="1:36" ht="12.75">
      <c r="A197" s="72" t="s">
        <v>1069</v>
      </c>
      <c r="B197" s="72"/>
      <c r="C197" s="72" t="s">
        <v>1070</v>
      </c>
      <c r="D197" s="72" t="s">
        <v>628</v>
      </c>
      <c r="E197" s="87">
        <v>254758466097</v>
      </c>
      <c r="F197" s="5" t="s">
        <v>1071</v>
      </c>
      <c r="G197" s="7"/>
      <c r="H197" s="74" t="s">
        <v>762</v>
      </c>
      <c r="I197" s="75" t="s">
        <v>1072</v>
      </c>
      <c r="J197" s="74">
        <v>254723661676</v>
      </c>
      <c r="K197" s="74" t="s">
        <v>101</v>
      </c>
      <c r="L197" s="74"/>
      <c r="M197" s="74"/>
      <c r="N197" s="74"/>
      <c r="O197" s="74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</row>
    <row r="198" spans="1:36" ht="12.75">
      <c r="A198" s="77" t="s">
        <v>1073</v>
      </c>
      <c r="B198" s="77"/>
      <c r="C198" s="77" t="s">
        <v>1074</v>
      </c>
      <c r="D198" s="77" t="s">
        <v>83</v>
      </c>
      <c r="E198" s="78">
        <v>706387759</v>
      </c>
      <c r="F198" s="3" t="s">
        <v>1075</v>
      </c>
      <c r="G198" s="7"/>
      <c r="H198" s="74" t="s">
        <v>1076</v>
      </c>
      <c r="I198" s="75" t="s">
        <v>59</v>
      </c>
      <c r="J198" s="74">
        <v>703890895</v>
      </c>
      <c r="K198" s="74" t="s">
        <v>1077</v>
      </c>
      <c r="L198" s="74"/>
      <c r="M198" s="74"/>
      <c r="N198" s="74"/>
      <c r="O198" s="74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</row>
    <row r="199" spans="1:36" ht="12.75">
      <c r="A199" s="72" t="s">
        <v>1078</v>
      </c>
      <c r="B199" s="72"/>
      <c r="C199" s="72" t="s">
        <v>1079</v>
      </c>
      <c r="D199" s="72" t="s">
        <v>1080</v>
      </c>
      <c r="E199" s="73">
        <v>714300758</v>
      </c>
      <c r="F199" s="5" t="s">
        <v>1081</v>
      </c>
      <c r="G199" s="7"/>
      <c r="H199" s="74" t="s">
        <v>1082</v>
      </c>
      <c r="I199" s="75" t="s">
        <v>237</v>
      </c>
      <c r="J199" s="74">
        <v>254202214044</v>
      </c>
      <c r="K199" s="74" t="s">
        <v>1083</v>
      </c>
      <c r="L199" s="74"/>
      <c r="M199" s="74"/>
      <c r="N199" s="74"/>
      <c r="O199" s="74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</row>
    <row r="200" spans="1:36" ht="12.75">
      <c r="A200" s="77" t="s">
        <v>1084</v>
      </c>
      <c r="B200" s="77"/>
      <c r="C200" s="77"/>
      <c r="D200" s="77"/>
      <c r="E200" s="78"/>
      <c r="F200" s="3"/>
      <c r="G200" s="7"/>
      <c r="H200" s="74"/>
      <c r="I200" s="75"/>
      <c r="J200" s="74"/>
      <c r="K200" s="74"/>
      <c r="L200" s="74"/>
      <c r="M200" s="74"/>
      <c r="N200" s="74"/>
      <c r="O200" s="74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</row>
    <row r="201" spans="1:36" ht="12.75">
      <c r="A201" s="72" t="s">
        <v>1085</v>
      </c>
      <c r="B201" s="72"/>
      <c r="C201" s="72" t="s">
        <v>1086</v>
      </c>
      <c r="D201" s="72" t="s">
        <v>198</v>
      </c>
      <c r="E201" s="73">
        <v>717117819</v>
      </c>
      <c r="F201" s="13"/>
      <c r="G201" s="9"/>
      <c r="H201" s="76"/>
      <c r="I201" s="84"/>
      <c r="J201" s="76"/>
      <c r="K201" s="76"/>
      <c r="L201" s="74"/>
      <c r="M201" s="74"/>
      <c r="N201" s="74"/>
      <c r="O201" s="74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</row>
    <row r="202" spans="1:36" ht="12.75">
      <c r="A202" s="92" t="s">
        <v>1087</v>
      </c>
      <c r="B202" s="92"/>
      <c r="C202" s="92" t="s">
        <v>1088</v>
      </c>
      <c r="D202" s="92" t="s">
        <v>56</v>
      </c>
      <c r="E202" s="78">
        <v>254792790722</v>
      </c>
      <c r="F202" s="14" t="s">
        <v>1089</v>
      </c>
      <c r="G202" s="1"/>
      <c r="H202" s="60" t="s">
        <v>1090</v>
      </c>
      <c r="I202" s="75" t="s">
        <v>1091</v>
      </c>
      <c r="J202" s="74">
        <v>254742222224</v>
      </c>
      <c r="K202" s="74" t="s">
        <v>1092</v>
      </c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</row>
    <row r="203" spans="1:36" ht="12.75">
      <c r="A203" s="83" t="s">
        <v>1093</v>
      </c>
      <c r="B203" s="83"/>
      <c r="C203" s="83" t="s">
        <v>1094</v>
      </c>
      <c r="D203" s="83" t="s">
        <v>1095</v>
      </c>
      <c r="E203" s="73" t="s">
        <v>1096</v>
      </c>
      <c r="F203" s="4" t="s">
        <v>1097</v>
      </c>
      <c r="G203" s="1"/>
      <c r="H203" s="60" t="s">
        <v>1098</v>
      </c>
      <c r="I203" s="75" t="s">
        <v>1099</v>
      </c>
      <c r="J203" s="74" t="s">
        <v>1100</v>
      </c>
      <c r="K203" s="60" t="s">
        <v>1101</v>
      </c>
      <c r="L203" s="158"/>
      <c r="M203" s="158"/>
      <c r="N203" s="158"/>
      <c r="O203" s="158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</row>
    <row r="204" spans="1:36" ht="12.75">
      <c r="A204" s="94" t="s">
        <v>1102</v>
      </c>
      <c r="B204" s="94"/>
      <c r="C204" s="92" t="s">
        <v>1103</v>
      </c>
      <c r="D204" s="92" t="s">
        <v>227</v>
      </c>
      <c r="E204" s="78">
        <v>797561978</v>
      </c>
      <c r="F204" s="14" t="s">
        <v>862</v>
      </c>
      <c r="G204" s="1"/>
      <c r="H204" s="60" t="s">
        <v>1104</v>
      </c>
      <c r="I204" s="88" t="s">
        <v>218</v>
      </c>
      <c r="J204" s="76">
        <f>112784560</f>
        <v>112784560</v>
      </c>
      <c r="K204" s="159" t="s">
        <v>864</v>
      </c>
      <c r="L204" s="158"/>
      <c r="M204" s="158"/>
      <c r="N204" s="158"/>
      <c r="O204" s="158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</row>
    <row r="205" spans="1:36" ht="12.75">
      <c r="A205" s="83" t="s">
        <v>1105</v>
      </c>
      <c r="B205" s="83"/>
      <c r="C205" s="83" t="s">
        <v>1106</v>
      </c>
      <c r="D205" s="83" t="s">
        <v>71</v>
      </c>
      <c r="E205" s="73">
        <v>705241326</v>
      </c>
      <c r="F205" s="4" t="s">
        <v>1107</v>
      </c>
      <c r="G205" s="1"/>
      <c r="H205" s="74" t="s">
        <v>355</v>
      </c>
      <c r="I205" s="88" t="s">
        <v>14</v>
      </c>
      <c r="J205" s="74">
        <v>715364294</v>
      </c>
      <c r="K205" s="60" t="s">
        <v>105</v>
      </c>
      <c r="L205" s="158"/>
      <c r="M205" s="158"/>
      <c r="N205" s="158"/>
      <c r="O205" s="158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</row>
    <row r="206" spans="1:36" ht="12.75">
      <c r="A206" s="92" t="s">
        <v>1108</v>
      </c>
      <c r="B206" s="92"/>
      <c r="C206" s="92" t="s">
        <v>1109</v>
      </c>
      <c r="D206" s="92" t="s">
        <v>83</v>
      </c>
      <c r="E206" s="68">
        <v>115256304</v>
      </c>
      <c r="F206" s="14" t="s">
        <v>1110</v>
      </c>
      <c r="G206" s="1"/>
      <c r="H206" s="60" t="s">
        <v>1111</v>
      </c>
      <c r="I206" s="88" t="s">
        <v>1112</v>
      </c>
      <c r="J206" s="60">
        <v>702450696</v>
      </c>
      <c r="K206" s="60" t="s">
        <v>1113</v>
      </c>
      <c r="L206" s="60"/>
      <c r="M206" s="60"/>
    </row>
    <row r="207" spans="1:36" ht="12.75">
      <c r="A207" s="83" t="s">
        <v>1114</v>
      </c>
      <c r="B207" s="83"/>
      <c r="C207" s="83" t="s">
        <v>1115</v>
      </c>
      <c r="D207" s="80" t="s">
        <v>1116</v>
      </c>
      <c r="E207" s="73">
        <v>790454240</v>
      </c>
      <c r="F207" s="4" t="s">
        <v>1117</v>
      </c>
      <c r="G207" s="1"/>
      <c r="H207" s="60" t="s">
        <v>1118</v>
      </c>
      <c r="I207" s="88" t="s">
        <v>650</v>
      </c>
      <c r="J207" s="74">
        <v>723927833</v>
      </c>
      <c r="K207" s="60" t="s">
        <v>651</v>
      </c>
      <c r="L207" s="158"/>
      <c r="M207" s="158"/>
      <c r="N207" s="158"/>
      <c r="O207" s="158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</row>
    <row r="208" spans="1:36" ht="12.75">
      <c r="A208" s="92" t="s">
        <v>1119</v>
      </c>
      <c r="B208" s="92"/>
      <c r="C208" s="92" t="s">
        <v>1120</v>
      </c>
      <c r="D208" s="160" t="s">
        <v>337</v>
      </c>
      <c r="E208" s="78">
        <v>702853108</v>
      </c>
      <c r="F208" s="14" t="s">
        <v>1121</v>
      </c>
      <c r="G208" s="1"/>
      <c r="H208" s="60" t="s">
        <v>1122</v>
      </c>
      <c r="I208" s="88" t="s">
        <v>1123</v>
      </c>
      <c r="J208" s="60">
        <v>797146764</v>
      </c>
      <c r="K208" s="60" t="s">
        <v>1124</v>
      </c>
      <c r="L208" s="158"/>
      <c r="M208" s="158"/>
      <c r="N208" s="158"/>
      <c r="O208" s="158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</row>
    <row r="209" spans="1:36" ht="12.75">
      <c r="A209" s="83" t="s">
        <v>1125</v>
      </c>
      <c r="B209" s="83"/>
      <c r="C209" s="83" t="s">
        <v>1126</v>
      </c>
      <c r="D209" s="83" t="s">
        <v>1127</v>
      </c>
      <c r="E209" s="87">
        <f>254762481905</f>
        <v>254762481905</v>
      </c>
      <c r="F209" s="4" t="s">
        <v>342</v>
      </c>
      <c r="G209" s="1"/>
      <c r="H209" s="60" t="s">
        <v>343</v>
      </c>
      <c r="I209" s="88" t="s">
        <v>356</v>
      </c>
      <c r="J209" s="60">
        <v>715364294</v>
      </c>
      <c r="K209" s="60" t="s">
        <v>1128</v>
      </c>
      <c r="L209" s="158"/>
      <c r="M209" s="158"/>
      <c r="N209" s="158"/>
      <c r="O209" s="158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</row>
    <row r="210" spans="1:36" ht="12.75">
      <c r="A210" s="92" t="s">
        <v>1129</v>
      </c>
      <c r="B210" s="92"/>
      <c r="C210" s="92" t="s">
        <v>1130</v>
      </c>
      <c r="D210" s="92" t="s">
        <v>1131</v>
      </c>
      <c r="E210" s="78">
        <v>708747126</v>
      </c>
      <c r="F210" s="14" t="s">
        <v>1132</v>
      </c>
      <c r="G210" s="1"/>
      <c r="H210" s="60" t="s">
        <v>1133</v>
      </c>
      <c r="I210" s="88" t="s">
        <v>223</v>
      </c>
      <c r="J210" s="60">
        <v>7202582237</v>
      </c>
      <c r="K210" s="60" t="s">
        <v>180</v>
      </c>
      <c r="L210" s="158"/>
      <c r="M210" s="158"/>
      <c r="N210" s="158"/>
      <c r="O210" s="158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</row>
    <row r="211" spans="1:36" ht="12.75">
      <c r="A211" s="83" t="s">
        <v>1134</v>
      </c>
      <c r="B211" s="83"/>
      <c r="C211" s="83" t="s">
        <v>1135</v>
      </c>
      <c r="D211" s="83" t="s">
        <v>78</v>
      </c>
      <c r="E211" s="73">
        <v>254740295246</v>
      </c>
      <c r="F211" s="4" t="s">
        <v>1136</v>
      </c>
      <c r="G211" s="1"/>
      <c r="H211" s="60" t="s">
        <v>1137</v>
      </c>
      <c r="I211" s="88" t="s">
        <v>218</v>
      </c>
      <c r="J211" s="60">
        <v>254770534969</v>
      </c>
      <c r="L211" s="158"/>
      <c r="M211" s="158"/>
      <c r="N211" s="158"/>
      <c r="O211" s="158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</row>
    <row r="212" spans="1:36" ht="12.75">
      <c r="A212" s="92" t="s">
        <v>1138</v>
      </c>
      <c r="B212" s="92"/>
      <c r="C212" s="92" t="s">
        <v>1139</v>
      </c>
      <c r="D212" s="92" t="s">
        <v>430</v>
      </c>
      <c r="E212" s="78">
        <v>254708770426</v>
      </c>
      <c r="F212" s="14" t="s">
        <v>98</v>
      </c>
      <c r="G212" s="1"/>
      <c r="H212" s="60" t="s">
        <v>99</v>
      </c>
      <c r="I212" s="88" t="s">
        <v>100</v>
      </c>
      <c r="J212" s="60">
        <v>254758722020</v>
      </c>
      <c r="K212" s="60" t="s">
        <v>101</v>
      </c>
      <c r="L212" s="158"/>
      <c r="M212" s="158"/>
      <c r="N212" s="158"/>
      <c r="O212" s="158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</row>
    <row r="213" spans="1:36" ht="12.75">
      <c r="A213" s="161" t="s">
        <v>1140</v>
      </c>
      <c r="B213" s="161"/>
      <c r="C213" s="80" t="s">
        <v>1141</v>
      </c>
      <c r="D213" s="80" t="s">
        <v>1142</v>
      </c>
      <c r="E213" s="72" t="s">
        <v>1143</v>
      </c>
      <c r="F213" s="4" t="s">
        <v>1144</v>
      </c>
      <c r="G213" s="1"/>
      <c r="H213" s="60" t="s">
        <v>1145</v>
      </c>
      <c r="I213" s="88" t="s">
        <v>1146</v>
      </c>
      <c r="J213" s="60" t="s">
        <v>1147</v>
      </c>
      <c r="K213" s="60" t="s">
        <v>1148</v>
      </c>
      <c r="L213" s="158"/>
      <c r="M213" s="158"/>
      <c r="N213" s="158"/>
      <c r="O213" s="158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</row>
    <row r="214" spans="1:36" ht="12.75">
      <c r="A214" s="92" t="s">
        <v>1149</v>
      </c>
      <c r="B214" s="92"/>
      <c r="C214" s="92" t="s">
        <v>1150</v>
      </c>
      <c r="D214" s="92" t="s">
        <v>1151</v>
      </c>
      <c r="E214" s="78">
        <v>700779642</v>
      </c>
      <c r="F214" s="14" t="s">
        <v>1152</v>
      </c>
      <c r="G214" s="1"/>
      <c r="H214" s="60" t="s">
        <v>1153</v>
      </c>
      <c r="I214" s="88" t="s">
        <v>1154</v>
      </c>
      <c r="J214" s="60">
        <v>713101289</v>
      </c>
      <c r="K214" s="60" t="s">
        <v>1155</v>
      </c>
      <c r="L214" s="162"/>
      <c r="M214" s="162"/>
      <c r="N214" s="162"/>
      <c r="O214" s="158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</row>
    <row r="215" spans="1:36" ht="12.75">
      <c r="A215" s="83" t="s">
        <v>1156</v>
      </c>
      <c r="B215" s="83"/>
      <c r="C215" s="83" t="s">
        <v>1157</v>
      </c>
      <c r="D215" s="83" t="s">
        <v>1158</v>
      </c>
      <c r="E215" s="73" t="s">
        <v>1159</v>
      </c>
      <c r="F215" s="4" t="s">
        <v>1160</v>
      </c>
      <c r="G215" s="1"/>
      <c r="H215" s="60" t="s">
        <v>80</v>
      </c>
      <c r="I215" s="88" t="s">
        <v>100</v>
      </c>
      <c r="J215" s="60" t="s">
        <v>1161</v>
      </c>
      <c r="K215" s="60" t="s">
        <v>1101</v>
      </c>
      <c r="L215" s="158"/>
      <c r="M215" s="158"/>
      <c r="N215" s="158"/>
      <c r="O215" s="158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</row>
    <row r="216" spans="1:36" ht="25.5">
      <c r="A216" s="94" t="s">
        <v>1162</v>
      </c>
      <c r="B216" s="94"/>
      <c r="C216" s="94" t="s">
        <v>1163</v>
      </c>
      <c r="D216" s="94" t="s">
        <v>1116</v>
      </c>
      <c r="E216" s="111">
        <v>115605859</v>
      </c>
      <c r="F216" s="14" t="s">
        <v>1164</v>
      </c>
      <c r="G216" s="1"/>
      <c r="H216" s="60" t="s">
        <v>1165</v>
      </c>
      <c r="I216" s="88" t="s">
        <v>1166</v>
      </c>
      <c r="J216" s="60">
        <v>717627108</v>
      </c>
      <c r="K216" s="163" t="s">
        <v>526</v>
      </c>
      <c r="L216" s="158"/>
      <c r="M216" s="158"/>
      <c r="N216" s="158"/>
      <c r="O216" s="158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</row>
    <row r="217" spans="1:36" ht="12.75">
      <c r="A217" s="83" t="s">
        <v>1167</v>
      </c>
      <c r="B217" s="83"/>
      <c r="C217" s="83" t="s">
        <v>1168</v>
      </c>
      <c r="D217" s="83" t="s">
        <v>1116</v>
      </c>
      <c r="E217" s="73">
        <v>707286414</v>
      </c>
      <c r="F217" s="4" t="s">
        <v>1169</v>
      </c>
      <c r="G217" s="1"/>
      <c r="H217" s="74" t="s">
        <v>1170</v>
      </c>
      <c r="I217" s="88" t="s">
        <v>1171</v>
      </c>
      <c r="J217" s="60">
        <v>733697998</v>
      </c>
      <c r="K217" s="60" t="s">
        <v>1172</v>
      </c>
      <c r="L217" s="158"/>
      <c r="M217" s="158"/>
      <c r="N217" s="158"/>
      <c r="O217" s="158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</row>
    <row r="218" spans="1:36" ht="12.75">
      <c r="A218" s="92" t="s">
        <v>1173</v>
      </c>
      <c r="B218" s="92"/>
      <c r="C218" s="92" t="s">
        <v>1174</v>
      </c>
      <c r="D218" s="92" t="s">
        <v>266</v>
      </c>
      <c r="E218" s="78">
        <v>721861621</v>
      </c>
      <c r="F218" s="14" t="s">
        <v>1175</v>
      </c>
      <c r="G218" s="1"/>
      <c r="H218" s="74" t="s">
        <v>1176</v>
      </c>
      <c r="I218" s="88" t="s">
        <v>1177</v>
      </c>
      <c r="J218" s="60">
        <v>254202606500</v>
      </c>
      <c r="K218" s="60" t="s">
        <v>1178</v>
      </c>
      <c r="L218" s="158"/>
      <c r="M218" s="158"/>
      <c r="N218" s="158"/>
      <c r="O218" s="158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</row>
    <row r="219" spans="1:36" ht="12.75">
      <c r="A219" s="83" t="s">
        <v>1179</v>
      </c>
      <c r="B219" s="83"/>
      <c r="C219" s="83" t="s">
        <v>1180</v>
      </c>
      <c r="D219" s="164" t="s">
        <v>227</v>
      </c>
      <c r="E219" s="87">
        <f>254728708806</f>
        <v>254728708806</v>
      </c>
      <c r="F219" s="4" t="s">
        <v>1181</v>
      </c>
      <c r="G219" s="1"/>
      <c r="H219" s="76"/>
      <c r="I219" s="88" t="s">
        <v>1166</v>
      </c>
      <c r="J219" s="60">
        <v>716600116</v>
      </c>
      <c r="K219" s="60" t="s">
        <v>1182</v>
      </c>
      <c r="L219" s="158"/>
      <c r="M219" s="158"/>
      <c r="N219" s="158"/>
      <c r="O219" s="158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</row>
    <row r="220" spans="1:36" ht="12.75">
      <c r="A220" s="77" t="s">
        <v>1183</v>
      </c>
      <c r="B220" s="77"/>
      <c r="C220" s="77" t="s">
        <v>1184</v>
      </c>
      <c r="D220" s="77" t="s">
        <v>1116</v>
      </c>
      <c r="E220" s="77">
        <v>112918838</v>
      </c>
      <c r="F220" s="3" t="s">
        <v>1185</v>
      </c>
      <c r="G220" s="7"/>
      <c r="H220" s="74" t="s">
        <v>1186</v>
      </c>
      <c r="I220" s="75" t="s">
        <v>218</v>
      </c>
      <c r="J220" s="76"/>
      <c r="K220" s="76"/>
      <c r="L220" s="74"/>
      <c r="M220" s="74"/>
      <c r="N220" s="74"/>
      <c r="O220" s="74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</row>
    <row r="221" spans="1:36" ht="12.75">
      <c r="A221" s="72" t="s">
        <v>1187</v>
      </c>
      <c r="B221" s="72"/>
      <c r="C221" s="72" t="s">
        <v>1188</v>
      </c>
      <c r="D221" s="72" t="s">
        <v>148</v>
      </c>
      <c r="E221" s="87"/>
      <c r="F221" s="13"/>
      <c r="G221" s="9"/>
      <c r="H221" s="76"/>
      <c r="I221" s="84"/>
      <c r="J221" s="76"/>
      <c r="K221" s="76"/>
      <c r="L221" s="74"/>
      <c r="M221" s="74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</row>
    <row r="222" spans="1:36" ht="12.75">
      <c r="A222" s="77" t="s">
        <v>1189</v>
      </c>
      <c r="B222" s="77"/>
      <c r="C222" s="77" t="s">
        <v>1190</v>
      </c>
      <c r="D222" s="77" t="s">
        <v>596</v>
      </c>
      <c r="E222" s="10">
        <v>769320325</v>
      </c>
      <c r="F222" s="3" t="s">
        <v>597</v>
      </c>
      <c r="G222" s="7"/>
      <c r="H222" s="74" t="s">
        <v>598</v>
      </c>
      <c r="I222" s="75" t="s">
        <v>599</v>
      </c>
      <c r="J222" s="74" t="s">
        <v>600</v>
      </c>
      <c r="K222" s="74" t="s">
        <v>601</v>
      </c>
      <c r="L222" s="74"/>
      <c r="M222" s="74"/>
      <c r="N222" s="74"/>
      <c r="O222" s="74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</row>
    <row r="223" spans="1:36" ht="12.75">
      <c r="A223" s="72" t="s">
        <v>1191</v>
      </c>
      <c r="B223" s="72"/>
      <c r="C223" s="72" t="s">
        <v>1192</v>
      </c>
      <c r="D223" s="72" t="s">
        <v>78</v>
      </c>
      <c r="E223" s="73">
        <v>729014842</v>
      </c>
      <c r="F223" s="5" t="s">
        <v>1193</v>
      </c>
      <c r="G223" s="7"/>
      <c r="H223" s="74" t="s">
        <v>1194</v>
      </c>
      <c r="I223" s="75" t="s">
        <v>1195</v>
      </c>
      <c r="J223" s="74">
        <v>730882000</v>
      </c>
      <c r="K223" s="74" t="s">
        <v>1101</v>
      </c>
      <c r="L223" s="74"/>
      <c r="M223" s="74"/>
      <c r="N223" s="74"/>
      <c r="O223" s="74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</row>
    <row r="224" spans="1:36" ht="12.75">
      <c r="A224" s="165" t="s">
        <v>1196</v>
      </c>
      <c r="B224" s="165"/>
      <c r="C224" s="77" t="s">
        <v>1197</v>
      </c>
      <c r="D224" s="77" t="s">
        <v>1142</v>
      </c>
      <c r="E224" s="78">
        <v>254737463052</v>
      </c>
      <c r="F224" s="3" t="s">
        <v>1198</v>
      </c>
      <c r="G224" s="7"/>
      <c r="H224" s="74" t="s">
        <v>1199</v>
      </c>
      <c r="I224" s="75" t="s">
        <v>237</v>
      </c>
      <c r="J224" s="74" t="s">
        <v>1200</v>
      </c>
      <c r="K224" s="74" t="s">
        <v>1201</v>
      </c>
      <c r="L224" s="74"/>
      <c r="M224" s="74"/>
      <c r="N224" s="74"/>
      <c r="O224" s="74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</row>
    <row r="225" spans="1:36" ht="12.75">
      <c r="A225" s="72" t="s">
        <v>1202</v>
      </c>
      <c r="B225" s="72"/>
      <c r="C225" s="72" t="s">
        <v>1203</v>
      </c>
      <c r="D225" s="72" t="s">
        <v>233</v>
      </c>
      <c r="E225" s="73">
        <v>254793644542</v>
      </c>
      <c r="F225" s="5" t="s">
        <v>1204</v>
      </c>
      <c r="G225" s="7"/>
      <c r="H225" s="74" t="s">
        <v>1205</v>
      </c>
      <c r="I225" s="75" t="s">
        <v>1206</v>
      </c>
      <c r="J225" s="74"/>
      <c r="K225" s="74"/>
      <c r="L225" s="74"/>
      <c r="M225" s="74"/>
      <c r="N225" s="74"/>
      <c r="O225" s="74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</row>
    <row r="226" spans="1:36" ht="12.75">
      <c r="A226" s="77" t="s">
        <v>1207</v>
      </c>
      <c r="B226" s="77"/>
      <c r="C226" s="77" t="s">
        <v>1208</v>
      </c>
      <c r="D226" s="77" t="s">
        <v>1209</v>
      </c>
      <c r="E226" s="78">
        <v>707288967</v>
      </c>
      <c r="F226" s="3" t="s">
        <v>1210</v>
      </c>
      <c r="G226" s="7"/>
      <c r="H226" s="74" t="s">
        <v>1211</v>
      </c>
      <c r="I226" s="75" t="s">
        <v>218</v>
      </c>
      <c r="J226" s="74">
        <v>254726129900</v>
      </c>
      <c r="K226" s="74" t="s">
        <v>1212</v>
      </c>
      <c r="L226" s="74"/>
      <c r="M226" s="74"/>
      <c r="N226" s="74"/>
      <c r="O226" s="74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</row>
    <row r="227" spans="1:36" ht="12.75">
      <c r="A227" s="72" t="s">
        <v>1207</v>
      </c>
      <c r="B227" s="72"/>
      <c r="C227" s="72" t="s">
        <v>1208</v>
      </c>
      <c r="D227" s="83" t="s">
        <v>1209</v>
      </c>
      <c r="E227" s="73">
        <v>707288967</v>
      </c>
      <c r="F227" s="5" t="s">
        <v>1210</v>
      </c>
      <c r="G227" s="7"/>
      <c r="H227" s="74" t="s">
        <v>1213</v>
      </c>
      <c r="I227" s="75" t="s">
        <v>218</v>
      </c>
      <c r="J227" s="74">
        <v>202728348</v>
      </c>
      <c r="K227" s="76"/>
      <c r="L227" s="74"/>
      <c r="M227" s="74"/>
      <c r="N227" s="74"/>
      <c r="O227" s="74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</row>
    <row r="228" spans="1:36" ht="12.75">
      <c r="A228" s="77" t="s">
        <v>1214</v>
      </c>
      <c r="B228" s="77"/>
      <c r="C228" s="77" t="s">
        <v>1215</v>
      </c>
      <c r="D228" s="77" t="s">
        <v>83</v>
      </c>
      <c r="E228" s="78">
        <f>254710852527</f>
        <v>254710852527</v>
      </c>
      <c r="F228" s="3" t="s">
        <v>1216</v>
      </c>
      <c r="G228" s="7"/>
      <c r="H228" s="74" t="s">
        <v>1217</v>
      </c>
      <c r="I228" s="75" t="s">
        <v>1218</v>
      </c>
      <c r="J228" s="74">
        <v>205000000</v>
      </c>
      <c r="K228" s="74" t="s">
        <v>1219</v>
      </c>
      <c r="L228" s="74"/>
      <c r="M228" s="74"/>
      <c r="N228" s="74"/>
      <c r="O228" s="74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</row>
    <row r="229" spans="1:36" ht="12.75">
      <c r="A229" s="72" t="s">
        <v>1220</v>
      </c>
      <c r="B229" s="72"/>
      <c r="C229" s="72" t="s">
        <v>1221</v>
      </c>
      <c r="D229" s="72" t="s">
        <v>1222</v>
      </c>
      <c r="E229" s="73">
        <v>700656463</v>
      </c>
      <c r="F229" s="5" t="s">
        <v>1223</v>
      </c>
      <c r="G229" s="7"/>
      <c r="H229" s="74" t="s">
        <v>1224</v>
      </c>
      <c r="I229" s="75" t="s">
        <v>1225</v>
      </c>
      <c r="J229" s="74">
        <v>746668190</v>
      </c>
      <c r="K229" s="74" t="s">
        <v>1226</v>
      </c>
      <c r="L229" s="74"/>
      <c r="M229" s="74"/>
      <c r="N229" s="74"/>
      <c r="O229" s="74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</row>
    <row r="230" spans="1:36" ht="12.75">
      <c r="A230" s="19" t="s">
        <v>1227</v>
      </c>
      <c r="B230" s="19"/>
      <c r="C230" s="95" t="s">
        <v>206</v>
      </c>
      <c r="D230" s="95" t="s">
        <v>529</v>
      </c>
      <c r="E230" s="111">
        <v>742057152</v>
      </c>
      <c r="F230" s="3" t="s">
        <v>1228</v>
      </c>
      <c r="G230" s="7"/>
      <c r="H230" s="74" t="s">
        <v>1229</v>
      </c>
      <c r="I230" s="75" t="s">
        <v>1230</v>
      </c>
      <c r="J230" s="74">
        <f>254710816305</f>
        <v>254710816305</v>
      </c>
      <c r="K230" s="74" t="s">
        <v>1231</v>
      </c>
      <c r="L230" s="74"/>
      <c r="M230" s="74"/>
      <c r="N230" s="74"/>
      <c r="O230" s="74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</row>
    <row r="231" spans="1:36" ht="12.75">
      <c r="A231" s="72" t="s">
        <v>1232</v>
      </c>
      <c r="B231" s="72"/>
      <c r="C231" s="72" t="s">
        <v>1233</v>
      </c>
      <c r="D231" s="72" t="s">
        <v>1234</v>
      </c>
      <c r="E231" s="73">
        <v>798952035</v>
      </c>
      <c r="F231" s="5" t="s">
        <v>975</v>
      </c>
      <c r="G231" s="7"/>
      <c r="H231" s="76"/>
      <c r="I231" s="84"/>
      <c r="J231" s="76"/>
      <c r="K231" s="76"/>
      <c r="L231" s="74"/>
      <c r="M231" s="74"/>
      <c r="N231" s="74"/>
      <c r="O231" s="74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</row>
    <row r="232" spans="1:36" ht="12.75">
      <c r="A232" s="77" t="s">
        <v>1235</v>
      </c>
      <c r="B232" s="77"/>
      <c r="C232" s="77" t="s">
        <v>1236</v>
      </c>
      <c r="D232" s="77" t="s">
        <v>78</v>
      </c>
      <c r="E232" s="78">
        <v>113105177</v>
      </c>
      <c r="F232" s="3" t="s">
        <v>1237</v>
      </c>
      <c r="G232" s="7"/>
      <c r="H232" s="74" t="s">
        <v>1238</v>
      </c>
      <c r="I232" s="75" t="s">
        <v>1239</v>
      </c>
      <c r="J232" s="74">
        <v>7255559329</v>
      </c>
      <c r="K232" s="74" t="s">
        <v>1240</v>
      </c>
      <c r="L232" s="74"/>
      <c r="M232" s="74"/>
      <c r="N232" s="74"/>
      <c r="O232" s="74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</row>
    <row r="233" spans="1:36" ht="12.75">
      <c r="A233" s="72" t="s">
        <v>1241</v>
      </c>
      <c r="B233" s="72"/>
      <c r="C233" s="72" t="s">
        <v>1242</v>
      </c>
      <c r="D233" s="72" t="s">
        <v>306</v>
      </c>
      <c r="E233" s="73">
        <v>797848559</v>
      </c>
      <c r="F233" s="5" t="s">
        <v>1243</v>
      </c>
      <c r="G233" s="7"/>
      <c r="H233" s="74" t="s">
        <v>1244</v>
      </c>
      <c r="I233" s="75" t="s">
        <v>1245</v>
      </c>
      <c r="J233" s="74" t="s">
        <v>1246</v>
      </c>
      <c r="K233" s="74" t="s">
        <v>1247</v>
      </c>
      <c r="L233" s="74"/>
      <c r="M233" s="74"/>
      <c r="N233" s="74"/>
      <c r="O233" s="74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</row>
    <row r="234" spans="1:36" ht="15">
      <c r="A234" s="152" t="s">
        <v>1248</v>
      </c>
      <c r="B234" s="152"/>
      <c r="C234" s="77" t="s">
        <v>1249</v>
      </c>
      <c r="D234" s="77" t="s">
        <v>78</v>
      </c>
      <c r="E234" s="78">
        <v>758060462</v>
      </c>
      <c r="F234" s="3" t="s">
        <v>1250</v>
      </c>
      <c r="G234" s="7"/>
      <c r="H234" s="74" t="s">
        <v>1251</v>
      </c>
      <c r="I234" s="75" t="s">
        <v>1252</v>
      </c>
      <c r="J234" s="60">
        <v>721520060</v>
      </c>
      <c r="K234" s="60" t="s">
        <v>1253</v>
      </c>
      <c r="L234" s="166"/>
      <c r="M234" s="166"/>
      <c r="N234" s="166"/>
      <c r="O234" s="167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</row>
    <row r="235" spans="1:36" ht="15">
      <c r="A235" s="72" t="s">
        <v>1254</v>
      </c>
      <c r="B235" s="72"/>
      <c r="C235" s="72" t="s">
        <v>1255</v>
      </c>
      <c r="D235" s="72" t="s">
        <v>1038</v>
      </c>
      <c r="E235" s="73">
        <v>707927195</v>
      </c>
      <c r="F235" s="5" t="s">
        <v>1256</v>
      </c>
      <c r="G235" s="1"/>
      <c r="H235" s="60" t="s">
        <v>1257</v>
      </c>
      <c r="I235" s="75" t="s">
        <v>100</v>
      </c>
      <c r="J235" s="60">
        <v>700144953</v>
      </c>
      <c r="K235" s="60" t="s">
        <v>1258</v>
      </c>
      <c r="L235" s="167"/>
      <c r="M235" s="167"/>
      <c r="N235" s="167"/>
      <c r="O235" s="167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</row>
    <row r="236" spans="1:36" ht="12.75">
      <c r="A236" s="77" t="s">
        <v>1259</v>
      </c>
      <c r="B236" s="77"/>
      <c r="C236" s="77" t="s">
        <v>1260</v>
      </c>
      <c r="D236" s="168" t="s">
        <v>1261</v>
      </c>
      <c r="E236" s="78">
        <v>701566448</v>
      </c>
      <c r="F236" s="3" t="s">
        <v>1262</v>
      </c>
      <c r="G236" s="7"/>
      <c r="H236" s="76"/>
      <c r="I236" s="75" t="s">
        <v>1263</v>
      </c>
      <c r="J236" s="76"/>
      <c r="K236" s="76"/>
      <c r="L236" s="74"/>
      <c r="M236" s="74"/>
      <c r="N236" s="74"/>
      <c r="O236" s="74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</row>
    <row r="237" spans="1:36" ht="12.75">
      <c r="A237" s="72" t="s">
        <v>1264</v>
      </c>
      <c r="B237" s="72"/>
      <c r="C237" s="72" t="s">
        <v>1265</v>
      </c>
      <c r="D237" s="72" t="s">
        <v>425</v>
      </c>
      <c r="E237" s="87"/>
      <c r="F237" s="72" t="s">
        <v>1266</v>
      </c>
      <c r="G237" s="74"/>
      <c r="H237" s="74" t="s">
        <v>1267</v>
      </c>
      <c r="I237" s="75" t="s">
        <v>218</v>
      </c>
      <c r="J237" s="74">
        <v>254115800123</v>
      </c>
      <c r="K237" s="76"/>
      <c r="L237" s="74"/>
      <c r="M237" s="74"/>
      <c r="N237" s="74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</row>
    <row r="238" spans="1:36" ht="12.75">
      <c r="A238" s="140" t="s">
        <v>1264</v>
      </c>
      <c r="B238" s="140"/>
      <c r="C238" s="140" t="s">
        <v>1265</v>
      </c>
      <c r="D238" s="140" t="s">
        <v>425</v>
      </c>
      <c r="E238" s="112"/>
      <c r="F238" s="144" t="s">
        <v>1266</v>
      </c>
      <c r="G238" s="169"/>
      <c r="H238" s="76"/>
      <c r="I238" s="109" t="s">
        <v>218</v>
      </c>
      <c r="J238" s="76"/>
      <c r="K238" s="103" t="s">
        <v>1267</v>
      </c>
      <c r="L238" s="74"/>
      <c r="M238" s="74"/>
      <c r="N238" s="74"/>
      <c r="O238" s="74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</row>
    <row r="239" spans="1:36" ht="12.75">
      <c r="A239" s="72" t="s">
        <v>1268</v>
      </c>
      <c r="B239" s="72"/>
      <c r="C239" s="72" t="s">
        <v>1269</v>
      </c>
      <c r="D239" s="72" t="s">
        <v>1270</v>
      </c>
      <c r="E239" s="73">
        <v>718760331</v>
      </c>
      <c r="F239" s="5" t="s">
        <v>1271</v>
      </c>
      <c r="G239" s="7"/>
      <c r="H239" s="74" t="s">
        <v>1272</v>
      </c>
      <c r="I239" s="75" t="s">
        <v>1273</v>
      </c>
      <c r="J239" s="74">
        <v>724253962</v>
      </c>
      <c r="K239" s="74" t="s">
        <v>1274</v>
      </c>
      <c r="L239" s="74"/>
      <c r="M239" s="74"/>
      <c r="N239" s="74"/>
      <c r="O239" s="74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</row>
    <row r="240" spans="1:36" ht="12.75">
      <c r="A240" s="77" t="s">
        <v>1275</v>
      </c>
      <c r="B240" s="77"/>
      <c r="C240" s="77" t="s">
        <v>1276</v>
      </c>
      <c r="D240" s="77" t="s">
        <v>24</v>
      </c>
      <c r="E240" s="78">
        <v>254114460268</v>
      </c>
      <c r="F240" s="3" t="s">
        <v>1277</v>
      </c>
      <c r="G240" s="7"/>
      <c r="H240" s="74" t="s">
        <v>1278</v>
      </c>
      <c r="I240" s="75" t="s">
        <v>983</v>
      </c>
      <c r="J240" s="74">
        <v>254740031031</v>
      </c>
      <c r="K240" s="74" t="s">
        <v>1279</v>
      </c>
      <c r="L240" s="74"/>
      <c r="M240" s="74"/>
      <c r="N240" s="74"/>
      <c r="O240" s="74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</row>
    <row r="241" spans="1:36" ht="12.75">
      <c r="A241" s="72" t="s">
        <v>1280</v>
      </c>
      <c r="B241" s="72"/>
      <c r="C241" s="72" t="s">
        <v>1281</v>
      </c>
      <c r="D241" s="72" t="s">
        <v>1282</v>
      </c>
      <c r="E241" s="73">
        <v>798667360</v>
      </c>
      <c r="F241" s="5" t="s">
        <v>1283</v>
      </c>
      <c r="G241" s="7"/>
      <c r="H241" s="74" t="s">
        <v>1284</v>
      </c>
      <c r="I241" s="75" t="s">
        <v>237</v>
      </c>
      <c r="J241" s="74">
        <v>717503797</v>
      </c>
      <c r="K241" s="74" t="s">
        <v>1285</v>
      </c>
      <c r="L241" s="74"/>
      <c r="M241" s="74"/>
      <c r="N241" s="74"/>
      <c r="O241" s="74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</row>
    <row r="242" spans="1:36" ht="12.75">
      <c r="A242" s="77" t="s">
        <v>1286</v>
      </c>
      <c r="B242" s="77"/>
      <c r="C242" s="77" t="s">
        <v>1287</v>
      </c>
      <c r="D242" s="77" t="s">
        <v>273</v>
      </c>
      <c r="E242" s="77">
        <v>758230357</v>
      </c>
      <c r="F242" s="77" t="s">
        <v>1288</v>
      </c>
      <c r="G242" s="74"/>
      <c r="H242" s="74" t="s">
        <v>1289</v>
      </c>
      <c r="I242" s="75" t="s">
        <v>1290</v>
      </c>
      <c r="J242" s="74">
        <v>700697568</v>
      </c>
      <c r="K242" s="74" t="s">
        <v>1291</v>
      </c>
      <c r="L242" s="74"/>
      <c r="M242" s="74"/>
      <c r="N242" s="74"/>
      <c r="O242" s="74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</row>
    <row r="243" spans="1:36" ht="12.75">
      <c r="A243" s="72" t="s">
        <v>1292</v>
      </c>
      <c r="B243" s="72"/>
      <c r="C243" s="72" t="s">
        <v>1293</v>
      </c>
      <c r="D243" s="72" t="s">
        <v>341</v>
      </c>
      <c r="E243" s="73">
        <v>254757966993</v>
      </c>
      <c r="F243" s="5" t="s">
        <v>1294</v>
      </c>
      <c r="G243" s="7"/>
      <c r="H243" s="74" t="s">
        <v>1295</v>
      </c>
      <c r="I243" s="75" t="s">
        <v>732</v>
      </c>
      <c r="J243" s="74">
        <v>254217550460</v>
      </c>
      <c r="K243" s="74" t="s">
        <v>1296</v>
      </c>
      <c r="L243" s="74"/>
      <c r="M243" s="74"/>
      <c r="N243" s="74"/>
      <c r="O243" s="74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</row>
    <row r="244" spans="1:36" ht="12.75">
      <c r="A244" s="77" t="s">
        <v>1297</v>
      </c>
      <c r="B244" s="77"/>
      <c r="C244" s="77" t="s">
        <v>1298</v>
      </c>
      <c r="D244" s="92" t="s">
        <v>1299</v>
      </c>
      <c r="E244" s="78">
        <v>719255861</v>
      </c>
      <c r="F244" s="3" t="s">
        <v>1300</v>
      </c>
      <c r="G244" s="7"/>
      <c r="H244" s="74" t="s">
        <v>1301</v>
      </c>
      <c r="I244" s="75" t="s">
        <v>1302</v>
      </c>
      <c r="J244" s="74">
        <v>721756811</v>
      </c>
      <c r="K244" s="74" t="s">
        <v>1303</v>
      </c>
      <c r="L244" s="74"/>
      <c r="M244" s="74"/>
      <c r="N244" s="74"/>
      <c r="O244" s="74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</row>
    <row r="245" spans="1:36" ht="12.75">
      <c r="A245" s="72" t="s">
        <v>1304</v>
      </c>
      <c r="B245" s="72"/>
      <c r="C245" s="72" t="s">
        <v>1305</v>
      </c>
      <c r="D245" s="72" t="s">
        <v>62</v>
      </c>
      <c r="E245" s="73">
        <v>769215770</v>
      </c>
      <c r="F245" s="5" t="s">
        <v>1306</v>
      </c>
      <c r="G245" s="7"/>
      <c r="H245" s="74" t="s">
        <v>1307</v>
      </c>
      <c r="I245" s="75" t="s">
        <v>1308</v>
      </c>
      <c r="J245" s="74">
        <v>700649061</v>
      </c>
      <c r="K245" s="74" t="s">
        <v>1309</v>
      </c>
      <c r="L245" s="74"/>
      <c r="M245" s="74"/>
      <c r="N245" s="74"/>
      <c r="O245" s="74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</row>
    <row r="246" spans="1:36" ht="12.75">
      <c r="A246" s="77" t="s">
        <v>1310</v>
      </c>
      <c r="B246" s="77"/>
      <c r="C246" s="77" t="s">
        <v>1311</v>
      </c>
      <c r="D246" s="77" t="s">
        <v>1312</v>
      </c>
      <c r="E246" s="78">
        <v>254705197012</v>
      </c>
      <c r="F246" s="3" t="s">
        <v>1313</v>
      </c>
      <c r="G246" s="7"/>
      <c r="H246" s="74" t="s">
        <v>1314</v>
      </c>
      <c r="I246" s="75" t="s">
        <v>1315</v>
      </c>
      <c r="J246" s="74">
        <v>254723669945</v>
      </c>
      <c r="K246" s="74" t="s">
        <v>1316</v>
      </c>
      <c r="L246" s="74"/>
      <c r="M246" s="74"/>
      <c r="N246" s="74"/>
      <c r="O246" s="74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</row>
    <row r="247" spans="1:36" ht="12.75">
      <c r="A247" s="83" t="s">
        <v>1317</v>
      </c>
      <c r="B247" s="83"/>
      <c r="C247" s="72" t="s">
        <v>1318</v>
      </c>
      <c r="D247" s="72" t="s">
        <v>183</v>
      </c>
      <c r="E247" s="73">
        <v>794566102</v>
      </c>
      <c r="F247" s="5" t="s">
        <v>987</v>
      </c>
      <c r="G247" s="7"/>
      <c r="H247" s="74" t="s">
        <v>988</v>
      </c>
      <c r="I247" s="75" t="s">
        <v>989</v>
      </c>
      <c r="J247" s="74">
        <v>725760657</v>
      </c>
      <c r="K247" s="74" t="s">
        <v>990</v>
      </c>
      <c r="L247" s="74"/>
      <c r="M247" s="74"/>
      <c r="N247" s="74"/>
      <c r="O247" s="74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</row>
    <row r="248" spans="1:36" ht="12.75">
      <c r="A248" s="77" t="s">
        <v>1319</v>
      </c>
      <c r="B248" s="77"/>
      <c r="C248" s="77" t="s">
        <v>1320</v>
      </c>
      <c r="D248" s="77" t="s">
        <v>1222</v>
      </c>
      <c r="E248" s="78">
        <v>743511353</v>
      </c>
      <c r="F248" s="3" t="s">
        <v>1321</v>
      </c>
      <c r="G248" s="7"/>
      <c r="H248" s="74" t="s">
        <v>1322</v>
      </c>
      <c r="I248" s="75" t="s">
        <v>1010</v>
      </c>
      <c r="J248" s="74">
        <v>790984292</v>
      </c>
      <c r="K248" s="60" t="s">
        <v>1011</v>
      </c>
      <c r="L248" s="170"/>
      <c r="M248" s="170"/>
      <c r="N248" s="170"/>
      <c r="O248" s="170"/>
      <c r="P248" s="74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</row>
    <row r="249" spans="1:36" ht="12.75">
      <c r="A249" s="72" t="s">
        <v>1323</v>
      </c>
      <c r="B249" s="72"/>
      <c r="C249" s="72" t="s">
        <v>1324</v>
      </c>
      <c r="D249" s="83" t="s">
        <v>1325</v>
      </c>
      <c r="E249" s="73">
        <v>112810203</v>
      </c>
      <c r="F249" s="5" t="s">
        <v>342</v>
      </c>
      <c r="G249" s="7"/>
      <c r="H249" s="74" t="s">
        <v>355</v>
      </c>
      <c r="I249" s="75" t="s">
        <v>356</v>
      </c>
      <c r="J249" s="74">
        <v>710453693</v>
      </c>
      <c r="K249" s="74" t="s">
        <v>105</v>
      </c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</row>
    <row r="250" spans="1:36" ht="12.75">
      <c r="A250" s="77" t="s">
        <v>1326</v>
      </c>
      <c r="B250" s="77"/>
      <c r="C250" s="77" t="s">
        <v>1327</v>
      </c>
      <c r="D250" s="77" t="s">
        <v>1328</v>
      </c>
      <c r="E250" s="78">
        <v>721763235</v>
      </c>
      <c r="F250" s="3" t="s">
        <v>1329</v>
      </c>
      <c r="G250" s="7"/>
      <c r="H250" s="74" t="s">
        <v>1330</v>
      </c>
      <c r="I250" s="75" t="s">
        <v>1331</v>
      </c>
      <c r="J250" s="74">
        <v>512217987</v>
      </c>
      <c r="K250" s="74" t="s">
        <v>1332</v>
      </c>
      <c r="L250" s="74"/>
      <c r="M250" s="74"/>
      <c r="N250" s="74"/>
      <c r="O250" s="74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</row>
    <row r="251" spans="1:36" ht="12.75">
      <c r="A251" s="72" t="s">
        <v>1333</v>
      </c>
      <c r="B251" s="72"/>
      <c r="C251" s="72" t="s">
        <v>1334</v>
      </c>
      <c r="D251" s="72" t="s">
        <v>880</v>
      </c>
      <c r="E251" s="73">
        <v>797677629</v>
      </c>
      <c r="F251" s="5" t="s">
        <v>342</v>
      </c>
      <c r="G251" s="7"/>
      <c r="H251" s="74" t="s">
        <v>937</v>
      </c>
      <c r="I251" s="75" t="s">
        <v>223</v>
      </c>
      <c r="J251" s="74">
        <v>710453693</v>
      </c>
      <c r="K251" s="74" t="s">
        <v>105</v>
      </c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</row>
    <row r="252" spans="1:36" ht="12.75">
      <c r="A252" s="77" t="s">
        <v>1335</v>
      </c>
      <c r="B252" s="77"/>
      <c r="C252" s="77" t="s">
        <v>1336</v>
      </c>
      <c r="D252" s="77" t="s">
        <v>1337</v>
      </c>
      <c r="E252" s="78">
        <v>796086316</v>
      </c>
      <c r="F252" s="77" t="s">
        <v>1338</v>
      </c>
      <c r="G252" s="74"/>
      <c r="H252" s="74" t="s">
        <v>1339</v>
      </c>
      <c r="I252" s="75" t="s">
        <v>1340</v>
      </c>
      <c r="J252" s="74">
        <v>790984292</v>
      </c>
      <c r="K252" s="74" t="s">
        <v>1341</v>
      </c>
      <c r="L252" s="74"/>
      <c r="M252" s="74"/>
      <c r="N252" s="74"/>
      <c r="O252" s="74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</row>
    <row r="253" spans="1:36" ht="12.75">
      <c r="A253" s="102" t="s">
        <v>1342</v>
      </c>
      <c r="B253" s="102"/>
      <c r="C253" s="102" t="s">
        <v>1343</v>
      </c>
      <c r="D253" s="171" t="s">
        <v>475</v>
      </c>
      <c r="E253" s="87"/>
      <c r="F253" s="102" t="s">
        <v>1344</v>
      </c>
      <c r="G253" s="103"/>
      <c r="H253" s="103" t="s">
        <v>1345</v>
      </c>
      <c r="I253" s="104" t="s">
        <v>218</v>
      </c>
      <c r="J253" s="76"/>
      <c r="K253" s="103" t="s">
        <v>1346</v>
      </c>
      <c r="L253" s="74"/>
      <c r="M253" s="74"/>
      <c r="N253" s="74"/>
      <c r="O253" s="74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</row>
    <row r="254" spans="1:36" ht="12.75">
      <c r="A254" s="140" t="s">
        <v>1342</v>
      </c>
      <c r="B254" s="140"/>
      <c r="C254" s="140" t="s">
        <v>1343</v>
      </c>
      <c r="D254" s="172"/>
      <c r="E254" s="112"/>
      <c r="F254" s="29"/>
      <c r="G254" s="9"/>
      <c r="H254" s="76"/>
      <c r="I254" s="84"/>
      <c r="J254" s="76"/>
      <c r="K254" s="76"/>
      <c r="L254" s="74"/>
      <c r="M254" s="74"/>
      <c r="N254" s="74"/>
      <c r="O254" s="74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</row>
    <row r="255" spans="1:36" ht="12.75">
      <c r="A255" s="72" t="s">
        <v>1347</v>
      </c>
      <c r="B255" s="72"/>
      <c r="C255" s="72" t="s">
        <v>1348</v>
      </c>
      <c r="D255" s="72" t="s">
        <v>1349</v>
      </c>
      <c r="E255" s="73">
        <v>713734602</v>
      </c>
      <c r="F255" s="5" t="s">
        <v>1350</v>
      </c>
      <c r="G255" s="7"/>
      <c r="H255" s="74" t="s">
        <v>1351</v>
      </c>
      <c r="I255" s="75" t="s">
        <v>726</v>
      </c>
      <c r="J255" s="74">
        <v>254704896831</v>
      </c>
      <c r="K255" s="173" t="s">
        <v>1352</v>
      </c>
      <c r="L255" s="74"/>
      <c r="M255" s="74"/>
      <c r="N255" s="74"/>
      <c r="O255" s="74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</row>
    <row r="256" spans="1:36" ht="12.75">
      <c r="A256" s="77" t="s">
        <v>1353</v>
      </c>
      <c r="B256" s="77"/>
      <c r="C256" s="77" t="s">
        <v>1354</v>
      </c>
      <c r="D256" s="77" t="s">
        <v>1355</v>
      </c>
      <c r="E256" s="78">
        <v>110074823</v>
      </c>
      <c r="F256" s="3" t="s">
        <v>79</v>
      </c>
      <c r="G256" s="7"/>
      <c r="H256" s="74" t="s">
        <v>1356</v>
      </c>
      <c r="I256" s="75" t="s">
        <v>1357</v>
      </c>
      <c r="J256" s="74">
        <v>737409471</v>
      </c>
      <c r="K256" s="74" t="s">
        <v>1101</v>
      </c>
      <c r="L256" s="74"/>
      <c r="M256" s="74"/>
      <c r="N256" s="74"/>
      <c r="O256" s="74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</row>
    <row r="257" spans="1:36" ht="12.75">
      <c r="A257" s="72" t="s">
        <v>1358</v>
      </c>
      <c r="B257" s="72"/>
      <c r="C257" s="72" t="s">
        <v>1359</v>
      </c>
      <c r="D257" s="72" t="s">
        <v>1360</v>
      </c>
      <c r="E257" s="73">
        <v>791858089</v>
      </c>
      <c r="F257" s="5" t="s">
        <v>1361</v>
      </c>
      <c r="G257" s="7"/>
      <c r="H257" s="74" t="s">
        <v>1362</v>
      </c>
      <c r="I257" s="75" t="s">
        <v>1363</v>
      </c>
      <c r="J257" s="74">
        <v>725393939</v>
      </c>
      <c r="K257" s="60" t="s">
        <v>1364</v>
      </c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</row>
    <row r="258" spans="1:36" ht="12.75">
      <c r="A258" s="77" t="s">
        <v>1365</v>
      </c>
      <c r="B258" s="77"/>
      <c r="C258" s="77" t="s">
        <v>1366</v>
      </c>
      <c r="D258" s="77" t="s">
        <v>1328</v>
      </c>
      <c r="E258" s="78">
        <v>711639421</v>
      </c>
      <c r="F258" s="3" t="s">
        <v>1367</v>
      </c>
      <c r="G258" s="7"/>
      <c r="H258" s="74" t="s">
        <v>1368</v>
      </c>
      <c r="I258" s="75" t="s">
        <v>1369</v>
      </c>
      <c r="J258" s="74">
        <v>702243217</v>
      </c>
      <c r="K258" s="74" t="s">
        <v>1370</v>
      </c>
      <c r="L258" s="74"/>
      <c r="M258" s="74"/>
      <c r="N258" s="74"/>
      <c r="O258" s="74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</row>
    <row r="259" spans="1:36" ht="12.75">
      <c r="A259" s="72" t="s">
        <v>1371</v>
      </c>
      <c r="B259" s="72"/>
      <c r="C259" s="72" t="s">
        <v>1372</v>
      </c>
      <c r="D259" s="72" t="s">
        <v>227</v>
      </c>
      <c r="E259" s="73">
        <v>716292448</v>
      </c>
      <c r="F259" s="5" t="s">
        <v>1373</v>
      </c>
      <c r="G259" s="7"/>
      <c r="H259" s="76"/>
      <c r="I259" s="84"/>
      <c r="J259" s="76"/>
      <c r="K259" s="76"/>
      <c r="L259" s="74"/>
      <c r="M259" s="74"/>
      <c r="N259" s="74"/>
      <c r="O259" s="74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</row>
    <row r="260" spans="1:36" ht="12.75">
      <c r="A260" s="77" t="s">
        <v>1374</v>
      </c>
      <c r="B260" s="77"/>
      <c r="C260" s="77" t="s">
        <v>1375</v>
      </c>
      <c r="D260" s="77" t="s">
        <v>1376</v>
      </c>
      <c r="E260" s="78">
        <v>792422561</v>
      </c>
      <c r="F260" s="3" t="s">
        <v>1377</v>
      </c>
      <c r="G260" s="7"/>
      <c r="H260" s="76"/>
      <c r="I260" s="84"/>
      <c r="J260" s="76"/>
      <c r="K260" s="76"/>
      <c r="L260" s="74"/>
      <c r="M260" s="74"/>
      <c r="N260" s="74"/>
      <c r="O260" s="74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</row>
    <row r="261" spans="1:36" ht="18">
      <c r="A261" s="72" t="s">
        <v>1378</v>
      </c>
      <c r="B261" s="72"/>
      <c r="C261" s="72" t="s">
        <v>1379</v>
      </c>
      <c r="D261" s="72" t="s">
        <v>475</v>
      </c>
      <c r="E261" s="73">
        <v>743367267</v>
      </c>
      <c r="F261" s="5" t="s">
        <v>1380</v>
      </c>
      <c r="G261" s="7"/>
      <c r="H261" s="74" t="s">
        <v>1381</v>
      </c>
      <c r="I261" s="75" t="s">
        <v>1382</v>
      </c>
      <c r="J261" s="74">
        <v>723583259</v>
      </c>
      <c r="K261" s="174" t="s">
        <v>224</v>
      </c>
      <c r="L261" s="74"/>
      <c r="M261" s="74"/>
      <c r="N261" s="74"/>
      <c r="O261" s="74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</row>
    <row r="262" spans="1:36" ht="12.75">
      <c r="A262" s="77" t="s">
        <v>1383</v>
      </c>
      <c r="B262" s="77"/>
      <c r="C262" s="77" t="s">
        <v>1384</v>
      </c>
      <c r="D262" s="77" t="s">
        <v>1385</v>
      </c>
      <c r="E262" s="78">
        <v>746565579</v>
      </c>
      <c r="F262" s="3" t="s">
        <v>1386</v>
      </c>
      <c r="G262" s="7"/>
      <c r="H262" s="74" t="s">
        <v>1387</v>
      </c>
      <c r="I262" s="75" t="s">
        <v>1245</v>
      </c>
      <c r="J262" s="74">
        <v>790984292</v>
      </c>
      <c r="K262" s="74" t="s">
        <v>1388</v>
      </c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</row>
    <row r="263" spans="1:36" ht="12.75">
      <c r="A263" s="72" t="s">
        <v>1389</v>
      </c>
      <c r="B263" s="72"/>
      <c r="C263" s="72" t="s">
        <v>1390</v>
      </c>
      <c r="D263" s="72" t="s">
        <v>974</v>
      </c>
      <c r="E263" s="73">
        <v>714196401</v>
      </c>
      <c r="F263" s="5" t="s">
        <v>1391</v>
      </c>
      <c r="G263" s="7"/>
      <c r="H263" s="74" t="s">
        <v>1392</v>
      </c>
      <c r="I263" s="75" t="s">
        <v>269</v>
      </c>
      <c r="J263" s="76"/>
      <c r="K263" s="76"/>
      <c r="L263" s="74"/>
      <c r="M263" s="74"/>
      <c r="N263" s="74"/>
      <c r="O263" s="74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</row>
    <row r="264" spans="1:36" ht="12.75">
      <c r="A264" s="77" t="s">
        <v>1393</v>
      </c>
      <c r="B264" s="77"/>
      <c r="C264" s="77" t="s">
        <v>1394</v>
      </c>
      <c r="D264" s="77" t="s">
        <v>891</v>
      </c>
      <c r="E264" s="78">
        <v>254742200714</v>
      </c>
      <c r="F264" s="3" t="s">
        <v>1395</v>
      </c>
      <c r="G264" s="7"/>
      <c r="H264" s="74" t="s">
        <v>1396</v>
      </c>
      <c r="I264" s="75" t="s">
        <v>186</v>
      </c>
      <c r="J264" s="74">
        <v>254723764424</v>
      </c>
      <c r="K264" s="74" t="s">
        <v>1397</v>
      </c>
      <c r="L264" s="74"/>
      <c r="M264" s="74"/>
      <c r="N264" s="74"/>
      <c r="O264" s="74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</row>
    <row r="265" spans="1:36" ht="12.75">
      <c r="A265" s="72" t="s">
        <v>1398</v>
      </c>
      <c r="B265" s="72"/>
      <c r="C265" s="72" t="s">
        <v>1399</v>
      </c>
      <c r="D265" s="72" t="s">
        <v>430</v>
      </c>
      <c r="E265" s="73">
        <v>254725978947</v>
      </c>
      <c r="F265" s="5" t="s">
        <v>98</v>
      </c>
      <c r="G265" s="7"/>
      <c r="H265" s="74" t="s">
        <v>99</v>
      </c>
      <c r="I265" s="75" t="s">
        <v>100</v>
      </c>
      <c r="J265" s="74">
        <v>25458722020</v>
      </c>
      <c r="K265" s="74" t="s">
        <v>101</v>
      </c>
      <c r="L265" s="74"/>
      <c r="M265" s="74"/>
      <c r="N265" s="74"/>
      <c r="O265" s="74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</row>
    <row r="266" spans="1:36" ht="16.5">
      <c r="A266" s="77" t="s">
        <v>1400</v>
      </c>
      <c r="B266" s="77"/>
      <c r="C266" s="77" t="s">
        <v>1401</v>
      </c>
      <c r="D266" s="175" t="s">
        <v>1234</v>
      </c>
      <c r="E266" s="78">
        <v>254704828328</v>
      </c>
      <c r="F266" s="16" t="s">
        <v>1402</v>
      </c>
      <c r="G266" s="16"/>
      <c r="H266" s="74" t="s">
        <v>1403</v>
      </c>
      <c r="I266" s="75" t="s">
        <v>193</v>
      </c>
      <c r="J266" s="38">
        <v>5320160000</v>
      </c>
      <c r="K266" s="38" t="s">
        <v>1404</v>
      </c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</row>
    <row r="267" spans="1:36" ht="14.25">
      <c r="A267" s="102" t="s">
        <v>1405</v>
      </c>
      <c r="B267" s="102"/>
      <c r="C267" s="176" t="s">
        <v>1406</v>
      </c>
      <c r="D267" s="72" t="s">
        <v>1407</v>
      </c>
      <c r="E267" s="73">
        <v>111230353</v>
      </c>
      <c r="F267" s="72" t="s">
        <v>1408</v>
      </c>
      <c r="G267" s="74"/>
      <c r="H267" s="74" t="s">
        <v>1409</v>
      </c>
      <c r="I267" s="75" t="s">
        <v>1410</v>
      </c>
      <c r="J267" s="177" t="s">
        <v>1411</v>
      </c>
      <c r="K267" s="60" t="s">
        <v>1412</v>
      </c>
      <c r="L267" s="170"/>
      <c r="M267" s="170"/>
      <c r="N267" s="170"/>
      <c r="O267" s="170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</row>
    <row r="268" spans="1:36" ht="12.75">
      <c r="A268" s="77" t="s">
        <v>1413</v>
      </c>
      <c r="B268" s="77"/>
      <c r="C268" s="77" t="s">
        <v>1414</v>
      </c>
      <c r="D268" s="77" t="s">
        <v>1415</v>
      </c>
      <c r="E268" s="78">
        <v>254769884890</v>
      </c>
      <c r="F268" s="3" t="s">
        <v>1416</v>
      </c>
      <c r="G268" s="7"/>
      <c r="H268" s="74" t="s">
        <v>1417</v>
      </c>
      <c r="I268" s="75" t="s">
        <v>237</v>
      </c>
      <c r="J268" s="74">
        <v>732514883</v>
      </c>
      <c r="K268" s="60" t="s">
        <v>1418</v>
      </c>
      <c r="L268" s="170"/>
      <c r="M268" s="170"/>
      <c r="N268" s="170"/>
      <c r="O268" s="170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</row>
    <row r="269" spans="1:36" ht="12.75">
      <c r="A269" s="72" t="s">
        <v>1419</v>
      </c>
      <c r="B269" s="72"/>
      <c r="C269" s="72" t="s">
        <v>1420</v>
      </c>
      <c r="D269" s="72" t="s">
        <v>1421</v>
      </c>
      <c r="E269" s="73">
        <v>799861595</v>
      </c>
      <c r="F269" s="73" t="s">
        <v>1422</v>
      </c>
      <c r="G269" s="146"/>
      <c r="H269" s="74" t="s">
        <v>1423</v>
      </c>
      <c r="I269" s="75" t="s">
        <v>269</v>
      </c>
      <c r="J269" s="74">
        <v>725624489</v>
      </c>
      <c r="K269" s="74" t="s">
        <v>1424</v>
      </c>
      <c r="L269" s="74"/>
      <c r="M269" s="74"/>
      <c r="N269" s="74"/>
      <c r="O269" s="74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</row>
    <row r="270" spans="1:36" ht="12.75">
      <c r="A270" s="77" t="s">
        <v>1425</v>
      </c>
      <c r="B270" s="77"/>
      <c r="C270" s="77" t="s">
        <v>1426</v>
      </c>
      <c r="D270" s="77" t="s">
        <v>301</v>
      </c>
      <c r="E270" s="78">
        <v>791334536</v>
      </c>
      <c r="F270" s="3" t="s">
        <v>1427</v>
      </c>
      <c r="G270" s="7"/>
      <c r="H270" s="74" t="s">
        <v>1428</v>
      </c>
      <c r="I270" s="75" t="s">
        <v>1429</v>
      </c>
      <c r="J270" s="111">
        <v>739465082</v>
      </c>
      <c r="K270" s="74" t="s">
        <v>1430</v>
      </c>
      <c r="L270" s="74"/>
      <c r="M270" s="74"/>
      <c r="N270" s="74"/>
      <c r="O270" s="74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</row>
    <row r="271" spans="1:36" ht="12.75">
      <c r="A271" s="72" t="s">
        <v>1431</v>
      </c>
      <c r="B271" s="72"/>
      <c r="C271" s="72" t="s">
        <v>1432</v>
      </c>
      <c r="D271" s="72" t="s">
        <v>1433</v>
      </c>
      <c r="E271" s="73">
        <v>702780880</v>
      </c>
      <c r="F271" s="5" t="s">
        <v>1434</v>
      </c>
      <c r="G271" s="7"/>
      <c r="H271" s="74" t="s">
        <v>1133</v>
      </c>
      <c r="I271" s="75" t="s">
        <v>223</v>
      </c>
      <c r="J271" s="74">
        <v>7202582237</v>
      </c>
      <c r="K271" s="74" t="s">
        <v>180</v>
      </c>
      <c r="L271" s="74"/>
      <c r="M271" s="74"/>
      <c r="N271" s="74"/>
      <c r="O271" s="74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</row>
    <row r="272" spans="1:36" ht="12.75">
      <c r="A272" s="3" t="s">
        <v>1435</v>
      </c>
      <c r="B272" s="3"/>
      <c r="C272" s="77" t="s">
        <v>1436</v>
      </c>
      <c r="D272" s="77" t="s">
        <v>1116</v>
      </c>
      <c r="E272" s="78" t="s">
        <v>1437</v>
      </c>
      <c r="F272" s="3" t="s">
        <v>1438</v>
      </c>
      <c r="G272" s="7"/>
      <c r="H272" s="76"/>
      <c r="I272" s="84"/>
      <c r="J272" s="76"/>
      <c r="K272" s="76"/>
      <c r="L272" s="74"/>
      <c r="M272" s="74"/>
      <c r="N272" s="74"/>
      <c r="O272" s="74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</row>
    <row r="273" spans="1:36" ht="12.75">
      <c r="A273" s="72" t="s">
        <v>1439</v>
      </c>
      <c r="B273" s="72"/>
      <c r="C273" s="72" t="s">
        <v>1440</v>
      </c>
      <c r="D273" s="72" t="s">
        <v>1441</v>
      </c>
      <c r="E273" s="73">
        <v>751216065</v>
      </c>
      <c r="F273" s="5" t="s">
        <v>1442</v>
      </c>
      <c r="G273" s="7"/>
      <c r="H273" s="74" t="s">
        <v>1443</v>
      </c>
      <c r="I273" s="75" t="s">
        <v>1444</v>
      </c>
      <c r="J273" s="74">
        <v>798985151</v>
      </c>
      <c r="K273" s="74" t="s">
        <v>1445</v>
      </c>
      <c r="L273" s="74"/>
      <c r="M273" s="74"/>
      <c r="N273" s="74"/>
      <c r="O273" s="74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</row>
    <row r="274" spans="1:36" ht="12.75">
      <c r="A274" s="77" t="s">
        <v>1446</v>
      </c>
      <c r="B274" s="77"/>
      <c r="C274" s="77" t="s">
        <v>1447</v>
      </c>
      <c r="D274" s="77" t="s">
        <v>1448</v>
      </c>
      <c r="E274" s="78">
        <v>797393814</v>
      </c>
      <c r="F274" s="3" t="s">
        <v>1449</v>
      </c>
      <c r="G274" s="7"/>
      <c r="H274" s="74" t="s">
        <v>1450</v>
      </c>
      <c r="I274" s="75" t="s">
        <v>1451</v>
      </c>
      <c r="J274" s="74">
        <v>757702813</v>
      </c>
      <c r="K274" s="74" t="s">
        <v>1452</v>
      </c>
      <c r="L274" s="74"/>
      <c r="M274" s="74"/>
      <c r="N274" s="74"/>
      <c r="O274" s="74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</row>
    <row r="275" spans="1:36" ht="12.75">
      <c r="A275" s="72" t="s">
        <v>1453</v>
      </c>
      <c r="B275" s="72"/>
      <c r="C275" s="72" t="s">
        <v>1454</v>
      </c>
      <c r="D275" s="72" t="s">
        <v>1222</v>
      </c>
      <c r="E275" s="73">
        <v>748613453</v>
      </c>
      <c r="F275" s="5" t="s">
        <v>1321</v>
      </c>
      <c r="G275" s="7"/>
      <c r="H275" s="74" t="s">
        <v>1455</v>
      </c>
      <c r="I275" s="75" t="s">
        <v>1010</v>
      </c>
      <c r="J275" s="74">
        <v>790984292</v>
      </c>
      <c r="K275" s="74" t="s">
        <v>1011</v>
      </c>
      <c r="L275" s="74"/>
      <c r="M275" s="74"/>
      <c r="N275" s="74"/>
      <c r="O275" s="74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</row>
    <row r="276" spans="1:36" ht="12.75">
      <c r="A276" s="77" t="s">
        <v>1456</v>
      </c>
      <c r="B276" s="77"/>
      <c r="C276" s="77" t="s">
        <v>1457</v>
      </c>
      <c r="D276" s="77" t="s">
        <v>1458</v>
      </c>
      <c r="E276" s="78">
        <v>115350710</v>
      </c>
      <c r="F276" s="3" t="s">
        <v>1459</v>
      </c>
      <c r="G276" s="7"/>
      <c r="H276" s="74" t="s">
        <v>1460</v>
      </c>
      <c r="I276" s="75" t="s">
        <v>1461</v>
      </c>
      <c r="J276" s="74">
        <v>721327905</v>
      </c>
      <c r="K276" s="74" t="s">
        <v>1462</v>
      </c>
      <c r="L276" s="74"/>
      <c r="M276" s="74"/>
      <c r="N276" s="74"/>
      <c r="O276" s="74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</row>
    <row r="277" spans="1:36" ht="12.75">
      <c r="A277" s="72" t="s">
        <v>1463</v>
      </c>
      <c r="B277" s="72"/>
      <c r="C277" s="72" t="s">
        <v>1464</v>
      </c>
      <c r="D277" s="72" t="s">
        <v>1465</v>
      </c>
      <c r="E277" s="73">
        <v>796716038</v>
      </c>
      <c r="F277" s="57" t="s">
        <v>1466</v>
      </c>
      <c r="G277" s="39"/>
      <c r="H277" s="178" t="s">
        <v>1467</v>
      </c>
      <c r="I277" s="179" t="s">
        <v>1468</v>
      </c>
      <c r="J277" s="178">
        <v>711716757</v>
      </c>
      <c r="K277" s="74" t="s">
        <v>1469</v>
      </c>
      <c r="L277" s="74"/>
      <c r="M277" s="74"/>
      <c r="N277" s="74"/>
      <c r="O277" s="74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</row>
    <row r="278" spans="1:36" ht="15">
      <c r="A278" s="77" t="s">
        <v>1470</v>
      </c>
      <c r="B278" s="77"/>
      <c r="C278" s="77" t="s">
        <v>1471</v>
      </c>
      <c r="D278" s="77" t="s">
        <v>170</v>
      </c>
      <c r="E278" s="180">
        <v>707071440</v>
      </c>
      <c r="F278" s="43" t="s">
        <v>1107</v>
      </c>
      <c r="G278" s="41"/>
      <c r="H278" s="181" t="s">
        <v>355</v>
      </c>
      <c r="I278" s="182" t="s">
        <v>1472</v>
      </c>
      <c r="J278" s="183">
        <v>710453693</v>
      </c>
      <c r="K278" s="127" t="s">
        <v>105</v>
      </c>
      <c r="L278" s="127"/>
      <c r="M278" s="127"/>
      <c r="N278" s="127"/>
      <c r="O278" s="184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</row>
    <row r="279" spans="1:36" ht="12.75">
      <c r="A279" s="164" t="s">
        <v>1473</v>
      </c>
      <c r="B279" s="164"/>
      <c r="C279" s="83" t="s">
        <v>1474</v>
      </c>
      <c r="D279" s="83" t="s">
        <v>1312</v>
      </c>
      <c r="E279" s="93">
        <f>254718569004</f>
        <v>254718569004</v>
      </c>
      <c r="F279" s="40" t="s">
        <v>1313</v>
      </c>
      <c r="G279" s="41"/>
      <c r="H279" s="181" t="s">
        <v>1314</v>
      </c>
      <c r="I279" s="182" t="s">
        <v>1315</v>
      </c>
      <c r="J279" s="185">
        <f>254723669945</f>
        <v>254723669945</v>
      </c>
      <c r="K279" s="127" t="s">
        <v>1316</v>
      </c>
      <c r="L279" s="127"/>
      <c r="M279" s="127"/>
      <c r="N279" s="127"/>
      <c r="O279" s="127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</row>
    <row r="280" spans="1:36" ht="12.75">
      <c r="A280" s="92" t="s">
        <v>1475</v>
      </c>
      <c r="B280" s="92"/>
      <c r="C280" s="92" t="s">
        <v>1476</v>
      </c>
      <c r="D280" s="92" t="s">
        <v>1477</v>
      </c>
      <c r="E280" s="92">
        <v>792959297</v>
      </c>
      <c r="F280" s="186" t="s">
        <v>1478</v>
      </c>
      <c r="G280" s="187"/>
      <c r="H280" s="187" t="s">
        <v>1479</v>
      </c>
      <c r="I280" s="188" t="s">
        <v>218</v>
      </c>
      <c r="J280" s="187">
        <v>715525242</v>
      </c>
      <c r="K280" s="74" t="s">
        <v>1480</v>
      </c>
      <c r="L280" s="74"/>
      <c r="M280" s="74"/>
      <c r="N280" s="74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</row>
    <row r="281" spans="1:36" ht="12.75">
      <c r="A281" s="102" t="s">
        <v>1475</v>
      </c>
      <c r="B281" s="102"/>
      <c r="C281" s="102" t="s">
        <v>1476</v>
      </c>
      <c r="D281" s="102" t="s">
        <v>1476</v>
      </c>
      <c r="E281" s="87"/>
      <c r="F281" s="102" t="s">
        <v>1478</v>
      </c>
      <c r="G281" s="103"/>
      <c r="H281" s="103" t="s">
        <v>1481</v>
      </c>
      <c r="I281" s="104" t="s">
        <v>218</v>
      </c>
      <c r="J281" s="105">
        <f>254715525242</f>
        <v>254715525242</v>
      </c>
      <c r="K281" s="103" t="s">
        <v>1480</v>
      </c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</row>
    <row r="282" spans="1:36" ht="12.75">
      <c r="A282" s="77" t="s">
        <v>1482</v>
      </c>
      <c r="B282" s="77"/>
      <c r="C282" s="77" t="s">
        <v>1483</v>
      </c>
      <c r="D282" s="77" t="s">
        <v>1484</v>
      </c>
      <c r="E282" s="78">
        <v>700314150</v>
      </c>
      <c r="F282" s="47" t="s">
        <v>1485</v>
      </c>
      <c r="G282" s="37"/>
      <c r="H282" s="76"/>
      <c r="I282" s="84"/>
      <c r="J282" s="76"/>
      <c r="K282" s="76"/>
      <c r="L282" s="74"/>
      <c r="M282" s="74"/>
      <c r="N282" s="74"/>
      <c r="O282" s="74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</row>
    <row r="283" spans="1:36" ht="12.75">
      <c r="A283" s="131" t="s">
        <v>1486</v>
      </c>
      <c r="B283" s="131"/>
      <c r="C283" s="131" t="s">
        <v>1487</v>
      </c>
      <c r="D283" s="131" t="s">
        <v>1488</v>
      </c>
      <c r="E283" s="73">
        <v>794424486</v>
      </c>
      <c r="F283" s="32" t="s">
        <v>1489</v>
      </c>
      <c r="G283" s="21"/>
      <c r="H283" s="120" t="s">
        <v>1490</v>
      </c>
      <c r="I283" s="136" t="s">
        <v>1491</v>
      </c>
      <c r="J283" s="120">
        <v>720938233</v>
      </c>
      <c r="K283" s="120" t="s">
        <v>1492</v>
      </c>
      <c r="L283" s="74"/>
      <c r="M283" s="74"/>
      <c r="N283" s="74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</row>
    <row r="284" spans="1:36" ht="12.75">
      <c r="A284" s="77" t="s">
        <v>1493</v>
      </c>
      <c r="B284" s="77"/>
      <c r="C284" s="77" t="s">
        <v>1494</v>
      </c>
      <c r="D284" s="77" t="s">
        <v>1495</v>
      </c>
      <c r="E284" s="78">
        <v>758463314</v>
      </c>
      <c r="F284" s="3" t="s">
        <v>1496</v>
      </c>
      <c r="G284" s="7"/>
      <c r="H284" s="74" t="s">
        <v>1497</v>
      </c>
      <c r="I284" s="75" t="s">
        <v>1498</v>
      </c>
      <c r="J284" s="74">
        <v>798753337</v>
      </c>
      <c r="K284" s="74" t="s">
        <v>1499</v>
      </c>
      <c r="L284" s="74"/>
      <c r="M284" s="74"/>
      <c r="N284" s="74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</row>
    <row r="285" spans="1:36" ht="12.75">
      <c r="A285" s="72" t="s">
        <v>1500</v>
      </c>
      <c r="B285" s="72"/>
      <c r="C285" s="72" t="s">
        <v>1501</v>
      </c>
      <c r="D285" s="72" t="s">
        <v>1502</v>
      </c>
      <c r="E285" s="73" t="s">
        <v>1503</v>
      </c>
      <c r="F285" s="5" t="s">
        <v>1504</v>
      </c>
      <c r="G285" s="7"/>
      <c r="H285" s="74" t="s">
        <v>1505</v>
      </c>
      <c r="I285" s="75" t="s">
        <v>1506</v>
      </c>
      <c r="J285" s="74" t="s">
        <v>1507</v>
      </c>
      <c r="K285" s="74" t="s">
        <v>1508</v>
      </c>
      <c r="L285" s="74"/>
      <c r="M285" s="74"/>
      <c r="N285" s="74"/>
      <c r="O285" s="74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</row>
    <row r="286" spans="1:36" ht="12.75">
      <c r="A286" s="140" t="s">
        <v>1509</v>
      </c>
      <c r="B286" s="140"/>
      <c r="C286" s="140" t="s">
        <v>1510</v>
      </c>
      <c r="D286" s="140" t="s">
        <v>1510</v>
      </c>
      <c r="E286" s="112"/>
      <c r="F286" s="140" t="s">
        <v>902</v>
      </c>
      <c r="G286" s="103"/>
      <c r="H286" s="103" t="s">
        <v>903</v>
      </c>
      <c r="I286" s="104" t="s">
        <v>59</v>
      </c>
      <c r="J286" s="105">
        <v>797786295</v>
      </c>
      <c r="K286" s="103" t="s">
        <v>904</v>
      </c>
      <c r="L286" s="74"/>
      <c r="M286" s="74"/>
      <c r="N286" s="74"/>
      <c r="O286" s="74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</row>
    <row r="287" spans="1:36" ht="12.75">
      <c r="A287" s="72" t="s">
        <v>1511</v>
      </c>
      <c r="B287" s="72"/>
      <c r="C287" s="72" t="s">
        <v>1512</v>
      </c>
      <c r="D287" s="72" t="s">
        <v>279</v>
      </c>
      <c r="E287" s="73" t="s">
        <v>1513</v>
      </c>
      <c r="F287" s="5" t="s">
        <v>1514</v>
      </c>
      <c r="G287" s="7"/>
      <c r="H287" s="74" t="s">
        <v>1515</v>
      </c>
      <c r="I287" s="75" t="s">
        <v>59</v>
      </c>
      <c r="J287" s="74" t="s">
        <v>1516</v>
      </c>
      <c r="K287" s="74" t="s">
        <v>1517</v>
      </c>
      <c r="L287" s="74"/>
      <c r="M287" s="74"/>
      <c r="N287" s="74"/>
      <c r="O287" s="74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</row>
    <row r="288" spans="1:36" ht="12.75">
      <c r="A288" s="77" t="s">
        <v>1518</v>
      </c>
      <c r="B288" s="77"/>
      <c r="C288" s="77" t="s">
        <v>1519</v>
      </c>
      <c r="D288" s="77" t="s">
        <v>373</v>
      </c>
      <c r="E288" s="78">
        <v>714053850</v>
      </c>
      <c r="F288" s="3" t="s">
        <v>342</v>
      </c>
      <c r="G288" s="7"/>
      <c r="H288" s="74" t="s">
        <v>343</v>
      </c>
      <c r="I288" s="75" t="s">
        <v>356</v>
      </c>
      <c r="J288" s="74">
        <v>714053850</v>
      </c>
      <c r="K288" s="74"/>
      <c r="L288" s="74"/>
      <c r="M288" s="74"/>
      <c r="N288" s="74"/>
      <c r="O288" s="74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</row>
    <row r="289" spans="1:36" ht="12.75">
      <c r="A289" s="72" t="s">
        <v>1520</v>
      </c>
      <c r="B289" s="72"/>
      <c r="C289" s="72" t="s">
        <v>1521</v>
      </c>
      <c r="D289" s="72" t="s">
        <v>1522</v>
      </c>
      <c r="E289" s="73">
        <v>758488543</v>
      </c>
      <c r="F289" s="5" t="s">
        <v>1523</v>
      </c>
      <c r="G289" s="7"/>
      <c r="H289" s="74" t="s">
        <v>1524</v>
      </c>
      <c r="I289" s="75" t="s">
        <v>1525</v>
      </c>
      <c r="J289" s="74">
        <v>722478289</v>
      </c>
      <c r="K289" s="74" t="s">
        <v>1526</v>
      </c>
      <c r="L289" s="74"/>
      <c r="M289" s="74"/>
      <c r="N289" s="74"/>
      <c r="O289" s="74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</row>
    <row r="290" spans="1:36" ht="12.75">
      <c r="A290" s="77" t="s">
        <v>1527</v>
      </c>
      <c r="B290" s="77"/>
      <c r="C290" s="77" t="s">
        <v>1528</v>
      </c>
      <c r="D290" s="77" t="s">
        <v>1529</v>
      </c>
      <c r="E290" s="78">
        <v>254796510872</v>
      </c>
      <c r="F290" s="3" t="s">
        <v>1530</v>
      </c>
      <c r="G290" s="7"/>
      <c r="H290" s="74" t="s">
        <v>1531</v>
      </c>
      <c r="I290" s="75" t="s">
        <v>1225</v>
      </c>
      <c r="J290" s="60" t="s">
        <v>1532</v>
      </c>
      <c r="K290" s="74" t="s">
        <v>1533</v>
      </c>
      <c r="L290" s="74"/>
      <c r="M290" s="74"/>
      <c r="N290" s="74"/>
      <c r="O290" s="74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</row>
    <row r="291" spans="1:36" ht="12.75">
      <c r="A291" s="72" t="s">
        <v>1534</v>
      </c>
      <c r="B291" s="72"/>
      <c r="C291" s="72" t="s">
        <v>1535</v>
      </c>
      <c r="D291" s="72" t="s">
        <v>951</v>
      </c>
      <c r="E291" s="73">
        <v>748200233</v>
      </c>
      <c r="F291" s="5" t="s">
        <v>1107</v>
      </c>
      <c r="G291" s="7"/>
      <c r="H291" s="74" t="s">
        <v>355</v>
      </c>
      <c r="I291" s="75" t="s">
        <v>223</v>
      </c>
      <c r="J291" s="74" t="s">
        <v>344</v>
      </c>
      <c r="K291" s="74" t="s">
        <v>105</v>
      </c>
      <c r="L291" s="74"/>
      <c r="M291" s="74"/>
      <c r="N291" s="74"/>
      <c r="O291" s="74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</row>
    <row r="292" spans="1:36" ht="12.75">
      <c r="A292" s="77" t="s">
        <v>1534</v>
      </c>
      <c r="B292" s="77"/>
      <c r="C292" s="77" t="s">
        <v>1536</v>
      </c>
      <c r="D292" s="77" t="s">
        <v>951</v>
      </c>
      <c r="E292" s="78">
        <v>254768344411</v>
      </c>
      <c r="F292" s="3" t="s">
        <v>1537</v>
      </c>
      <c r="G292" s="7"/>
      <c r="H292" s="74" t="s">
        <v>1538</v>
      </c>
      <c r="I292" s="75" t="s">
        <v>1539</v>
      </c>
      <c r="J292" s="74">
        <v>704489982</v>
      </c>
      <c r="K292" s="74" t="s">
        <v>1540</v>
      </c>
      <c r="L292" s="74"/>
      <c r="M292" s="74"/>
      <c r="N292" s="74"/>
      <c r="O292" s="74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</row>
    <row r="293" spans="1:36" ht="12.75">
      <c r="A293" s="72" t="s">
        <v>1541</v>
      </c>
      <c r="B293" s="72"/>
      <c r="C293" s="72" t="s">
        <v>1542</v>
      </c>
      <c r="D293" s="72" t="s">
        <v>38</v>
      </c>
      <c r="E293" s="6">
        <v>768162164</v>
      </c>
      <c r="F293" s="5" t="s">
        <v>132</v>
      </c>
      <c r="G293" s="7"/>
      <c r="H293" s="74" t="s">
        <v>133</v>
      </c>
      <c r="I293" s="75" t="s">
        <v>134</v>
      </c>
      <c r="J293" s="74">
        <v>788014926</v>
      </c>
      <c r="K293" s="74" t="s">
        <v>135</v>
      </c>
      <c r="L293" s="74"/>
      <c r="M293" s="74"/>
      <c r="N293" s="74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</row>
    <row r="294" spans="1:36" ht="12.75">
      <c r="A294" s="77" t="s">
        <v>1543</v>
      </c>
      <c r="B294" s="77"/>
      <c r="C294" s="77" t="s">
        <v>1544</v>
      </c>
      <c r="D294" s="77" t="s">
        <v>38</v>
      </c>
      <c r="E294" s="10">
        <v>748410770</v>
      </c>
      <c r="F294" s="3" t="s">
        <v>132</v>
      </c>
      <c r="G294" s="7"/>
      <c r="H294" s="74" t="s">
        <v>133</v>
      </c>
      <c r="I294" s="75" t="s">
        <v>134</v>
      </c>
      <c r="J294" s="74">
        <v>788014926</v>
      </c>
      <c r="K294" s="74" t="s">
        <v>135</v>
      </c>
      <c r="L294" s="74"/>
      <c r="M294" s="74"/>
      <c r="N294" s="74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</row>
    <row r="295" spans="1:36" ht="12.75">
      <c r="A295" s="72" t="s">
        <v>1545</v>
      </c>
      <c r="B295" s="72"/>
      <c r="C295" s="72" t="s">
        <v>1546</v>
      </c>
      <c r="D295" s="72" t="s">
        <v>56</v>
      </c>
      <c r="E295" s="6">
        <v>705975725</v>
      </c>
      <c r="F295" s="5" t="s">
        <v>1547</v>
      </c>
      <c r="G295" s="7"/>
      <c r="H295" s="74" t="s">
        <v>450</v>
      </c>
      <c r="I295" s="75" t="s">
        <v>451</v>
      </c>
      <c r="J295" s="74">
        <v>799290741</v>
      </c>
      <c r="K295" s="74" t="s">
        <v>87</v>
      </c>
      <c r="L295" s="74"/>
      <c r="M295" s="74"/>
      <c r="N295" s="74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</row>
    <row r="296" spans="1:36" ht="12.75">
      <c r="A296" s="77" t="s">
        <v>1548</v>
      </c>
      <c r="B296" s="77"/>
      <c r="C296" s="77" t="s">
        <v>1549</v>
      </c>
      <c r="D296" s="77" t="s">
        <v>1550</v>
      </c>
      <c r="E296" s="78">
        <v>115020736</v>
      </c>
      <c r="F296" s="3" t="s">
        <v>1551</v>
      </c>
      <c r="G296" s="7"/>
      <c r="H296" s="74" t="s">
        <v>1552</v>
      </c>
      <c r="I296" s="75" t="s">
        <v>1553</v>
      </c>
      <c r="J296" s="74" t="s">
        <v>1554</v>
      </c>
      <c r="K296" s="74" t="s">
        <v>438</v>
      </c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</row>
    <row r="297" spans="1:36" ht="12.75">
      <c r="A297" s="72" t="s">
        <v>1555</v>
      </c>
      <c r="B297" s="72"/>
      <c r="C297" s="72" t="s">
        <v>1556</v>
      </c>
      <c r="D297" s="72" t="s">
        <v>273</v>
      </c>
      <c r="E297" s="73">
        <v>790706723</v>
      </c>
      <c r="F297" s="5" t="s">
        <v>1557</v>
      </c>
      <c r="G297" s="7"/>
      <c r="H297" s="74" t="s">
        <v>1558</v>
      </c>
      <c r="I297" s="75" t="s">
        <v>1559</v>
      </c>
      <c r="J297" s="74">
        <v>748424757</v>
      </c>
      <c r="K297" s="76"/>
      <c r="L297" s="74"/>
      <c r="M297" s="74"/>
      <c r="N297" s="74"/>
      <c r="O297" s="74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</row>
    <row r="298" spans="1:36" ht="12.75">
      <c r="A298" s="77" t="s">
        <v>1560</v>
      </c>
      <c r="B298" s="77"/>
      <c r="C298" s="77" t="s">
        <v>1561</v>
      </c>
      <c r="D298" s="77" t="s">
        <v>324</v>
      </c>
      <c r="E298" s="78">
        <v>769877948</v>
      </c>
      <c r="F298" s="3" t="s">
        <v>1562</v>
      </c>
      <c r="G298" s="7"/>
      <c r="H298" s="74" t="s">
        <v>1563</v>
      </c>
      <c r="I298" s="75" t="s">
        <v>1564</v>
      </c>
      <c r="J298" s="74" t="s">
        <v>1565</v>
      </c>
      <c r="K298" s="74" t="s">
        <v>1566</v>
      </c>
      <c r="L298" s="74"/>
      <c r="M298" s="74"/>
      <c r="N298" s="74"/>
      <c r="O298" s="74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</row>
    <row r="299" spans="1:36" ht="12.75">
      <c r="A299" s="72" t="s">
        <v>1567</v>
      </c>
      <c r="B299" s="72"/>
      <c r="C299" s="72" t="s">
        <v>1568</v>
      </c>
      <c r="D299" s="72" t="s">
        <v>227</v>
      </c>
      <c r="E299" s="73">
        <v>254115669992</v>
      </c>
      <c r="F299" s="5" t="s">
        <v>1569</v>
      </c>
      <c r="G299" s="7"/>
      <c r="H299" s="74" t="s">
        <v>1570</v>
      </c>
      <c r="I299" s="75" t="s">
        <v>237</v>
      </c>
      <c r="J299" s="74">
        <v>254796135006</v>
      </c>
      <c r="K299" s="74" t="s">
        <v>1571</v>
      </c>
      <c r="L299" s="74"/>
      <c r="M299" s="74"/>
      <c r="N299" s="74"/>
      <c r="O299" s="74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</row>
    <row r="300" spans="1:36" ht="12.75">
      <c r="A300" s="77" t="s">
        <v>1572</v>
      </c>
      <c r="B300" s="77"/>
      <c r="C300" s="77" t="s">
        <v>1573</v>
      </c>
      <c r="D300" s="77" t="s">
        <v>11</v>
      </c>
      <c r="E300" s="78">
        <v>707651122</v>
      </c>
      <c r="F300" s="3" t="s">
        <v>1574</v>
      </c>
      <c r="G300" s="7"/>
      <c r="H300" s="74" t="s">
        <v>1575</v>
      </c>
      <c r="I300" s="75" t="s">
        <v>1576</v>
      </c>
      <c r="J300" s="76">
        <v>254711058000</v>
      </c>
      <c r="K300" s="74" t="s">
        <v>1577</v>
      </c>
      <c r="L300" s="173"/>
      <c r="M300" s="173"/>
      <c r="N300" s="173"/>
      <c r="O300" s="173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</row>
    <row r="301" spans="1:36" ht="12.75">
      <c r="A301" s="72" t="s">
        <v>1578</v>
      </c>
      <c r="B301" s="72"/>
      <c r="C301" s="72" t="s">
        <v>1579</v>
      </c>
      <c r="D301" s="72" t="s">
        <v>1580</v>
      </c>
      <c r="E301" s="73">
        <v>725462985</v>
      </c>
      <c r="F301" s="5" t="s">
        <v>1581</v>
      </c>
      <c r="G301" s="7"/>
      <c r="H301" s="74" t="s">
        <v>1582</v>
      </c>
      <c r="I301" s="75" t="s">
        <v>1218</v>
      </c>
      <c r="J301" s="74">
        <v>709987000</v>
      </c>
      <c r="K301" s="74" t="s">
        <v>1583</v>
      </c>
      <c r="L301" s="74"/>
      <c r="M301" s="74"/>
      <c r="N301" s="74"/>
      <c r="O301" s="74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</row>
    <row r="302" spans="1:36" ht="12.75">
      <c r="A302" s="77" t="s">
        <v>1584</v>
      </c>
      <c r="B302" s="77"/>
      <c r="C302" s="77" t="s">
        <v>1585</v>
      </c>
      <c r="D302" s="77" t="s">
        <v>799</v>
      </c>
      <c r="E302" s="78">
        <v>113627130</v>
      </c>
      <c r="F302" s="3" t="s">
        <v>962</v>
      </c>
      <c r="G302" s="7"/>
      <c r="H302" s="76"/>
      <c r="I302" s="84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</row>
    <row r="303" spans="1:36" ht="12.75">
      <c r="A303" s="72" t="s">
        <v>1586</v>
      </c>
      <c r="B303" s="72"/>
      <c r="C303" s="72" t="s">
        <v>1587</v>
      </c>
      <c r="D303" s="72" t="s">
        <v>1142</v>
      </c>
      <c r="E303" s="73">
        <v>791653975</v>
      </c>
      <c r="F303" s="5" t="s">
        <v>1588</v>
      </c>
      <c r="G303" s="7"/>
      <c r="H303" s="7" t="s">
        <v>1589</v>
      </c>
      <c r="I303" s="8" t="s">
        <v>726</v>
      </c>
      <c r="J303" s="74" t="s">
        <v>1590</v>
      </c>
      <c r="K303" s="74" t="s">
        <v>1591</v>
      </c>
      <c r="L303" s="74"/>
      <c r="M303" s="74"/>
      <c r="N303" s="74"/>
      <c r="O303" s="74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</row>
    <row r="304" spans="1:36" ht="12.75">
      <c r="A304" s="77" t="s">
        <v>1592</v>
      </c>
      <c r="B304" s="77"/>
      <c r="C304" s="77" t="s">
        <v>1593</v>
      </c>
      <c r="D304" s="77" t="s">
        <v>1594</v>
      </c>
      <c r="E304" s="78">
        <v>112824847</v>
      </c>
      <c r="F304" s="3" t="s">
        <v>800</v>
      </c>
      <c r="G304" s="7"/>
      <c r="H304" s="74" t="s">
        <v>1595</v>
      </c>
      <c r="I304" s="75" t="s">
        <v>1596</v>
      </c>
      <c r="J304" s="74">
        <v>730882000</v>
      </c>
      <c r="K304" s="74" t="s">
        <v>1597</v>
      </c>
      <c r="L304" s="74"/>
      <c r="M304" s="74"/>
      <c r="N304" s="74"/>
      <c r="O304" s="74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</row>
    <row r="305" spans="1:36" ht="12.75">
      <c r="A305" s="102" t="s">
        <v>1598</v>
      </c>
      <c r="B305" s="102"/>
      <c r="C305" s="102" t="s">
        <v>1599</v>
      </c>
      <c r="D305" s="176" t="s">
        <v>1600</v>
      </c>
      <c r="E305" s="73">
        <v>114505818</v>
      </c>
      <c r="F305" s="102" t="s">
        <v>1601</v>
      </c>
      <c r="G305" s="103"/>
      <c r="H305" s="103" t="s">
        <v>1602</v>
      </c>
      <c r="I305" s="104" t="s">
        <v>1603</v>
      </c>
      <c r="J305" s="105">
        <v>254740180940</v>
      </c>
      <c r="K305" s="103" t="s">
        <v>1604</v>
      </c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</row>
    <row r="306" spans="1:36" ht="12.75">
      <c r="A306" s="77" t="s">
        <v>1605</v>
      </c>
      <c r="B306" s="77"/>
      <c r="C306" s="77" t="s">
        <v>1606</v>
      </c>
      <c r="D306" s="77" t="s">
        <v>891</v>
      </c>
      <c r="E306" s="78">
        <v>717456963</v>
      </c>
      <c r="F306" s="3" t="s">
        <v>57</v>
      </c>
      <c r="G306" s="7"/>
      <c r="H306" s="74" t="s">
        <v>58</v>
      </c>
      <c r="I306" s="75" t="s">
        <v>59</v>
      </c>
      <c r="J306" s="74">
        <v>720668236</v>
      </c>
      <c r="K306" s="74" t="s">
        <v>60</v>
      </c>
      <c r="L306" s="74"/>
      <c r="M306" s="74"/>
      <c r="N306" s="74"/>
      <c r="O306" s="74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</row>
    <row r="307" spans="1:36" ht="12.75">
      <c r="A307" s="72" t="s">
        <v>1607</v>
      </c>
      <c r="B307" s="72"/>
      <c r="C307" s="72" t="s">
        <v>1608</v>
      </c>
      <c r="D307" s="72" t="s">
        <v>1609</v>
      </c>
      <c r="E307" s="73">
        <v>254716182160</v>
      </c>
      <c r="F307" s="5" t="s">
        <v>1610</v>
      </c>
      <c r="G307" s="7"/>
      <c r="H307" s="74" t="s">
        <v>1611</v>
      </c>
      <c r="I307" s="75" t="s">
        <v>134</v>
      </c>
      <c r="J307" s="74">
        <v>2540532016304</v>
      </c>
      <c r="K307" s="74" t="s">
        <v>1612</v>
      </c>
      <c r="L307" s="74"/>
      <c r="M307" s="74"/>
      <c r="N307" s="74"/>
      <c r="O307" s="74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</row>
    <row r="308" spans="1:36" ht="12.75">
      <c r="A308" s="77" t="s">
        <v>1613</v>
      </c>
      <c r="B308" s="77"/>
      <c r="C308" s="77" t="s">
        <v>1614</v>
      </c>
      <c r="D308" s="77" t="s">
        <v>616</v>
      </c>
      <c r="E308" s="112"/>
      <c r="F308" s="3" t="s">
        <v>1615</v>
      </c>
      <c r="G308" s="7"/>
      <c r="H308" s="76"/>
      <c r="I308" s="75" t="s">
        <v>1616</v>
      </c>
      <c r="J308" s="76"/>
      <c r="K308" s="74" t="s">
        <v>1617</v>
      </c>
      <c r="L308" s="74"/>
      <c r="M308" s="74"/>
      <c r="N308" s="74"/>
      <c r="O308" s="74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</row>
    <row r="309" spans="1:36" ht="12.75">
      <c r="A309" s="72" t="s">
        <v>1618</v>
      </c>
      <c r="B309" s="72"/>
      <c r="C309" s="72" t="s">
        <v>1619</v>
      </c>
      <c r="D309" s="72" t="s">
        <v>604</v>
      </c>
      <c r="E309" s="73">
        <v>707089859</v>
      </c>
      <c r="F309" s="5" t="s">
        <v>1620</v>
      </c>
      <c r="G309" s="7"/>
      <c r="H309" s="76"/>
      <c r="I309" s="84"/>
      <c r="L309" s="60"/>
      <c r="M309" s="60"/>
      <c r="N309" s="60"/>
      <c r="O309" s="60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</row>
    <row r="310" spans="1:36" ht="12.75">
      <c r="A310" s="77" t="s">
        <v>1621</v>
      </c>
      <c r="B310" s="77"/>
      <c r="C310" s="77" t="s">
        <v>1622</v>
      </c>
      <c r="D310" s="77" t="s">
        <v>1623</v>
      </c>
      <c r="E310" s="10">
        <v>758363881</v>
      </c>
      <c r="F310" s="3" t="s">
        <v>1624</v>
      </c>
      <c r="G310" s="7"/>
      <c r="H310" s="74" t="s">
        <v>1625</v>
      </c>
      <c r="I310" s="75" t="s">
        <v>1626</v>
      </c>
      <c r="J310" s="74">
        <v>738825940</v>
      </c>
      <c r="K310" s="74" t="s">
        <v>1627</v>
      </c>
      <c r="L310" s="74"/>
      <c r="M310" s="74"/>
      <c r="N310" s="74"/>
      <c r="O310" s="74"/>
      <c r="P310" s="74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</row>
    <row r="311" spans="1:36" ht="12.75">
      <c r="A311" s="72"/>
      <c r="B311" s="72"/>
      <c r="C311" s="72"/>
      <c r="D311" s="72"/>
      <c r="E311" s="6"/>
      <c r="F311" s="5"/>
      <c r="G311" s="7"/>
      <c r="H311" s="76"/>
      <c r="I311" s="75" t="s">
        <v>65</v>
      </c>
      <c r="J311" s="76"/>
      <c r="K311" s="76"/>
      <c r="L311" s="74"/>
      <c r="M311" s="74"/>
      <c r="N311" s="74"/>
      <c r="O311" s="74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</row>
    <row r="312" spans="1:36" ht="12.75">
      <c r="A312" s="77" t="s">
        <v>1628</v>
      </c>
      <c r="B312" s="77"/>
      <c r="C312" s="77" t="s">
        <v>1629</v>
      </c>
      <c r="D312" s="77" t="s">
        <v>1630</v>
      </c>
      <c r="E312" s="112">
        <f>254700767131</f>
        <v>254700767131</v>
      </c>
      <c r="F312" s="3" t="s">
        <v>1631</v>
      </c>
      <c r="G312" s="1"/>
      <c r="H312" s="60" t="s">
        <v>1423</v>
      </c>
      <c r="I312" s="88" t="s">
        <v>269</v>
      </c>
      <c r="J312" s="76">
        <f>254725624489</f>
        <v>254725624489</v>
      </c>
      <c r="K312" s="74" t="s">
        <v>1632</v>
      </c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</row>
    <row r="313" spans="1:36" ht="12.75">
      <c r="A313" s="72" t="s">
        <v>1633</v>
      </c>
      <c r="B313" s="72"/>
      <c r="C313" s="72" t="s">
        <v>1634</v>
      </c>
      <c r="D313" s="189"/>
      <c r="E313" s="87"/>
      <c r="F313" s="13"/>
      <c r="G313" s="9"/>
      <c r="H313" s="76"/>
      <c r="I313" s="84"/>
      <c r="L313" s="60"/>
      <c r="M313" s="60"/>
      <c r="N313" s="60"/>
      <c r="O313" s="60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</row>
    <row r="314" spans="1:36" ht="12.75">
      <c r="A314" s="77" t="s">
        <v>1635</v>
      </c>
      <c r="B314" s="77"/>
      <c r="C314" s="77" t="s">
        <v>1636</v>
      </c>
      <c r="D314" s="77" t="s">
        <v>475</v>
      </c>
      <c r="E314" s="78">
        <v>740810735</v>
      </c>
      <c r="F314" s="3" t="s">
        <v>1637</v>
      </c>
      <c r="G314" s="7"/>
      <c r="H314" s="74" t="s">
        <v>1638</v>
      </c>
      <c r="I314" s="75" t="s">
        <v>237</v>
      </c>
      <c r="J314" s="74">
        <v>722206986</v>
      </c>
      <c r="K314" s="74" t="s">
        <v>1639</v>
      </c>
      <c r="L314" s="74"/>
      <c r="M314" s="74"/>
      <c r="N314" s="74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</row>
    <row r="315" spans="1:36" ht="12.75">
      <c r="A315" s="72" t="s">
        <v>1640</v>
      </c>
      <c r="B315" s="72"/>
      <c r="C315" s="72" t="s">
        <v>1641</v>
      </c>
      <c r="D315" s="72" t="s">
        <v>501</v>
      </c>
      <c r="E315" s="73">
        <v>113426979</v>
      </c>
      <c r="F315" s="5" t="s">
        <v>1642</v>
      </c>
      <c r="G315" s="7"/>
      <c r="H315" s="74" t="s">
        <v>1643</v>
      </c>
      <c r="I315" s="75" t="s">
        <v>218</v>
      </c>
      <c r="J315" s="74">
        <v>703360107</v>
      </c>
      <c r="K315" s="74">
        <v>703360107</v>
      </c>
      <c r="L315" s="74"/>
      <c r="M315" s="74"/>
      <c r="N315" s="74"/>
      <c r="O315" s="74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</row>
    <row r="316" spans="1:36" ht="12.75">
      <c r="A316" s="77" t="s">
        <v>1644</v>
      </c>
      <c r="B316" s="77"/>
      <c r="C316" s="77" t="s">
        <v>1645</v>
      </c>
      <c r="D316" s="77" t="s">
        <v>1646</v>
      </c>
      <c r="E316" s="78">
        <v>745340588</v>
      </c>
      <c r="F316" s="3" t="s">
        <v>493</v>
      </c>
      <c r="G316" s="7"/>
      <c r="H316" s="74"/>
      <c r="I316" s="75"/>
      <c r="J316" s="74"/>
      <c r="K316" s="74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</row>
    <row r="317" spans="1:36" ht="12.75">
      <c r="A317" s="72" t="s">
        <v>1647</v>
      </c>
      <c r="B317" s="72"/>
      <c r="C317" s="72" t="s">
        <v>1648</v>
      </c>
      <c r="D317" s="72" t="s">
        <v>301</v>
      </c>
      <c r="E317" s="73">
        <v>741252060</v>
      </c>
      <c r="F317" s="5" t="s">
        <v>1649</v>
      </c>
      <c r="G317" s="7"/>
      <c r="H317" s="74" t="s">
        <v>1650</v>
      </c>
      <c r="I317" s="75" t="s">
        <v>677</v>
      </c>
      <c r="J317" s="74" t="s">
        <v>1651</v>
      </c>
      <c r="K317" s="74" t="s">
        <v>1652</v>
      </c>
      <c r="L317" s="74"/>
      <c r="M317" s="74"/>
      <c r="N317" s="74"/>
      <c r="O317" s="74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</row>
    <row r="318" spans="1:36" ht="12.75">
      <c r="A318" s="77" t="s">
        <v>1653</v>
      </c>
      <c r="B318" s="77"/>
      <c r="C318" s="77" t="s">
        <v>1654</v>
      </c>
      <c r="D318" s="77" t="s">
        <v>108</v>
      </c>
      <c r="E318" s="78">
        <v>743787768</v>
      </c>
      <c r="F318" s="3" t="s">
        <v>1655</v>
      </c>
      <c r="G318" s="7"/>
      <c r="H318" s="74" t="s">
        <v>1656</v>
      </c>
      <c r="I318" s="75" t="s">
        <v>1657</v>
      </c>
      <c r="J318" s="74">
        <v>798720923</v>
      </c>
      <c r="K318" s="74" t="s">
        <v>1658</v>
      </c>
      <c r="L318" s="74"/>
      <c r="M318" s="74"/>
      <c r="N318" s="74"/>
      <c r="O318" s="74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</row>
    <row r="319" spans="1:36" ht="12.75">
      <c r="A319" s="72" t="s">
        <v>1659</v>
      </c>
      <c r="B319" s="72"/>
      <c r="C319" s="72" t="s">
        <v>1660</v>
      </c>
      <c r="D319" s="72" t="s">
        <v>1661</v>
      </c>
      <c r="E319" s="73">
        <v>743684461</v>
      </c>
      <c r="F319" s="5" t="s">
        <v>1662</v>
      </c>
      <c r="G319" s="7"/>
      <c r="H319" s="74" t="s">
        <v>1663</v>
      </c>
      <c r="I319" s="75" t="s">
        <v>1664</v>
      </c>
      <c r="J319" s="74">
        <v>800720370</v>
      </c>
      <c r="K319" s="74" t="s">
        <v>1665</v>
      </c>
      <c r="L319" s="74"/>
      <c r="M319" s="74"/>
      <c r="N319" s="74"/>
      <c r="O319" s="74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</row>
    <row r="320" spans="1:36" ht="12.75">
      <c r="A320" s="77" t="s">
        <v>1666</v>
      </c>
      <c r="B320" s="77"/>
      <c r="C320" s="77" t="s">
        <v>1667</v>
      </c>
      <c r="D320" s="77" t="s">
        <v>749</v>
      </c>
      <c r="E320" s="78">
        <v>769681039</v>
      </c>
      <c r="F320" s="3" t="s">
        <v>1668</v>
      </c>
      <c r="G320" s="7"/>
      <c r="H320" s="74" t="s">
        <v>1669</v>
      </c>
      <c r="I320" s="75" t="s">
        <v>237</v>
      </c>
      <c r="J320" s="74">
        <v>713244444</v>
      </c>
      <c r="K320" s="74" t="s">
        <v>1670</v>
      </c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</row>
    <row r="321" spans="1:36" ht="12.75">
      <c r="A321" s="35" t="s">
        <v>1671</v>
      </c>
      <c r="B321" s="35"/>
      <c r="C321" s="97" t="s">
        <v>1672</v>
      </c>
      <c r="D321" s="79" t="s">
        <v>207</v>
      </c>
      <c r="E321" s="81">
        <v>792088927</v>
      </c>
      <c r="F321" s="5" t="s">
        <v>1673</v>
      </c>
      <c r="G321" s="7"/>
      <c r="H321" s="7" t="s">
        <v>1674</v>
      </c>
      <c r="I321" s="8" t="s">
        <v>437</v>
      </c>
      <c r="J321" s="60" t="s">
        <v>1675</v>
      </c>
      <c r="K321" s="60" t="s">
        <v>1676</v>
      </c>
      <c r="L321" s="190"/>
      <c r="M321" s="190"/>
      <c r="N321" s="190"/>
      <c r="O321" s="190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</row>
    <row r="322" spans="1:36" ht="12.75">
      <c r="A322" s="77" t="s">
        <v>1677</v>
      </c>
      <c r="B322" s="77"/>
      <c r="C322" s="77" t="s">
        <v>1678</v>
      </c>
      <c r="D322" s="77" t="s">
        <v>951</v>
      </c>
      <c r="E322" s="78">
        <v>25494595047</v>
      </c>
      <c r="F322" s="3" t="s">
        <v>1679</v>
      </c>
      <c r="G322" s="7"/>
      <c r="H322" s="74" t="s">
        <v>1680</v>
      </c>
      <c r="I322" s="75" t="s">
        <v>245</v>
      </c>
      <c r="J322" s="60">
        <v>254722501129</v>
      </c>
      <c r="K322" s="74" t="s">
        <v>1681</v>
      </c>
      <c r="L322" s="74"/>
      <c r="M322" s="74"/>
      <c r="N322" s="74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</row>
    <row r="323" spans="1:36" ht="12.75">
      <c r="A323" s="72" t="s">
        <v>1682</v>
      </c>
      <c r="B323" s="72"/>
      <c r="C323" s="72" t="s">
        <v>1683</v>
      </c>
      <c r="D323" s="72" t="s">
        <v>891</v>
      </c>
      <c r="E323" s="73">
        <v>769790972</v>
      </c>
      <c r="F323" s="5" t="s">
        <v>1684</v>
      </c>
      <c r="G323" s="7"/>
      <c r="H323" s="74" t="s">
        <v>1685</v>
      </c>
      <c r="I323" s="75" t="s">
        <v>1686</v>
      </c>
      <c r="J323" s="74">
        <v>206676999</v>
      </c>
      <c r="K323" s="74" t="s">
        <v>924</v>
      </c>
      <c r="L323" s="74"/>
      <c r="M323" s="74"/>
      <c r="N323" s="74"/>
      <c r="O323" s="74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</row>
    <row r="324" spans="1:36" ht="12.75">
      <c r="A324" s="77" t="s">
        <v>1687</v>
      </c>
      <c r="B324" s="77"/>
      <c r="C324" s="77" t="s">
        <v>1688</v>
      </c>
      <c r="D324" s="77" t="s">
        <v>1689</v>
      </c>
      <c r="E324" s="78">
        <v>793929801</v>
      </c>
      <c r="F324" s="3" t="s">
        <v>711</v>
      </c>
      <c r="G324" s="7"/>
      <c r="H324" s="74" t="s">
        <v>1690</v>
      </c>
      <c r="I324" s="75" t="s">
        <v>713</v>
      </c>
      <c r="J324" s="74">
        <v>727618228</v>
      </c>
      <c r="K324" s="74" t="s">
        <v>714</v>
      </c>
      <c r="L324" s="74"/>
      <c r="M324" s="74"/>
      <c r="N324" s="74"/>
      <c r="O324" s="74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</row>
    <row r="325" spans="1:36" ht="12.75">
      <c r="A325" s="72" t="s">
        <v>1691</v>
      </c>
      <c r="B325" s="72"/>
      <c r="C325" s="72" t="s">
        <v>1692</v>
      </c>
      <c r="D325" s="83" t="s">
        <v>78</v>
      </c>
      <c r="E325" s="73">
        <v>716371259</v>
      </c>
      <c r="F325" s="5" t="s">
        <v>1693</v>
      </c>
      <c r="G325" s="7"/>
      <c r="H325" s="7" t="s">
        <v>1694</v>
      </c>
      <c r="I325" s="75" t="s">
        <v>237</v>
      </c>
      <c r="J325" s="74" t="s">
        <v>1695</v>
      </c>
      <c r="K325" s="74" t="s">
        <v>1696</v>
      </c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</row>
    <row r="326" spans="1:36" ht="12.75">
      <c r="A326" s="95" t="s">
        <v>1697</v>
      </c>
      <c r="B326" s="95"/>
      <c r="C326" s="95" t="s">
        <v>1698</v>
      </c>
      <c r="D326" s="95" t="s">
        <v>1699</v>
      </c>
      <c r="E326" s="111">
        <v>254111777670</v>
      </c>
      <c r="F326" s="3" t="s">
        <v>1700</v>
      </c>
      <c r="G326" s="7"/>
      <c r="H326" s="74" t="s">
        <v>1701</v>
      </c>
      <c r="I326" s="75" t="s">
        <v>726</v>
      </c>
      <c r="J326" s="74">
        <v>202066042</v>
      </c>
      <c r="K326" s="74" t="s">
        <v>1702</v>
      </c>
      <c r="L326" s="74"/>
      <c r="M326" s="74"/>
      <c r="N326" s="74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</row>
    <row r="327" spans="1:36" ht="12.75">
      <c r="A327" s="72" t="s">
        <v>1703</v>
      </c>
      <c r="B327" s="72"/>
      <c r="C327" s="72" t="s">
        <v>1704</v>
      </c>
      <c r="D327" s="72" t="s">
        <v>373</v>
      </c>
      <c r="E327" s="73">
        <v>723629491</v>
      </c>
      <c r="F327" s="5" t="s">
        <v>1693</v>
      </c>
      <c r="G327" s="7"/>
      <c r="H327" s="7" t="s">
        <v>1693</v>
      </c>
      <c r="I327" s="75" t="s">
        <v>237</v>
      </c>
      <c r="J327" s="74" t="s">
        <v>1695</v>
      </c>
      <c r="K327" s="74" t="s">
        <v>1696</v>
      </c>
      <c r="L327" s="74"/>
      <c r="M327" s="74"/>
      <c r="N327" s="74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</row>
    <row r="328" spans="1:36" ht="14.25">
      <c r="A328" s="77" t="s">
        <v>1705</v>
      </c>
      <c r="B328" s="77"/>
      <c r="C328" s="77" t="s">
        <v>1706</v>
      </c>
      <c r="D328" s="77" t="s">
        <v>460</v>
      </c>
      <c r="E328" s="78">
        <v>110447025</v>
      </c>
      <c r="F328" s="3" t="s">
        <v>1707</v>
      </c>
      <c r="G328" s="7"/>
      <c r="H328" s="74" t="s">
        <v>1708</v>
      </c>
      <c r="I328" s="75" t="s">
        <v>599</v>
      </c>
      <c r="J328" s="191" t="s">
        <v>1709</v>
      </c>
      <c r="K328" s="191" t="s">
        <v>1710</v>
      </c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</row>
    <row r="329" spans="1:36" ht="12.75">
      <c r="A329" s="72" t="s">
        <v>1711</v>
      </c>
      <c r="B329" s="72"/>
      <c r="C329" s="72" t="s">
        <v>1712</v>
      </c>
      <c r="D329" s="72" t="s">
        <v>71</v>
      </c>
      <c r="E329" s="73">
        <v>793941363</v>
      </c>
      <c r="F329" s="5" t="s">
        <v>1713</v>
      </c>
      <c r="G329" s="7"/>
      <c r="H329" s="74" t="s">
        <v>1714</v>
      </c>
      <c r="I329" s="75" t="s">
        <v>1715</v>
      </c>
      <c r="J329" s="74">
        <v>703453022</v>
      </c>
      <c r="K329" s="74" t="s">
        <v>1716</v>
      </c>
      <c r="L329" s="74"/>
      <c r="M329" s="74"/>
      <c r="N329" s="74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</row>
    <row r="330" spans="1:36" ht="12.75">
      <c r="A330" s="77" t="s">
        <v>1717</v>
      </c>
      <c r="B330" s="77"/>
      <c r="C330" s="77" t="s">
        <v>1718</v>
      </c>
      <c r="D330" s="77" t="s">
        <v>1719</v>
      </c>
      <c r="E330" s="78">
        <v>745276852</v>
      </c>
      <c r="F330" s="3" t="s">
        <v>1720</v>
      </c>
      <c r="G330" s="7"/>
      <c r="H330" s="74" t="s">
        <v>1721</v>
      </c>
      <c r="I330" s="75" t="s">
        <v>218</v>
      </c>
      <c r="J330" s="74">
        <v>254203201000</v>
      </c>
      <c r="K330" s="192" t="s">
        <v>1722</v>
      </c>
      <c r="L330" s="74"/>
      <c r="M330" s="74"/>
      <c r="N330" s="74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</row>
    <row r="331" spans="1:36" ht="12.75">
      <c r="A331" s="4" t="s">
        <v>1723</v>
      </c>
      <c r="B331" s="4"/>
      <c r="C331" s="72" t="s">
        <v>1724</v>
      </c>
      <c r="D331" s="72" t="s">
        <v>616</v>
      </c>
      <c r="E331" s="73">
        <v>254741361811</v>
      </c>
      <c r="F331" s="5" t="s">
        <v>1725</v>
      </c>
      <c r="G331" s="7"/>
      <c r="H331" s="74" t="s">
        <v>1726</v>
      </c>
      <c r="I331" s="75" t="s">
        <v>599</v>
      </c>
      <c r="J331" s="74">
        <v>254727933950</v>
      </c>
      <c r="K331" s="74" t="s">
        <v>1727</v>
      </c>
      <c r="L331" s="74"/>
      <c r="M331" s="74"/>
      <c r="N331" s="74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</row>
    <row r="332" spans="1:36" ht="12.75">
      <c r="A332" s="77" t="s">
        <v>1728</v>
      </c>
      <c r="B332" s="77"/>
      <c r="C332" s="77" t="s">
        <v>1729</v>
      </c>
      <c r="D332" s="77" t="s">
        <v>71</v>
      </c>
      <c r="E332" s="78">
        <v>743054776</v>
      </c>
      <c r="F332" s="3" t="s">
        <v>1730</v>
      </c>
      <c r="G332" s="7"/>
      <c r="H332" s="74" t="s">
        <v>1731</v>
      </c>
      <c r="I332" s="75" t="s">
        <v>59</v>
      </c>
      <c r="J332" s="74">
        <v>741646412</v>
      </c>
      <c r="K332" s="74" t="s">
        <v>1732</v>
      </c>
      <c r="L332" s="74"/>
      <c r="M332" s="74"/>
      <c r="N332" s="74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</row>
    <row r="333" spans="1:36" ht="12.75">
      <c r="A333" s="72" t="s">
        <v>1733</v>
      </c>
      <c r="B333" s="72"/>
      <c r="C333" s="72" t="s">
        <v>1734</v>
      </c>
      <c r="D333" s="72" t="s">
        <v>71</v>
      </c>
      <c r="E333" s="73">
        <v>720569701</v>
      </c>
      <c r="F333" s="5" t="s">
        <v>1735</v>
      </c>
      <c r="G333" s="7"/>
      <c r="H333" s="74" t="s">
        <v>1736</v>
      </c>
      <c r="I333" s="75" t="s">
        <v>237</v>
      </c>
      <c r="J333" s="74">
        <v>725624489</v>
      </c>
      <c r="K333" s="74" t="s">
        <v>1424</v>
      </c>
      <c r="L333" s="74"/>
      <c r="M333" s="74"/>
      <c r="N333" s="74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</row>
    <row r="334" spans="1:36" ht="12.75">
      <c r="A334" s="77" t="s">
        <v>1737</v>
      </c>
      <c r="B334" s="77"/>
      <c r="C334" s="77" t="s">
        <v>1738</v>
      </c>
      <c r="D334" s="77" t="s">
        <v>454</v>
      </c>
      <c r="E334" s="68">
        <v>113961791</v>
      </c>
      <c r="F334" s="3" t="s">
        <v>1065</v>
      </c>
      <c r="G334" s="7"/>
      <c r="H334" s="74" t="s">
        <v>1739</v>
      </c>
      <c r="I334" s="75" t="s">
        <v>1067</v>
      </c>
      <c r="J334" s="74">
        <v>722897169</v>
      </c>
      <c r="K334" s="74" t="s">
        <v>1068</v>
      </c>
      <c r="L334" s="74"/>
      <c r="M334" s="74"/>
      <c r="N334" s="74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</row>
    <row r="335" spans="1:36" ht="12.75">
      <c r="A335" s="72" t="s">
        <v>1740</v>
      </c>
      <c r="B335" s="72"/>
      <c r="C335" s="72" t="s">
        <v>1741</v>
      </c>
      <c r="D335" s="72" t="s">
        <v>1742</v>
      </c>
      <c r="E335" s="73">
        <v>794790524</v>
      </c>
      <c r="F335" s="5" t="s">
        <v>1743</v>
      </c>
      <c r="G335" s="7"/>
      <c r="H335" s="74" t="s">
        <v>1744</v>
      </c>
      <c r="I335" s="75" t="s">
        <v>59</v>
      </c>
      <c r="J335" s="74">
        <v>720668236</v>
      </c>
      <c r="K335" s="74" t="s">
        <v>1745</v>
      </c>
      <c r="L335" s="74"/>
      <c r="M335" s="74"/>
      <c r="N335" s="74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</row>
    <row r="336" spans="1:36" ht="12.75">
      <c r="A336" s="77" t="s">
        <v>1746</v>
      </c>
      <c r="B336" s="77"/>
      <c r="C336" s="77" t="s">
        <v>1747</v>
      </c>
      <c r="D336" s="77" t="s">
        <v>301</v>
      </c>
      <c r="E336" s="78">
        <v>799997183</v>
      </c>
      <c r="F336" s="14" t="s">
        <v>1748</v>
      </c>
      <c r="G336" s="1"/>
      <c r="H336" s="74" t="s">
        <v>1749</v>
      </c>
      <c r="I336" s="75" t="s">
        <v>677</v>
      </c>
      <c r="J336" s="74">
        <v>725393939</v>
      </c>
      <c r="K336" s="74" t="s">
        <v>1750</v>
      </c>
      <c r="L336" s="74"/>
      <c r="M336" s="74"/>
      <c r="N336" s="74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</row>
    <row r="337" spans="1:36" ht="12.75">
      <c r="A337" s="72" t="s">
        <v>1751</v>
      </c>
      <c r="B337" s="72"/>
      <c r="C337" s="72" t="s">
        <v>1752</v>
      </c>
      <c r="D337" s="72" t="s">
        <v>1753</v>
      </c>
      <c r="E337" s="73">
        <v>115344075</v>
      </c>
      <c r="F337" s="5" t="s">
        <v>1422</v>
      </c>
      <c r="G337" s="7"/>
      <c r="H337" s="74"/>
      <c r="I337" s="75"/>
      <c r="J337" s="74"/>
      <c r="K337" s="74"/>
      <c r="L337" s="74"/>
      <c r="M337" s="74"/>
      <c r="N337" s="74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</row>
    <row r="338" spans="1:36" ht="12.75">
      <c r="A338" s="77" t="s">
        <v>1754</v>
      </c>
      <c r="B338" s="77"/>
      <c r="C338" s="77" t="s">
        <v>1755</v>
      </c>
      <c r="D338" s="77" t="s">
        <v>1756</v>
      </c>
      <c r="E338" s="78">
        <v>254114559812</v>
      </c>
      <c r="F338" s="3" t="s">
        <v>1757</v>
      </c>
      <c r="G338" s="7"/>
      <c r="H338" s="74" t="s">
        <v>1758</v>
      </c>
      <c r="I338" s="75" t="s">
        <v>1010</v>
      </c>
      <c r="J338" s="74">
        <v>722207868</v>
      </c>
      <c r="K338" s="74" t="s">
        <v>1759</v>
      </c>
      <c r="L338" s="74"/>
      <c r="M338" s="74"/>
      <c r="N338" s="74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</row>
    <row r="339" spans="1:36" ht="12.75">
      <c r="A339" s="72" t="s">
        <v>1760</v>
      </c>
      <c r="B339" s="72"/>
      <c r="C339" s="72" t="s">
        <v>1761</v>
      </c>
      <c r="D339" s="72" t="s">
        <v>341</v>
      </c>
      <c r="E339" s="73">
        <v>722956410</v>
      </c>
      <c r="F339" s="5" t="s">
        <v>1762</v>
      </c>
      <c r="G339" s="7"/>
      <c r="H339" s="74" t="s">
        <v>1763</v>
      </c>
      <c r="I339" s="75" t="s">
        <v>1764</v>
      </c>
      <c r="J339" s="60">
        <v>202688929</v>
      </c>
      <c r="K339" s="74" t="s">
        <v>1765</v>
      </c>
      <c r="L339" s="74"/>
      <c r="M339" s="74"/>
      <c r="N339" s="74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</row>
    <row r="340" spans="1:36" ht="12.75">
      <c r="A340" s="77" t="s">
        <v>1766</v>
      </c>
      <c r="B340" s="77"/>
      <c r="C340" s="77" t="s">
        <v>1767</v>
      </c>
      <c r="D340" s="77" t="s">
        <v>1441</v>
      </c>
      <c r="E340" s="112">
        <f>254708373009</f>
        <v>254708373009</v>
      </c>
      <c r="F340" s="18" t="s">
        <v>806</v>
      </c>
      <c r="G340" s="193"/>
      <c r="H340" s="146" t="s">
        <v>807</v>
      </c>
      <c r="I340" s="147" t="s">
        <v>356</v>
      </c>
      <c r="J340" s="194">
        <f>254722841136</f>
        <v>254722841136</v>
      </c>
      <c r="K340" s="74" t="s">
        <v>808</v>
      </c>
      <c r="L340" s="74"/>
      <c r="M340" s="74"/>
      <c r="N340" s="74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</row>
    <row r="341" spans="1:36" ht="12.75">
      <c r="A341" s="72" t="s">
        <v>1768</v>
      </c>
      <c r="B341" s="72"/>
      <c r="C341" s="72" t="s">
        <v>1769</v>
      </c>
      <c r="D341" s="72" t="s">
        <v>1770</v>
      </c>
      <c r="E341" s="73">
        <v>740953711</v>
      </c>
      <c r="F341" s="5" t="s">
        <v>1771</v>
      </c>
      <c r="G341" s="7"/>
      <c r="H341" s="74" t="s">
        <v>1772</v>
      </c>
      <c r="I341" s="75" t="s">
        <v>1773</v>
      </c>
      <c r="J341" s="74">
        <v>715663018</v>
      </c>
      <c r="K341" s="74" t="s">
        <v>1774</v>
      </c>
      <c r="L341" s="74"/>
      <c r="M341" s="74"/>
      <c r="N341" s="74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</row>
    <row r="342" spans="1:36" ht="12.75">
      <c r="A342" s="77" t="s">
        <v>1775</v>
      </c>
      <c r="B342" s="77"/>
      <c r="C342" s="77" t="s">
        <v>1776</v>
      </c>
      <c r="D342" s="77" t="s">
        <v>227</v>
      </c>
      <c r="E342" s="78">
        <v>745397503</v>
      </c>
      <c r="F342" s="3" t="s">
        <v>342</v>
      </c>
      <c r="G342" s="7"/>
      <c r="H342" s="74" t="s">
        <v>355</v>
      </c>
      <c r="I342" s="75" t="s">
        <v>14</v>
      </c>
      <c r="J342" s="74">
        <v>710453693</v>
      </c>
      <c r="K342" s="74" t="s">
        <v>105</v>
      </c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</row>
    <row r="343" spans="1:36" ht="12.75">
      <c r="A343" s="72" t="s">
        <v>1777</v>
      </c>
      <c r="B343" s="72"/>
      <c r="C343" s="72" t="s">
        <v>1778</v>
      </c>
      <c r="D343" s="72" t="s">
        <v>38</v>
      </c>
      <c r="E343" s="73">
        <v>712986086</v>
      </c>
      <c r="F343" s="5" t="s">
        <v>1779</v>
      </c>
      <c r="G343" s="7"/>
      <c r="H343" s="74" t="s">
        <v>1780</v>
      </c>
      <c r="I343" s="75" t="s">
        <v>1781</v>
      </c>
      <c r="J343" s="74">
        <v>798985151</v>
      </c>
      <c r="K343" s="195" t="s">
        <v>1782</v>
      </c>
      <c r="L343" s="74"/>
      <c r="M343" s="74"/>
      <c r="N343" s="74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</row>
    <row r="344" spans="1:36" ht="12.75">
      <c r="A344" s="77" t="s">
        <v>1783</v>
      </c>
      <c r="B344" s="77"/>
      <c r="C344" s="77" t="s">
        <v>1784</v>
      </c>
      <c r="D344" s="77" t="s">
        <v>198</v>
      </c>
      <c r="E344" s="78">
        <v>751778415</v>
      </c>
      <c r="F344" s="3" t="s">
        <v>243</v>
      </c>
      <c r="G344" s="7"/>
      <c r="H344" s="74" t="s">
        <v>582</v>
      </c>
      <c r="I344" s="75" t="s">
        <v>245</v>
      </c>
      <c r="J344" s="74">
        <v>710907511</v>
      </c>
      <c r="K344" s="74" t="s">
        <v>246</v>
      </c>
      <c r="L344" s="74"/>
      <c r="M344" s="74"/>
      <c r="N344" s="74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</row>
    <row r="345" spans="1:36" ht="12.75">
      <c r="A345" s="72" t="s">
        <v>1785</v>
      </c>
      <c r="B345" s="72"/>
      <c r="C345" s="72" t="s">
        <v>1786</v>
      </c>
      <c r="D345" s="72" t="s">
        <v>1328</v>
      </c>
      <c r="E345" s="73">
        <v>743871944</v>
      </c>
      <c r="F345" s="5" t="s">
        <v>1329</v>
      </c>
      <c r="G345" s="7"/>
      <c r="H345" s="74" t="s">
        <v>1330</v>
      </c>
      <c r="I345" s="75" t="s">
        <v>1331</v>
      </c>
      <c r="J345" s="74">
        <v>512217987</v>
      </c>
      <c r="K345" s="74" t="s">
        <v>1332</v>
      </c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</row>
    <row r="346" spans="1:36" ht="12.75">
      <c r="A346" s="77" t="s">
        <v>1787</v>
      </c>
      <c r="B346" s="77"/>
      <c r="C346" s="77" t="s">
        <v>1788</v>
      </c>
      <c r="D346" s="77" t="s">
        <v>460</v>
      </c>
      <c r="E346" s="78">
        <v>768069338</v>
      </c>
      <c r="F346" s="3" t="s">
        <v>1707</v>
      </c>
      <c r="G346" s="7"/>
      <c r="H346" s="74" t="s">
        <v>1789</v>
      </c>
      <c r="I346" s="75" t="s">
        <v>599</v>
      </c>
      <c r="J346" s="74">
        <v>682231156</v>
      </c>
      <c r="K346" s="74" t="s">
        <v>1710</v>
      </c>
      <c r="L346" s="74"/>
      <c r="M346" s="74"/>
      <c r="N346" s="74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</row>
    <row r="347" spans="1:36" ht="12.75">
      <c r="A347" s="79" t="s">
        <v>1790</v>
      </c>
      <c r="B347" s="79"/>
      <c r="C347" s="72" t="s">
        <v>1791</v>
      </c>
      <c r="D347" s="72" t="s">
        <v>1792</v>
      </c>
      <c r="E347" s="73">
        <v>711518265</v>
      </c>
      <c r="F347" s="5" t="s">
        <v>1107</v>
      </c>
      <c r="G347" s="7"/>
      <c r="H347" s="74" t="s">
        <v>355</v>
      </c>
      <c r="I347" s="75" t="s">
        <v>1793</v>
      </c>
      <c r="J347" s="74" t="s">
        <v>357</v>
      </c>
      <c r="K347" s="74" t="s">
        <v>105</v>
      </c>
      <c r="L347" s="74"/>
      <c r="M347" s="74"/>
      <c r="N347" s="74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</row>
    <row r="348" spans="1:36" ht="12.75">
      <c r="A348" s="77" t="s">
        <v>1794</v>
      </c>
      <c r="B348" s="77"/>
      <c r="C348" s="77" t="s">
        <v>1795</v>
      </c>
      <c r="D348" s="77" t="s">
        <v>1458</v>
      </c>
      <c r="E348" s="112">
        <f>254757691166</f>
        <v>254757691166</v>
      </c>
      <c r="F348" s="3" t="s">
        <v>1796</v>
      </c>
      <c r="G348" s="7"/>
      <c r="H348" s="74" t="s">
        <v>1797</v>
      </c>
      <c r="I348" s="75" t="s">
        <v>193</v>
      </c>
      <c r="J348" s="74">
        <v>254790550367</v>
      </c>
      <c r="K348" s="74" t="s">
        <v>1798</v>
      </c>
      <c r="L348" s="74"/>
      <c r="M348" s="74"/>
      <c r="N348" s="74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</row>
    <row r="349" spans="1:36" ht="12.75">
      <c r="A349" s="35" t="s">
        <v>1799</v>
      </c>
      <c r="B349" s="35"/>
      <c r="C349" s="97" t="s">
        <v>1800</v>
      </c>
      <c r="D349" s="97" t="s">
        <v>604</v>
      </c>
      <c r="E349" s="81">
        <v>725114024</v>
      </c>
      <c r="F349" s="5" t="s">
        <v>1801</v>
      </c>
      <c r="G349" s="7"/>
      <c r="H349" s="74" t="s">
        <v>1802</v>
      </c>
      <c r="I349" s="75" t="s">
        <v>1803</v>
      </c>
      <c r="J349" s="74" t="s">
        <v>1804</v>
      </c>
      <c r="K349" s="74" t="s">
        <v>1805</v>
      </c>
      <c r="L349" s="74"/>
      <c r="M349" s="74"/>
      <c r="N349" s="74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</row>
    <row r="350" spans="1:36" ht="14.25">
      <c r="A350" s="77" t="s">
        <v>1806</v>
      </c>
      <c r="B350" s="77"/>
      <c r="C350" s="77" t="s">
        <v>1807</v>
      </c>
      <c r="D350" s="77" t="s">
        <v>616</v>
      </c>
      <c r="E350" s="78">
        <v>717191373</v>
      </c>
      <c r="F350" s="3" t="s">
        <v>1808</v>
      </c>
      <c r="G350" s="7"/>
      <c r="H350" s="74" t="s">
        <v>1809</v>
      </c>
      <c r="I350" s="75" t="s">
        <v>1810</v>
      </c>
      <c r="J350" s="74" t="s">
        <v>1811</v>
      </c>
      <c r="K350" s="196" t="s">
        <v>1812</v>
      </c>
      <c r="L350" s="74"/>
      <c r="M350" s="74"/>
      <c r="N350" s="74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</row>
    <row r="351" spans="1:36" ht="12.75">
      <c r="A351" s="102" t="s">
        <v>1813</v>
      </c>
      <c r="B351" s="102"/>
      <c r="C351" s="102" t="s">
        <v>1814</v>
      </c>
      <c r="D351" s="106" t="s">
        <v>1814</v>
      </c>
      <c r="E351" s="87"/>
      <c r="F351" s="102" t="s">
        <v>1815</v>
      </c>
      <c r="G351" s="103"/>
      <c r="H351" s="103" t="s">
        <v>1816</v>
      </c>
      <c r="I351" s="104" t="s">
        <v>218</v>
      </c>
      <c r="J351" s="105">
        <v>254759441965</v>
      </c>
      <c r="K351" s="103" t="s">
        <v>1817</v>
      </c>
      <c r="L351" s="74"/>
      <c r="M351" s="74"/>
      <c r="N351" s="74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</row>
    <row r="352" spans="1:36" ht="12.75">
      <c r="A352" s="77" t="s">
        <v>1818</v>
      </c>
      <c r="B352" s="77"/>
      <c r="C352" s="77" t="s">
        <v>1819</v>
      </c>
      <c r="D352" s="77" t="s">
        <v>501</v>
      </c>
      <c r="E352" s="78">
        <v>702518322</v>
      </c>
      <c r="F352" s="3" t="s">
        <v>1820</v>
      </c>
      <c r="G352" s="7"/>
      <c r="H352" s="74" t="s">
        <v>1821</v>
      </c>
      <c r="I352" s="75" t="s">
        <v>65</v>
      </c>
      <c r="J352" s="74">
        <v>723679645</v>
      </c>
      <c r="K352" s="74" t="s">
        <v>1822</v>
      </c>
      <c r="L352" s="74"/>
      <c r="M352" s="74"/>
      <c r="N352" s="74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</row>
    <row r="353" spans="1:36" ht="12.75">
      <c r="A353" s="72" t="s">
        <v>1823</v>
      </c>
      <c r="B353" s="72"/>
      <c r="C353" s="72" t="s">
        <v>1824</v>
      </c>
      <c r="D353" s="72" t="s">
        <v>1825</v>
      </c>
      <c r="E353" s="73">
        <v>784388520</v>
      </c>
      <c r="F353" s="5" t="s">
        <v>1826</v>
      </c>
      <c r="G353" s="7"/>
      <c r="H353" s="76"/>
      <c r="I353" s="84"/>
      <c r="J353" s="76"/>
      <c r="K353" s="76"/>
      <c r="L353" s="74"/>
      <c r="M353" s="74"/>
      <c r="N353" s="74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</row>
    <row r="354" spans="1:36" ht="12.75">
      <c r="A354" s="77" t="s">
        <v>1827</v>
      </c>
      <c r="B354" s="77"/>
      <c r="C354" s="77" t="s">
        <v>1828</v>
      </c>
      <c r="D354" s="77" t="s">
        <v>1829</v>
      </c>
      <c r="E354" s="78">
        <v>791967866</v>
      </c>
      <c r="F354" s="197" t="s">
        <v>700</v>
      </c>
      <c r="G354" s="198"/>
      <c r="H354" s="198" t="s">
        <v>450</v>
      </c>
      <c r="I354" s="199" t="s">
        <v>451</v>
      </c>
      <c r="J354" s="200">
        <v>799290741</v>
      </c>
      <c r="K354" s="198" t="s">
        <v>87</v>
      </c>
      <c r="L354" s="74"/>
      <c r="M354" s="74"/>
      <c r="N354" s="74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</row>
    <row r="355" spans="1:36" ht="12.75">
      <c r="A355" s="201" t="s">
        <v>1830</v>
      </c>
      <c r="B355" s="201"/>
      <c r="C355" s="201" t="s">
        <v>1831</v>
      </c>
      <c r="D355" s="201" t="s">
        <v>1832</v>
      </c>
      <c r="E355" s="73">
        <v>790403331</v>
      </c>
      <c r="F355" s="5" t="s">
        <v>1833</v>
      </c>
      <c r="G355" s="7"/>
      <c r="H355" s="74" t="s">
        <v>1834</v>
      </c>
      <c r="I355" s="75" t="s">
        <v>269</v>
      </c>
      <c r="J355" s="202" t="s">
        <v>1835</v>
      </c>
      <c r="K355" s="74" t="s">
        <v>1836</v>
      </c>
      <c r="L355" s="74"/>
      <c r="M355" s="74"/>
      <c r="N355" s="74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</row>
    <row r="356" spans="1:36" ht="15">
      <c r="A356" s="77" t="s">
        <v>1837</v>
      </c>
      <c r="B356" s="77"/>
      <c r="C356" s="77" t="s">
        <v>1838</v>
      </c>
      <c r="D356" s="77" t="s">
        <v>337</v>
      </c>
      <c r="E356" s="112">
        <f>254112741656</f>
        <v>254112741656</v>
      </c>
      <c r="F356" s="3" t="s">
        <v>1839</v>
      </c>
      <c r="G356" s="7"/>
      <c r="H356" s="203" t="s">
        <v>1840</v>
      </c>
      <c r="I356" s="75" t="s">
        <v>356</v>
      </c>
      <c r="J356" s="123" t="s">
        <v>1841</v>
      </c>
      <c r="K356" s="123" t="s">
        <v>1842</v>
      </c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</row>
    <row r="357" spans="1:36" ht="12.75">
      <c r="A357" s="72" t="s">
        <v>1843</v>
      </c>
      <c r="B357" s="72"/>
      <c r="C357" s="72" t="s">
        <v>1844</v>
      </c>
      <c r="D357" s="72" t="s">
        <v>279</v>
      </c>
      <c r="E357" s="73">
        <v>254115464041</v>
      </c>
      <c r="F357" s="5" t="s">
        <v>1845</v>
      </c>
      <c r="G357" s="7"/>
      <c r="H357" s="74" t="s">
        <v>1846</v>
      </c>
      <c r="I357" s="75" t="s">
        <v>1498</v>
      </c>
      <c r="J357" s="74">
        <v>254723281150</v>
      </c>
      <c r="K357" s="74" t="s">
        <v>1847</v>
      </c>
      <c r="L357" s="74"/>
      <c r="M357" s="74"/>
      <c r="N357" s="74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</row>
    <row r="358" spans="1:36" ht="12.75">
      <c r="A358" s="204" t="s">
        <v>1848</v>
      </c>
      <c r="B358" s="204"/>
      <c r="C358" s="95" t="s">
        <v>1849</v>
      </c>
      <c r="D358" s="95" t="s">
        <v>310</v>
      </c>
      <c r="E358" s="111">
        <v>112955879</v>
      </c>
      <c r="F358" s="3" t="s">
        <v>1850</v>
      </c>
      <c r="G358" s="7"/>
      <c r="H358" s="7" t="s">
        <v>1851</v>
      </c>
      <c r="I358" s="8" t="s">
        <v>1852</v>
      </c>
      <c r="J358" s="74" t="s">
        <v>1853</v>
      </c>
      <c r="K358" s="74" t="s">
        <v>1854</v>
      </c>
      <c r="L358" s="74"/>
      <c r="M358" s="74"/>
      <c r="N358" s="74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</row>
    <row r="359" spans="1:36" ht="12.75">
      <c r="A359" s="72" t="s">
        <v>1855</v>
      </c>
      <c r="B359" s="72"/>
      <c r="C359" s="72" t="s">
        <v>1856</v>
      </c>
      <c r="D359" s="72" t="s">
        <v>242</v>
      </c>
      <c r="E359" s="73">
        <v>701318413</v>
      </c>
      <c r="F359" s="139" t="s">
        <v>700</v>
      </c>
      <c r="G359" s="198"/>
      <c r="H359" s="198" t="s">
        <v>450</v>
      </c>
      <c r="I359" s="199" t="s">
        <v>451</v>
      </c>
      <c r="J359" s="200">
        <v>799290741</v>
      </c>
      <c r="K359" s="198" t="s">
        <v>87</v>
      </c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</row>
    <row r="360" spans="1:36" ht="12.75">
      <c r="A360" s="77" t="s">
        <v>1857</v>
      </c>
      <c r="B360" s="77"/>
      <c r="C360" s="77" t="s">
        <v>1858</v>
      </c>
      <c r="D360" s="77" t="s">
        <v>1859</v>
      </c>
      <c r="E360" s="78">
        <v>706339688</v>
      </c>
      <c r="F360" s="3"/>
      <c r="G360" s="7"/>
      <c r="H360" s="76"/>
      <c r="I360" s="84"/>
      <c r="J360" s="76"/>
      <c r="K360" s="76"/>
      <c r="L360" s="74"/>
      <c r="M360" s="74"/>
      <c r="N360" s="74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</row>
    <row r="361" spans="1:36" ht="12.75">
      <c r="A361" s="72" t="s">
        <v>1860</v>
      </c>
      <c r="B361" s="72"/>
      <c r="C361" s="72" t="s">
        <v>1861</v>
      </c>
      <c r="D361" s="72" t="s">
        <v>1862</v>
      </c>
      <c r="E361" s="73">
        <v>792106242</v>
      </c>
      <c r="F361" s="5" t="s">
        <v>116</v>
      </c>
      <c r="G361" s="7"/>
      <c r="H361" s="74" t="s">
        <v>1863</v>
      </c>
      <c r="I361" s="75" t="s">
        <v>1410</v>
      </c>
      <c r="J361" s="74">
        <v>724259781</v>
      </c>
      <c r="K361" s="74" t="s">
        <v>1864</v>
      </c>
      <c r="L361" s="74"/>
      <c r="M361" s="74"/>
      <c r="N361" s="74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</row>
    <row r="362" spans="1:36" ht="12.75">
      <c r="A362" s="77" t="s">
        <v>1865</v>
      </c>
      <c r="B362" s="77"/>
      <c r="C362" s="77" t="s">
        <v>1866</v>
      </c>
      <c r="D362" s="77" t="s">
        <v>62</v>
      </c>
      <c r="E362" s="78">
        <v>769703272</v>
      </c>
      <c r="F362" s="3" t="s">
        <v>1867</v>
      </c>
      <c r="G362" s="7"/>
      <c r="H362" s="74" t="s">
        <v>1868</v>
      </c>
      <c r="I362" s="75" t="s">
        <v>218</v>
      </c>
      <c r="J362" s="74">
        <v>104040696</v>
      </c>
      <c r="K362" s="74" t="s">
        <v>1869</v>
      </c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</row>
    <row r="363" spans="1:36" ht="12.75">
      <c r="A363" s="102" t="s">
        <v>1870</v>
      </c>
      <c r="B363" s="102"/>
      <c r="C363" s="102" t="s">
        <v>616</v>
      </c>
      <c r="D363" s="102" t="s">
        <v>616</v>
      </c>
      <c r="E363" s="87"/>
      <c r="F363" s="102" t="s">
        <v>1871</v>
      </c>
      <c r="G363" s="103"/>
      <c r="H363" s="76"/>
      <c r="I363" s="104" t="s">
        <v>1872</v>
      </c>
      <c r="J363" s="103" t="s">
        <v>218</v>
      </c>
      <c r="K363" s="103"/>
      <c r="L363" s="74"/>
      <c r="M363" s="74"/>
      <c r="N363" s="74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</row>
    <row r="364" spans="1:36" ht="12.75">
      <c r="A364" s="77"/>
      <c r="B364" s="77"/>
      <c r="C364" s="77" t="s">
        <v>1873</v>
      </c>
      <c r="D364" s="77" t="s">
        <v>38</v>
      </c>
      <c r="E364" s="78">
        <v>711782814</v>
      </c>
      <c r="F364" s="3" t="s">
        <v>1874</v>
      </c>
      <c r="G364" s="7"/>
      <c r="H364" s="74" t="s">
        <v>1875</v>
      </c>
      <c r="I364" s="75" t="s">
        <v>1876</v>
      </c>
      <c r="J364" s="74">
        <v>254710901376</v>
      </c>
      <c r="K364" s="98" t="s">
        <v>1877</v>
      </c>
      <c r="L364" s="74"/>
      <c r="M364" s="74"/>
      <c r="N364" s="74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</row>
    <row r="365" spans="1:36" ht="12.75">
      <c r="A365" s="102"/>
      <c r="B365" s="102"/>
      <c r="C365" s="102" t="s">
        <v>1878</v>
      </c>
      <c r="D365" s="102" t="s">
        <v>1878</v>
      </c>
      <c r="E365" s="87"/>
      <c r="F365" s="102" t="s">
        <v>1879</v>
      </c>
      <c r="G365" s="103"/>
      <c r="H365" s="103" t="s">
        <v>1880</v>
      </c>
      <c r="I365" s="104" t="s">
        <v>1881</v>
      </c>
      <c r="J365" s="105">
        <v>254792079695</v>
      </c>
      <c r="K365" s="103" t="s">
        <v>1882</v>
      </c>
      <c r="L365" s="74"/>
      <c r="M365" s="74"/>
      <c r="N365" s="74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</row>
    <row r="366" spans="1:36" ht="12.75">
      <c r="A366" s="77"/>
      <c r="B366" s="77"/>
      <c r="C366" s="77" t="s">
        <v>1883</v>
      </c>
      <c r="D366" s="77" t="s">
        <v>1742</v>
      </c>
      <c r="E366" s="78">
        <v>254706439639</v>
      </c>
      <c r="F366" s="3" t="s">
        <v>1884</v>
      </c>
      <c r="G366" s="7"/>
      <c r="H366" s="74" t="s">
        <v>1885</v>
      </c>
      <c r="I366" s="75" t="s">
        <v>1886</v>
      </c>
      <c r="J366" s="76"/>
      <c r="K366" s="76"/>
      <c r="L366" s="74"/>
      <c r="M366" s="74"/>
      <c r="N366" s="74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</row>
    <row r="367" spans="1:36" ht="5.25" customHeight="1">
      <c r="A367" s="189"/>
      <c r="B367" s="189"/>
      <c r="C367" s="189"/>
      <c r="D367" s="189"/>
      <c r="E367" s="87"/>
      <c r="F367" s="13"/>
      <c r="G367" s="9"/>
      <c r="H367" s="76"/>
      <c r="I367" s="84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</row>
    <row r="368" spans="1:36" ht="12.75">
      <c r="A368" s="77" t="s">
        <v>1887</v>
      </c>
      <c r="B368" s="77"/>
      <c r="C368" s="77" t="s">
        <v>1888</v>
      </c>
      <c r="D368" s="77" t="s">
        <v>1889</v>
      </c>
      <c r="E368" s="78">
        <v>713024433</v>
      </c>
      <c r="F368" s="3" t="s">
        <v>1890</v>
      </c>
      <c r="G368" s="7"/>
      <c r="H368" s="74" t="s">
        <v>1891</v>
      </c>
      <c r="I368" s="75" t="s">
        <v>1410</v>
      </c>
      <c r="J368" s="74">
        <v>754900551</v>
      </c>
      <c r="K368" s="74" t="s">
        <v>1892</v>
      </c>
      <c r="L368" s="74"/>
      <c r="M368" s="74"/>
      <c r="N368" s="74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</row>
    <row r="369" spans="1:36" ht="12.75">
      <c r="A369" s="72" t="s">
        <v>1893</v>
      </c>
      <c r="B369" s="72"/>
      <c r="C369" s="72" t="s">
        <v>1894</v>
      </c>
      <c r="D369" s="72" t="s">
        <v>183</v>
      </c>
      <c r="E369" s="73">
        <v>707878739</v>
      </c>
      <c r="F369" s="5" t="s">
        <v>1895</v>
      </c>
      <c r="G369" s="7"/>
      <c r="H369" s="74" t="s">
        <v>1896</v>
      </c>
      <c r="I369" s="75" t="s">
        <v>887</v>
      </c>
      <c r="J369" s="74">
        <v>722797441</v>
      </c>
      <c r="K369" s="74" t="s">
        <v>1296</v>
      </c>
      <c r="L369" s="74"/>
      <c r="M369" s="74"/>
      <c r="N369" s="74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</row>
    <row r="370" spans="1:36" ht="12.75">
      <c r="A370" s="77" t="s">
        <v>1897</v>
      </c>
      <c r="B370" s="77"/>
      <c r="C370" s="77" t="s">
        <v>1898</v>
      </c>
      <c r="D370" s="77" t="s">
        <v>1899</v>
      </c>
      <c r="E370" s="78">
        <v>112213399</v>
      </c>
      <c r="F370" s="3" t="s">
        <v>1900</v>
      </c>
      <c r="G370" s="7"/>
      <c r="H370" s="74" t="s">
        <v>1901</v>
      </c>
      <c r="I370" s="75" t="s">
        <v>1902</v>
      </c>
      <c r="J370" s="74">
        <v>702938420</v>
      </c>
      <c r="K370" s="74" t="s">
        <v>1903</v>
      </c>
      <c r="L370" s="74"/>
      <c r="M370" s="74"/>
      <c r="N370" s="74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</row>
    <row r="371" spans="1:36" ht="12.75">
      <c r="A371" s="72" t="s">
        <v>1904</v>
      </c>
      <c r="B371" s="72"/>
      <c r="C371" s="72" t="s">
        <v>1905</v>
      </c>
      <c r="D371" s="72" t="s">
        <v>884</v>
      </c>
      <c r="E371" s="73">
        <v>716513069</v>
      </c>
      <c r="F371" s="5" t="s">
        <v>1906</v>
      </c>
      <c r="G371" s="7"/>
      <c r="H371" s="74" t="s">
        <v>1907</v>
      </c>
      <c r="I371" s="75" t="s">
        <v>1908</v>
      </c>
      <c r="J371" s="74">
        <v>716433069</v>
      </c>
      <c r="K371" s="74" t="s">
        <v>1909</v>
      </c>
      <c r="L371" s="74"/>
      <c r="M371" s="74"/>
      <c r="N371" s="74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</row>
    <row r="372" spans="1:36" ht="12.75">
      <c r="A372" s="77" t="s">
        <v>1358</v>
      </c>
      <c r="B372" s="77"/>
      <c r="C372" s="77" t="s">
        <v>1359</v>
      </c>
      <c r="D372" s="77" t="s">
        <v>1360</v>
      </c>
      <c r="E372" s="78">
        <v>791858089</v>
      </c>
      <c r="F372" s="3" t="s">
        <v>1361</v>
      </c>
      <c r="G372" s="7"/>
      <c r="H372" s="74" t="s">
        <v>1362</v>
      </c>
      <c r="I372" s="75" t="s">
        <v>1363</v>
      </c>
      <c r="J372" s="74">
        <v>725393939</v>
      </c>
      <c r="K372" s="74" t="s">
        <v>1364</v>
      </c>
      <c r="L372" s="74"/>
      <c r="M372" s="74"/>
      <c r="N372" s="74"/>
      <c r="O372" s="74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</row>
    <row r="373" spans="1:36" ht="12.75">
      <c r="A373" s="72" t="s">
        <v>117</v>
      </c>
      <c r="B373" s="72"/>
      <c r="C373" s="72" t="s">
        <v>118</v>
      </c>
      <c r="D373" s="72" t="s">
        <v>119</v>
      </c>
      <c r="E373" s="73">
        <v>796290165</v>
      </c>
      <c r="F373" s="5" t="s">
        <v>120</v>
      </c>
      <c r="G373" s="7"/>
      <c r="H373" s="74" t="s">
        <v>121</v>
      </c>
      <c r="I373" s="75" t="s">
        <v>122</v>
      </c>
      <c r="J373" s="74">
        <v>701167883</v>
      </c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</row>
    <row r="374" spans="1:36" ht="12.75">
      <c r="A374" s="77" t="s">
        <v>1235</v>
      </c>
      <c r="B374" s="77"/>
      <c r="C374" s="77" t="s">
        <v>1236</v>
      </c>
      <c r="D374" s="77" t="s">
        <v>78</v>
      </c>
      <c r="E374" s="78">
        <v>113105177</v>
      </c>
      <c r="F374" s="3" t="s">
        <v>1237</v>
      </c>
      <c r="G374" s="7"/>
      <c r="H374" s="74" t="s">
        <v>1238</v>
      </c>
      <c r="I374" s="75" t="s">
        <v>1239</v>
      </c>
      <c r="J374" s="74">
        <v>7255559329</v>
      </c>
      <c r="K374" s="74" t="s">
        <v>1240</v>
      </c>
      <c r="L374" s="74"/>
      <c r="M374" s="74"/>
      <c r="N374" s="74"/>
      <c r="O374" s="74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</row>
    <row r="375" spans="1:36" ht="12.75">
      <c r="A375" s="72" t="s">
        <v>543</v>
      </c>
      <c r="B375" s="72"/>
      <c r="C375" s="72" t="s">
        <v>544</v>
      </c>
      <c r="D375" s="72" t="s">
        <v>441</v>
      </c>
      <c r="E375" s="73">
        <v>790417880</v>
      </c>
      <c r="F375" s="5" t="s">
        <v>545</v>
      </c>
      <c r="G375" s="7"/>
      <c r="H375" s="76"/>
      <c r="I375" s="84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</row>
    <row r="376" spans="1:36" ht="12.75">
      <c r="A376" s="77" t="s">
        <v>991</v>
      </c>
      <c r="B376" s="77"/>
      <c r="C376" s="77" t="s">
        <v>992</v>
      </c>
      <c r="D376" s="77" t="s">
        <v>341</v>
      </c>
      <c r="E376" s="78">
        <v>706684040</v>
      </c>
      <c r="F376" s="3" t="s">
        <v>993</v>
      </c>
      <c r="G376" s="7"/>
      <c r="H376" s="74" t="s">
        <v>994</v>
      </c>
      <c r="I376" s="75" t="s">
        <v>269</v>
      </c>
      <c r="J376" s="74">
        <v>706684040</v>
      </c>
      <c r="K376" s="74" t="s">
        <v>995</v>
      </c>
      <c r="L376" s="74"/>
      <c r="M376" s="74"/>
      <c r="N376" s="74"/>
      <c r="O376" s="74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</row>
    <row r="377" spans="1:36" ht="21">
      <c r="A377" s="72" t="s">
        <v>1378</v>
      </c>
      <c r="B377" s="72"/>
      <c r="C377" s="72" t="s">
        <v>1379</v>
      </c>
      <c r="D377" s="72" t="s">
        <v>475</v>
      </c>
      <c r="E377" s="73">
        <v>743367267</v>
      </c>
      <c r="F377" s="5" t="s">
        <v>1380</v>
      </c>
      <c r="G377" s="7"/>
      <c r="H377" s="74" t="s">
        <v>1381</v>
      </c>
      <c r="I377" s="75" t="s">
        <v>1382</v>
      </c>
      <c r="J377" s="74">
        <v>723583259</v>
      </c>
      <c r="K377" s="205" t="s">
        <v>224</v>
      </c>
      <c r="L377" s="151"/>
      <c r="M377" s="151"/>
      <c r="N377" s="151"/>
      <c r="O377" s="151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</row>
    <row r="378" spans="1:36" ht="12.75">
      <c r="A378" s="77" t="s">
        <v>1149</v>
      </c>
      <c r="B378" s="77"/>
      <c r="C378" s="77" t="s">
        <v>1150</v>
      </c>
      <c r="D378" s="77" t="s">
        <v>1151</v>
      </c>
      <c r="E378" s="78">
        <v>700779642</v>
      </c>
      <c r="F378" s="3" t="s">
        <v>1152</v>
      </c>
      <c r="G378" s="7"/>
      <c r="H378" s="74" t="s">
        <v>1153</v>
      </c>
      <c r="I378" s="75" t="s">
        <v>1154</v>
      </c>
      <c r="J378" s="74">
        <v>713101289</v>
      </c>
      <c r="K378" s="74" t="s">
        <v>1155</v>
      </c>
      <c r="L378" s="74"/>
      <c r="M378" s="74"/>
      <c r="N378" s="74"/>
      <c r="O378" s="74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</row>
    <row r="379" spans="1:36" ht="12.75">
      <c r="A379" s="72" t="s">
        <v>443</v>
      </c>
      <c r="B379" s="72"/>
      <c r="C379" s="72" t="s">
        <v>444</v>
      </c>
      <c r="D379" s="72" t="s">
        <v>445</v>
      </c>
      <c r="E379" s="73">
        <v>725158687</v>
      </c>
      <c r="F379" s="5" t="s">
        <v>342</v>
      </c>
      <c r="G379" s="7"/>
      <c r="H379" s="74" t="s">
        <v>446</v>
      </c>
      <c r="I379" s="75" t="s">
        <v>356</v>
      </c>
      <c r="J379" s="74">
        <v>715364294</v>
      </c>
      <c r="K379" s="74" t="s">
        <v>105</v>
      </c>
      <c r="L379" s="74"/>
      <c r="M379" s="74"/>
      <c r="N379" s="74"/>
      <c r="O379" s="74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</row>
    <row r="380" spans="1:36" ht="12.75">
      <c r="A380" s="77" t="s">
        <v>913</v>
      </c>
      <c r="B380" s="77"/>
      <c r="C380" s="77" t="s">
        <v>914</v>
      </c>
      <c r="D380" s="77" t="s">
        <v>341</v>
      </c>
      <c r="E380" s="78">
        <v>112863597</v>
      </c>
      <c r="F380" s="3" t="s">
        <v>915</v>
      </c>
      <c r="G380" s="7"/>
      <c r="H380" s="76"/>
      <c r="I380" s="84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</row>
    <row r="381" spans="1:36" ht="12.75">
      <c r="A381" s="72" t="s">
        <v>1323</v>
      </c>
      <c r="B381" s="72"/>
      <c r="C381" s="72" t="s">
        <v>1324</v>
      </c>
      <c r="D381" s="72" t="s">
        <v>1325</v>
      </c>
      <c r="E381" s="73">
        <v>112810203</v>
      </c>
      <c r="F381" s="5" t="s">
        <v>342</v>
      </c>
      <c r="G381" s="7"/>
      <c r="H381" s="74" t="s">
        <v>355</v>
      </c>
      <c r="I381" s="75" t="s">
        <v>356</v>
      </c>
      <c r="J381" s="74">
        <v>715364294</v>
      </c>
      <c r="K381" s="74" t="s">
        <v>105</v>
      </c>
      <c r="L381" s="60"/>
      <c r="M381" s="60"/>
      <c r="N381" s="60"/>
      <c r="O381" s="60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</row>
    <row r="382" spans="1:36" ht="12.75">
      <c r="A382" s="77" t="s">
        <v>514</v>
      </c>
      <c r="B382" s="77"/>
      <c r="C382" s="77" t="s">
        <v>515</v>
      </c>
      <c r="D382" s="77" t="s">
        <v>516</v>
      </c>
      <c r="E382" s="78">
        <v>794570935</v>
      </c>
      <c r="F382" s="3" t="s">
        <v>517</v>
      </c>
      <c r="G382" s="7"/>
      <c r="H382" s="74" t="s">
        <v>518</v>
      </c>
      <c r="I382" s="75"/>
      <c r="J382" s="74">
        <v>724477942</v>
      </c>
      <c r="K382" s="74" t="s">
        <v>519</v>
      </c>
      <c r="L382" s="74"/>
      <c r="M382" s="74"/>
      <c r="N382" s="74"/>
      <c r="O382" s="74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</row>
    <row r="383" spans="1:36" ht="12.75">
      <c r="A383" s="72" t="s">
        <v>1910</v>
      </c>
      <c r="B383" s="72"/>
      <c r="C383" s="72" t="s">
        <v>1911</v>
      </c>
      <c r="D383" s="72" t="s">
        <v>1912</v>
      </c>
      <c r="E383" s="73">
        <v>714568431</v>
      </c>
      <c r="F383" s="5" t="s">
        <v>1913</v>
      </c>
      <c r="G383" s="7"/>
      <c r="H383" s="74" t="s">
        <v>1914</v>
      </c>
      <c r="I383" s="75" t="s">
        <v>1915</v>
      </c>
      <c r="J383" s="74">
        <v>110345166</v>
      </c>
      <c r="K383" s="74" t="s">
        <v>1916</v>
      </c>
      <c r="L383" s="74"/>
      <c r="M383" s="74"/>
      <c r="N383" s="74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</row>
    <row r="384" spans="1:36" ht="12.75">
      <c r="A384" s="206" t="s">
        <v>679</v>
      </c>
      <c r="B384" s="206"/>
      <c r="C384" s="207" t="s">
        <v>680</v>
      </c>
      <c r="D384" s="207" t="s">
        <v>1917</v>
      </c>
      <c r="E384" s="112"/>
      <c r="F384" s="207" t="s">
        <v>681</v>
      </c>
      <c r="G384" s="108"/>
      <c r="H384" s="108" t="s">
        <v>682</v>
      </c>
      <c r="I384" s="109" t="s">
        <v>179</v>
      </c>
      <c r="J384" s="110">
        <v>254713487535</v>
      </c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</row>
    <row r="385" spans="1:36" ht="12.75">
      <c r="A385" s="106" t="s">
        <v>1598</v>
      </c>
      <c r="B385" s="106"/>
      <c r="C385" s="106" t="s">
        <v>1599</v>
      </c>
      <c r="D385" s="106" t="s">
        <v>68</v>
      </c>
      <c r="E385" s="87"/>
      <c r="F385" s="106" t="s">
        <v>1601</v>
      </c>
      <c r="G385" s="108"/>
      <c r="H385" s="108" t="s">
        <v>1602</v>
      </c>
      <c r="I385" s="109" t="s">
        <v>1603</v>
      </c>
      <c r="J385" s="110">
        <v>254740180940</v>
      </c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</row>
    <row r="386" spans="1:36" ht="12.75">
      <c r="A386" s="207" t="s">
        <v>176</v>
      </c>
      <c r="B386" s="207"/>
      <c r="C386" s="207" t="s">
        <v>177</v>
      </c>
      <c r="D386" s="207" t="s">
        <v>508</v>
      </c>
      <c r="E386" s="78">
        <v>701158499</v>
      </c>
      <c r="F386" s="207" t="s">
        <v>178</v>
      </c>
      <c r="G386" s="108"/>
      <c r="H386" s="108" t="s">
        <v>26</v>
      </c>
      <c r="I386" s="109" t="s">
        <v>179</v>
      </c>
      <c r="J386" s="208">
        <v>254719686390</v>
      </c>
      <c r="K386" s="74" t="s">
        <v>180</v>
      </c>
      <c r="L386" s="74"/>
      <c r="M386" s="74"/>
      <c r="N386" s="74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</row>
    <row r="387" spans="1:36" ht="12.75">
      <c r="A387" s="106" t="s">
        <v>1813</v>
      </c>
      <c r="B387" s="106"/>
      <c r="C387" s="426" t="s">
        <v>1814</v>
      </c>
      <c r="D387" s="106" t="s">
        <v>227</v>
      </c>
      <c r="E387" s="87"/>
      <c r="F387" s="106" t="s">
        <v>1815</v>
      </c>
      <c r="G387" s="108"/>
      <c r="H387" s="108" t="s">
        <v>1816</v>
      </c>
      <c r="I387" s="109" t="s">
        <v>218</v>
      </c>
      <c r="J387" s="110">
        <v>254759441965</v>
      </c>
      <c r="K387" s="74"/>
      <c r="L387" s="74"/>
      <c r="M387" s="74"/>
      <c r="N387" s="74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</row>
    <row r="388" spans="1:36" ht="12.75">
      <c r="A388" s="207" t="s">
        <v>1475</v>
      </c>
      <c r="B388" s="207"/>
      <c r="C388" s="427"/>
      <c r="D388" s="207" t="s">
        <v>301</v>
      </c>
      <c r="E388" s="112"/>
      <c r="F388" s="207" t="s">
        <v>1478</v>
      </c>
      <c r="G388" s="108"/>
      <c r="H388" s="108" t="s">
        <v>1481</v>
      </c>
      <c r="I388" s="109" t="s">
        <v>218</v>
      </c>
      <c r="J388" s="110">
        <f>254715525242</f>
        <v>254715525242</v>
      </c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</row>
    <row r="389" spans="1:36" ht="12.75">
      <c r="A389" s="106" t="s">
        <v>1509</v>
      </c>
      <c r="B389" s="106"/>
      <c r="C389" s="428"/>
      <c r="D389" s="106" t="s">
        <v>155</v>
      </c>
      <c r="E389" s="87"/>
      <c r="F389" s="106" t="s">
        <v>902</v>
      </c>
      <c r="G389" s="108"/>
      <c r="H389" s="108" t="s">
        <v>903</v>
      </c>
      <c r="I389" s="109" t="s">
        <v>59</v>
      </c>
      <c r="J389" s="110">
        <v>797786295</v>
      </c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</row>
    <row r="390" spans="1:36" ht="12.75">
      <c r="A390" s="207" t="s">
        <v>1918</v>
      </c>
      <c r="B390" s="207"/>
      <c r="C390" s="427"/>
      <c r="D390" s="207" t="s">
        <v>155</v>
      </c>
      <c r="E390" s="112"/>
      <c r="F390" s="207" t="s">
        <v>1879</v>
      </c>
      <c r="G390" s="108"/>
      <c r="H390" s="108" t="s">
        <v>1880</v>
      </c>
      <c r="I390" s="109" t="s">
        <v>1881</v>
      </c>
      <c r="J390" s="110">
        <v>254792079695</v>
      </c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</row>
    <row r="391" spans="1:36" ht="12.75">
      <c r="A391" s="106" t="s">
        <v>900</v>
      </c>
      <c r="B391" s="106"/>
      <c r="C391" s="428"/>
      <c r="D391" s="106" t="s">
        <v>1919</v>
      </c>
      <c r="E391" s="87"/>
      <c r="F391" s="106" t="s">
        <v>902</v>
      </c>
      <c r="G391" s="108"/>
      <c r="H391" s="108" t="s">
        <v>903</v>
      </c>
      <c r="I391" s="109" t="s">
        <v>887</v>
      </c>
      <c r="J391" s="110">
        <v>726581733</v>
      </c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</row>
    <row r="392" spans="1:36" ht="14.25">
      <c r="A392" s="77" t="s">
        <v>1920</v>
      </c>
      <c r="B392" s="77"/>
      <c r="C392" s="429"/>
      <c r="D392" s="77" t="s">
        <v>227</v>
      </c>
      <c r="E392" s="78">
        <v>111640040</v>
      </c>
      <c r="F392" s="3" t="s">
        <v>342</v>
      </c>
      <c r="G392" s="7"/>
      <c r="H392" s="74" t="s">
        <v>343</v>
      </c>
      <c r="I392" s="75" t="s">
        <v>179</v>
      </c>
      <c r="J392" s="74" t="s">
        <v>1921</v>
      </c>
      <c r="K392" s="209" t="s">
        <v>105</v>
      </c>
      <c r="L392" s="210"/>
      <c r="M392" s="210"/>
      <c r="N392" s="210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</row>
    <row r="393" spans="1:36" ht="12.75">
      <c r="A393" s="72" t="s">
        <v>1922</v>
      </c>
      <c r="B393" s="72"/>
      <c r="C393" s="72" t="s">
        <v>1923</v>
      </c>
      <c r="D393" s="72" t="s">
        <v>1924</v>
      </c>
      <c r="E393" s="73">
        <v>796303691</v>
      </c>
      <c r="F393" s="5" t="s">
        <v>1925</v>
      </c>
      <c r="G393" s="7"/>
      <c r="H393" s="74" t="s">
        <v>1926</v>
      </c>
      <c r="I393" s="75" t="s">
        <v>599</v>
      </c>
      <c r="J393" s="74">
        <v>722205756</v>
      </c>
      <c r="K393" s="74" t="s">
        <v>1927</v>
      </c>
      <c r="L393" s="74"/>
      <c r="M393" s="74"/>
      <c r="N393" s="74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</row>
    <row r="394" spans="1:36" ht="12.75">
      <c r="A394" s="3" t="s">
        <v>1928</v>
      </c>
      <c r="B394" s="3"/>
      <c r="C394" s="77" t="s">
        <v>1929</v>
      </c>
      <c r="D394" s="207" t="s">
        <v>155</v>
      </c>
      <c r="E394" s="3">
        <v>798311741</v>
      </c>
      <c r="F394" s="67" t="s">
        <v>1930</v>
      </c>
      <c r="G394" s="69"/>
      <c r="H394" s="74" t="s">
        <v>1931</v>
      </c>
      <c r="I394" s="75" t="s">
        <v>65</v>
      </c>
      <c r="J394" s="74" t="s">
        <v>1932</v>
      </c>
      <c r="K394" s="74" t="s">
        <v>1933</v>
      </c>
      <c r="L394" s="74"/>
      <c r="M394" s="74"/>
      <c r="N394" s="74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</row>
    <row r="395" spans="1:36" ht="12.75">
      <c r="A395" s="72" t="s">
        <v>1934</v>
      </c>
      <c r="B395" s="72"/>
      <c r="C395" s="72" t="s">
        <v>1935</v>
      </c>
      <c r="D395" s="72" t="s">
        <v>1924</v>
      </c>
      <c r="E395" s="73">
        <v>757877780</v>
      </c>
      <c r="F395" s="5" t="s">
        <v>1936</v>
      </c>
      <c r="G395" s="7"/>
      <c r="H395" s="74" t="s">
        <v>1926</v>
      </c>
      <c r="I395" s="75" t="s">
        <v>599</v>
      </c>
      <c r="J395" s="74">
        <v>722205756</v>
      </c>
      <c r="K395" s="74" t="s">
        <v>1927</v>
      </c>
      <c r="L395" s="74"/>
      <c r="M395" s="74"/>
      <c r="N395" s="74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</row>
    <row r="396" spans="1:36" ht="12.75">
      <c r="A396" s="77" t="s">
        <v>821</v>
      </c>
      <c r="B396" s="77"/>
      <c r="C396" s="77" t="s">
        <v>822</v>
      </c>
      <c r="D396" s="77" t="s">
        <v>301</v>
      </c>
      <c r="E396" s="78">
        <v>793667896</v>
      </c>
      <c r="F396" s="3" t="s">
        <v>823</v>
      </c>
      <c r="G396" s="7"/>
      <c r="H396" s="148" t="s">
        <v>3554</v>
      </c>
      <c r="I396" s="75" t="s">
        <v>269</v>
      </c>
      <c r="J396" s="74" t="s">
        <v>1937</v>
      </c>
      <c r="K396" s="74" t="s">
        <v>824</v>
      </c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</row>
    <row r="397" spans="1:36" ht="12.75">
      <c r="A397" s="72" t="s">
        <v>1938</v>
      </c>
      <c r="B397" s="72"/>
      <c r="C397" s="72" t="s">
        <v>16</v>
      </c>
      <c r="D397" s="72" t="s">
        <v>17</v>
      </c>
      <c r="E397" s="73">
        <v>757182774</v>
      </c>
      <c r="F397" s="5" t="s">
        <v>18</v>
      </c>
      <c r="G397" s="7"/>
      <c r="H397" s="74" t="s">
        <v>19</v>
      </c>
      <c r="I397" s="84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</row>
    <row r="398" spans="1:36" ht="12.75">
      <c r="A398" s="77" t="s">
        <v>1705</v>
      </c>
      <c r="B398" s="77"/>
      <c r="C398" s="77" t="s">
        <v>1706</v>
      </c>
      <c r="D398" s="77" t="s">
        <v>460</v>
      </c>
      <c r="E398" s="78">
        <v>110447025</v>
      </c>
      <c r="F398" s="3" t="s">
        <v>1707</v>
      </c>
      <c r="G398" s="7"/>
      <c r="H398" s="74" t="s">
        <v>1708</v>
      </c>
      <c r="I398" s="75" t="s">
        <v>1939</v>
      </c>
      <c r="J398" s="74">
        <v>703794054</v>
      </c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</row>
    <row r="399" spans="1:36" ht="12.75">
      <c r="A399" s="72" t="s">
        <v>1439</v>
      </c>
      <c r="B399" s="72"/>
      <c r="C399" s="72" t="s">
        <v>1440</v>
      </c>
      <c r="D399" s="72" t="s">
        <v>1441</v>
      </c>
      <c r="E399" s="73">
        <v>751216065</v>
      </c>
      <c r="F399" s="5" t="s">
        <v>1442</v>
      </c>
      <c r="G399" s="7"/>
      <c r="H399" s="74" t="s">
        <v>1443</v>
      </c>
      <c r="I399" s="75" t="s">
        <v>1940</v>
      </c>
      <c r="J399" s="74">
        <v>1110566855</v>
      </c>
      <c r="K399" s="74" t="s">
        <v>1941</v>
      </c>
      <c r="L399" s="74"/>
      <c r="M399" s="74"/>
      <c r="N399" s="74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</row>
    <row r="400" spans="1:36" ht="12.75">
      <c r="A400" s="77" t="s">
        <v>1093</v>
      </c>
      <c r="B400" s="77"/>
      <c r="C400" s="77" t="s">
        <v>1094</v>
      </c>
      <c r="D400" s="77" t="s">
        <v>1095</v>
      </c>
      <c r="E400" s="78" t="s">
        <v>1096</v>
      </c>
      <c r="F400" s="3" t="s">
        <v>1097</v>
      </c>
      <c r="G400" s="7"/>
      <c r="H400" s="74" t="s">
        <v>1098</v>
      </c>
      <c r="I400" s="75" t="s">
        <v>218</v>
      </c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</row>
    <row r="401" spans="1:36" ht="12.75">
      <c r="A401" s="72" t="s">
        <v>1383</v>
      </c>
      <c r="B401" s="72"/>
      <c r="C401" s="72" t="s">
        <v>1384</v>
      </c>
      <c r="D401" s="72" t="s">
        <v>1385</v>
      </c>
      <c r="E401" s="73">
        <v>746565579</v>
      </c>
      <c r="F401" s="5" t="s">
        <v>1386</v>
      </c>
      <c r="G401" s="7"/>
      <c r="H401" s="74" t="s">
        <v>1387</v>
      </c>
      <c r="I401" s="75" t="s">
        <v>218</v>
      </c>
      <c r="J401" s="74">
        <v>204408989</v>
      </c>
      <c r="K401" s="74" t="s">
        <v>1942</v>
      </c>
      <c r="L401" s="74"/>
      <c r="M401" s="74"/>
      <c r="N401" s="74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</row>
    <row r="402" spans="1:36" ht="12.75">
      <c r="A402" s="3" t="s">
        <v>1943</v>
      </c>
      <c r="B402" s="3"/>
      <c r="C402" s="77" t="s">
        <v>1944</v>
      </c>
      <c r="D402" s="77" t="s">
        <v>108</v>
      </c>
      <c r="E402" s="78">
        <v>715640703</v>
      </c>
      <c r="F402" s="3" t="s">
        <v>1945</v>
      </c>
      <c r="G402" s="7"/>
      <c r="H402" s="74" t="s">
        <v>1946</v>
      </c>
      <c r="I402" s="75" t="s">
        <v>1947</v>
      </c>
      <c r="J402" s="74">
        <v>725393939</v>
      </c>
      <c r="K402" s="74" t="s">
        <v>1750</v>
      </c>
      <c r="L402" s="74"/>
      <c r="M402" s="74"/>
      <c r="N402" s="74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</row>
    <row r="403" spans="1:36" ht="12.75">
      <c r="A403" s="5" t="s">
        <v>1948</v>
      </c>
      <c r="B403" s="5"/>
      <c r="C403" s="72" t="s">
        <v>1949</v>
      </c>
      <c r="D403" s="72" t="s">
        <v>242</v>
      </c>
      <c r="E403" s="73">
        <v>746812575</v>
      </c>
      <c r="F403" s="5" t="s">
        <v>1950</v>
      </c>
      <c r="G403" s="7"/>
      <c r="H403" s="74" t="s">
        <v>1951</v>
      </c>
      <c r="I403" s="75" t="s">
        <v>218</v>
      </c>
      <c r="J403" s="74">
        <v>799861987</v>
      </c>
      <c r="K403" s="74" t="s">
        <v>1952</v>
      </c>
      <c r="L403" s="74"/>
      <c r="M403" s="74"/>
      <c r="N403" s="74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</row>
    <row r="404" spans="1:36" ht="12.75">
      <c r="A404" s="77" t="s">
        <v>1953</v>
      </c>
      <c r="B404" s="77"/>
      <c r="C404" s="77" t="s">
        <v>1954</v>
      </c>
      <c r="D404" s="77" t="s">
        <v>1038</v>
      </c>
      <c r="E404" s="78">
        <v>790498380</v>
      </c>
      <c r="F404" s="211" t="s">
        <v>1955</v>
      </c>
      <c r="G404" s="75"/>
      <c r="H404" s="74" t="s">
        <v>1956</v>
      </c>
      <c r="I404" s="60" t="s">
        <v>134</v>
      </c>
      <c r="J404" s="60">
        <v>788014926</v>
      </c>
      <c r="K404" s="173" t="s">
        <v>135</v>
      </c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</row>
    <row r="405" spans="1:36" ht="12.75">
      <c r="A405" s="72" t="s">
        <v>1957</v>
      </c>
      <c r="B405" s="72"/>
      <c r="C405" s="72" t="s">
        <v>1958</v>
      </c>
      <c r="D405" s="72" t="s">
        <v>1829</v>
      </c>
      <c r="E405" s="73">
        <v>111950947</v>
      </c>
      <c r="F405" s="5" t="s">
        <v>1959</v>
      </c>
      <c r="G405" s="7"/>
      <c r="H405" s="74" t="s">
        <v>1960</v>
      </c>
      <c r="I405" s="75" t="s">
        <v>218</v>
      </c>
      <c r="J405" s="212">
        <f>254757095700</f>
        <v>254757095700</v>
      </c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</row>
    <row r="406" spans="1:36" ht="12.75">
      <c r="A406" s="153" t="s">
        <v>1961</v>
      </c>
      <c r="B406" s="153"/>
      <c r="C406" s="77" t="s">
        <v>1962</v>
      </c>
      <c r="D406" s="77" t="s">
        <v>108</v>
      </c>
      <c r="E406" s="78">
        <v>729128465</v>
      </c>
      <c r="F406" s="3" t="s">
        <v>1963</v>
      </c>
      <c r="G406" s="7"/>
      <c r="H406" s="74" t="s">
        <v>1964</v>
      </c>
      <c r="I406" s="75" t="s">
        <v>218</v>
      </c>
      <c r="J406" s="74" t="s">
        <v>1965</v>
      </c>
      <c r="K406" s="74" t="s">
        <v>1966</v>
      </c>
      <c r="L406" s="74"/>
      <c r="M406" s="74"/>
      <c r="N406" s="74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</row>
    <row r="407" spans="1:36" ht="12.75">
      <c r="A407" s="72" t="s">
        <v>1967</v>
      </c>
      <c r="B407" s="72"/>
      <c r="C407" s="72" t="s">
        <v>1968</v>
      </c>
      <c r="D407" s="213" t="s">
        <v>508</v>
      </c>
      <c r="E407" s="73">
        <v>110471855</v>
      </c>
      <c r="F407" s="5" t="s">
        <v>1969</v>
      </c>
      <c r="G407" s="7"/>
      <c r="H407" s="74" t="s">
        <v>1970</v>
      </c>
      <c r="I407" s="75" t="s">
        <v>1971</v>
      </c>
      <c r="J407" s="74">
        <v>723137930</v>
      </c>
      <c r="K407" s="74" t="s">
        <v>1972</v>
      </c>
      <c r="L407" s="74"/>
      <c r="M407" s="74"/>
      <c r="N407" s="74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</row>
    <row r="408" spans="1:36" ht="12.75">
      <c r="A408" s="77" t="s">
        <v>1973</v>
      </c>
      <c r="B408" s="77"/>
      <c r="C408" s="77" t="s">
        <v>1974</v>
      </c>
      <c r="D408" s="92" t="s">
        <v>508</v>
      </c>
      <c r="E408" s="78">
        <v>717214255</v>
      </c>
      <c r="F408" s="3" t="s">
        <v>1975</v>
      </c>
      <c r="G408" s="7"/>
      <c r="H408" s="74" t="s">
        <v>1976</v>
      </c>
      <c r="I408" s="75" t="s">
        <v>1686</v>
      </c>
      <c r="J408" s="74">
        <v>712585874</v>
      </c>
      <c r="K408" s="74" t="s">
        <v>1977</v>
      </c>
      <c r="L408" s="74"/>
      <c r="M408" s="74"/>
      <c r="N408" s="74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</row>
    <row r="409" spans="1:36" ht="15.75" customHeight="1">
      <c r="A409" s="72" t="s">
        <v>1978</v>
      </c>
      <c r="B409" s="72"/>
      <c r="C409" s="72" t="s">
        <v>1979</v>
      </c>
      <c r="D409" s="164" t="s">
        <v>1980</v>
      </c>
      <c r="E409" s="73">
        <v>748247150</v>
      </c>
      <c r="F409" s="5" t="s">
        <v>1981</v>
      </c>
      <c r="G409" s="7"/>
      <c r="H409" s="74" t="s">
        <v>1982</v>
      </c>
      <c r="I409" s="75" t="s">
        <v>916</v>
      </c>
      <c r="J409" s="74">
        <v>727564582</v>
      </c>
      <c r="K409" s="148" t="s">
        <v>3555</v>
      </c>
      <c r="L409" s="173"/>
      <c r="M409" s="173"/>
      <c r="N409" s="173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</row>
    <row r="410" spans="1:36" ht="12.75">
      <c r="A410" s="77" t="s">
        <v>1984</v>
      </c>
      <c r="B410" s="77"/>
      <c r="C410" s="77" t="s">
        <v>1985</v>
      </c>
      <c r="D410" s="153" t="s">
        <v>395</v>
      </c>
      <c r="E410" s="78">
        <v>759270210</v>
      </c>
      <c r="F410" s="3" t="s">
        <v>1986</v>
      </c>
      <c r="G410" s="7"/>
      <c r="H410" s="74" t="s">
        <v>1987</v>
      </c>
      <c r="I410" s="75" t="s">
        <v>100</v>
      </c>
      <c r="J410" s="74">
        <v>771067992</v>
      </c>
      <c r="K410" s="74" t="s">
        <v>1988</v>
      </c>
      <c r="L410" s="74"/>
      <c r="M410" s="74"/>
      <c r="N410" s="74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</row>
    <row r="411" spans="1:36" ht="15">
      <c r="A411" s="72" t="s">
        <v>1989</v>
      </c>
      <c r="B411" s="72"/>
      <c r="C411" s="72" t="s">
        <v>1990</v>
      </c>
      <c r="D411" s="214" t="s">
        <v>1991</v>
      </c>
      <c r="E411" s="73">
        <v>113795338</v>
      </c>
      <c r="F411" s="27" t="s">
        <v>1992</v>
      </c>
      <c r="G411" s="20"/>
      <c r="H411" s="74" t="s">
        <v>1993</v>
      </c>
      <c r="I411" s="75" t="s">
        <v>1994</v>
      </c>
      <c r="J411" s="74">
        <v>202660859</v>
      </c>
      <c r="K411" s="74" t="s">
        <v>1995</v>
      </c>
      <c r="L411" s="74"/>
      <c r="M411" s="74"/>
      <c r="N411" s="74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</row>
    <row r="412" spans="1:36" ht="12.75">
      <c r="A412" s="77" t="s">
        <v>1996</v>
      </c>
      <c r="B412" s="77"/>
      <c r="C412" s="77" t="s">
        <v>1997</v>
      </c>
      <c r="D412" s="215" t="s">
        <v>1998</v>
      </c>
      <c r="E412" s="78">
        <v>115730595</v>
      </c>
      <c r="F412" s="3" t="s">
        <v>1999</v>
      </c>
      <c r="G412" s="7"/>
      <c r="H412" s="74" t="s">
        <v>2000</v>
      </c>
      <c r="I412" s="75" t="s">
        <v>2001</v>
      </c>
      <c r="J412" s="74">
        <v>754900551</v>
      </c>
      <c r="K412" s="74" t="s">
        <v>1892</v>
      </c>
      <c r="L412" s="74"/>
      <c r="M412" s="74"/>
      <c r="N412" s="74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</row>
    <row r="413" spans="1:36" ht="12.75">
      <c r="A413" s="72" t="s">
        <v>2002</v>
      </c>
      <c r="B413" s="72"/>
      <c r="C413" s="72" t="s">
        <v>2003</v>
      </c>
      <c r="D413" s="72" t="s">
        <v>341</v>
      </c>
      <c r="E413" s="73">
        <v>114133708</v>
      </c>
      <c r="F413" s="5" t="s">
        <v>2004</v>
      </c>
      <c r="G413" s="7"/>
      <c r="H413" s="74" t="s">
        <v>2005</v>
      </c>
      <c r="I413" s="75" t="s">
        <v>504</v>
      </c>
      <c r="J413" s="74">
        <v>743809434</v>
      </c>
      <c r="K413" s="74" t="s">
        <v>2006</v>
      </c>
      <c r="L413" s="74"/>
      <c r="M413" s="74"/>
      <c r="N413" s="74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</row>
    <row r="414" spans="1:36" ht="12.75">
      <c r="A414" s="77" t="s">
        <v>2007</v>
      </c>
      <c r="B414" s="77"/>
      <c r="C414" s="77" t="s">
        <v>2008</v>
      </c>
      <c r="D414" s="77" t="s">
        <v>2009</v>
      </c>
      <c r="E414" s="78">
        <v>703925256</v>
      </c>
      <c r="F414" s="3" t="s">
        <v>2010</v>
      </c>
      <c r="G414" s="7"/>
      <c r="H414" s="74" t="s">
        <v>2011</v>
      </c>
      <c r="I414" s="75" t="s">
        <v>1429</v>
      </c>
      <c r="J414" s="74">
        <v>754900551</v>
      </c>
      <c r="K414" s="74" t="s">
        <v>1892</v>
      </c>
      <c r="L414" s="74"/>
      <c r="M414" s="74"/>
      <c r="N414" s="74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</row>
    <row r="415" spans="1:36" ht="12.75">
      <c r="A415" s="72" t="s">
        <v>2012</v>
      </c>
      <c r="B415" s="72"/>
      <c r="C415" s="72" t="s">
        <v>2013</v>
      </c>
      <c r="D415" s="72" t="s">
        <v>2014</v>
      </c>
      <c r="E415" s="73">
        <v>799574404</v>
      </c>
      <c r="F415" s="5" t="s">
        <v>2015</v>
      </c>
      <c r="G415" s="7"/>
      <c r="H415" s="74" t="s">
        <v>2016</v>
      </c>
      <c r="I415" s="75" t="s">
        <v>2017</v>
      </c>
      <c r="J415" s="74">
        <v>730241000</v>
      </c>
      <c r="K415" s="74" t="s">
        <v>2018</v>
      </c>
      <c r="L415" s="74"/>
      <c r="M415" s="74"/>
      <c r="N415" s="74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</row>
    <row r="416" spans="1:36" ht="12.75">
      <c r="A416" s="77" t="s">
        <v>2019</v>
      </c>
      <c r="B416" s="77"/>
      <c r="C416" s="77" t="s">
        <v>2020</v>
      </c>
      <c r="D416" s="77" t="s">
        <v>2014</v>
      </c>
      <c r="E416" s="78">
        <v>745594951</v>
      </c>
      <c r="F416" s="3" t="s">
        <v>2021</v>
      </c>
      <c r="G416" s="7"/>
      <c r="H416" s="74" t="s">
        <v>2022</v>
      </c>
      <c r="I416" s="75" t="s">
        <v>1793</v>
      </c>
      <c r="J416" s="74">
        <v>725766905</v>
      </c>
      <c r="K416" s="74" t="s">
        <v>2023</v>
      </c>
      <c r="L416" s="74"/>
      <c r="M416" s="74"/>
      <c r="N416" s="74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</row>
    <row r="417" spans="1:36" ht="12.75">
      <c r="A417" s="72" t="s">
        <v>2024</v>
      </c>
      <c r="B417" s="72"/>
      <c r="C417" s="72" t="s">
        <v>2025</v>
      </c>
      <c r="D417" s="72" t="s">
        <v>341</v>
      </c>
      <c r="E417" s="73">
        <v>112585915</v>
      </c>
      <c r="F417" s="5" t="s">
        <v>342</v>
      </c>
      <c r="G417" s="7"/>
      <c r="H417" s="74" t="s">
        <v>2026</v>
      </c>
      <c r="I417" s="75"/>
      <c r="J417" s="74">
        <v>715364294</v>
      </c>
      <c r="K417" s="74" t="s">
        <v>2027</v>
      </c>
      <c r="L417" s="74"/>
      <c r="M417" s="74"/>
      <c r="N417" s="74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</row>
    <row r="418" spans="1:36" ht="12.75">
      <c r="A418" s="77" t="s">
        <v>2028</v>
      </c>
      <c r="B418" s="77"/>
      <c r="C418" s="77" t="s">
        <v>2029</v>
      </c>
      <c r="D418" s="77" t="s">
        <v>227</v>
      </c>
      <c r="E418" s="78">
        <v>741475935</v>
      </c>
      <c r="F418" s="3" t="s">
        <v>2030</v>
      </c>
      <c r="G418" s="7"/>
      <c r="H418" s="74" t="s">
        <v>2031</v>
      </c>
      <c r="I418" s="75" t="s">
        <v>65</v>
      </c>
      <c r="J418" s="74">
        <v>723457647</v>
      </c>
      <c r="K418" s="74" t="s">
        <v>2032</v>
      </c>
      <c r="L418" s="74"/>
      <c r="M418" s="74"/>
      <c r="N418" s="74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</row>
    <row r="419" spans="1:36" ht="12.75">
      <c r="A419" s="164" t="s">
        <v>2033</v>
      </c>
      <c r="B419" s="164"/>
      <c r="C419" s="164" t="s">
        <v>2034</v>
      </c>
      <c r="D419" s="72" t="s">
        <v>227</v>
      </c>
      <c r="E419" s="73">
        <v>719319834</v>
      </c>
      <c r="F419" s="5" t="s">
        <v>1132</v>
      </c>
      <c r="G419" s="7"/>
      <c r="H419" s="74" t="s">
        <v>2035</v>
      </c>
      <c r="I419" s="75" t="s">
        <v>858</v>
      </c>
      <c r="J419" s="74">
        <v>7202582237</v>
      </c>
      <c r="K419" s="74" t="s">
        <v>180</v>
      </c>
      <c r="L419" s="74"/>
      <c r="M419" s="74"/>
      <c r="N419" s="74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</row>
    <row r="420" spans="1:36" ht="12.75">
      <c r="A420" s="77" t="s">
        <v>2036</v>
      </c>
      <c r="B420" s="77"/>
      <c r="C420" s="77" t="s">
        <v>2037</v>
      </c>
      <c r="D420" s="77" t="s">
        <v>2038</v>
      </c>
      <c r="E420" s="78">
        <v>704542249</v>
      </c>
      <c r="F420" s="3" t="s">
        <v>2039</v>
      </c>
      <c r="G420" s="7"/>
      <c r="H420" s="74" t="s">
        <v>613</v>
      </c>
      <c r="I420" s="75" t="s">
        <v>59</v>
      </c>
      <c r="J420" s="76"/>
      <c r="K420" s="74" t="s">
        <v>612</v>
      </c>
      <c r="L420" s="74"/>
      <c r="M420" s="74"/>
      <c r="N420" s="74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</row>
    <row r="421" spans="1:36" ht="12.75">
      <c r="A421" s="72" t="s">
        <v>2040</v>
      </c>
      <c r="B421" s="72"/>
      <c r="C421" s="72" t="s">
        <v>2041</v>
      </c>
      <c r="D421" s="72" t="s">
        <v>227</v>
      </c>
      <c r="E421" s="73">
        <v>703498941</v>
      </c>
      <c r="F421" s="5" t="s">
        <v>1107</v>
      </c>
      <c r="G421" s="7"/>
      <c r="H421" s="74" t="s">
        <v>2042</v>
      </c>
      <c r="I421" s="75" t="s">
        <v>14</v>
      </c>
      <c r="J421" s="76">
        <f>254710453693</f>
        <v>254710453693</v>
      </c>
      <c r="K421" s="74" t="s">
        <v>105</v>
      </c>
      <c r="L421" s="74"/>
      <c r="M421" s="74"/>
      <c r="N421" s="74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</row>
    <row r="422" spans="1:36" ht="12.75">
      <c r="A422" s="77" t="s">
        <v>2043</v>
      </c>
      <c r="B422" s="77"/>
      <c r="C422" s="77" t="s">
        <v>2044</v>
      </c>
      <c r="D422" s="77" t="s">
        <v>2045</v>
      </c>
      <c r="E422" s="78">
        <v>722520011</v>
      </c>
      <c r="F422" s="3" t="s">
        <v>2046</v>
      </c>
      <c r="G422" s="7"/>
      <c r="H422" s="74" t="s">
        <v>2047</v>
      </c>
      <c r="I422" s="75" t="s">
        <v>218</v>
      </c>
      <c r="J422" s="74">
        <v>254702938420</v>
      </c>
      <c r="K422" s="74" t="s">
        <v>1903</v>
      </c>
      <c r="L422" s="74"/>
      <c r="M422" s="74"/>
      <c r="N422" s="74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</row>
    <row r="423" spans="1:36" ht="12.75">
      <c r="A423" s="72" t="s">
        <v>2048</v>
      </c>
      <c r="B423" s="72"/>
      <c r="C423" s="72" t="s">
        <v>2049</v>
      </c>
      <c r="D423" s="72" t="s">
        <v>83</v>
      </c>
      <c r="E423" s="73">
        <v>769377947</v>
      </c>
      <c r="F423" s="5" t="s">
        <v>2050</v>
      </c>
      <c r="G423" s="7"/>
      <c r="H423" s="74" t="s">
        <v>2051</v>
      </c>
      <c r="I423" s="75" t="s">
        <v>964</v>
      </c>
      <c r="J423" s="74">
        <v>788232004</v>
      </c>
      <c r="K423" s="74" t="s">
        <v>2052</v>
      </c>
      <c r="L423" s="74"/>
      <c r="M423" s="74"/>
      <c r="N423" s="74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</row>
    <row r="424" spans="1:36" ht="12.75">
      <c r="A424" s="77" t="s">
        <v>2053</v>
      </c>
      <c r="B424" s="77"/>
      <c r="C424" s="77" t="s">
        <v>2054</v>
      </c>
      <c r="D424" s="77" t="s">
        <v>1661</v>
      </c>
      <c r="E424" s="78">
        <v>715142837</v>
      </c>
      <c r="F424" s="3" t="s">
        <v>2055</v>
      </c>
      <c r="G424" s="7"/>
      <c r="H424" s="74" t="s">
        <v>2056</v>
      </c>
      <c r="I424" s="75" t="s">
        <v>237</v>
      </c>
      <c r="J424" s="74">
        <v>799008086</v>
      </c>
      <c r="K424" s="74" t="s">
        <v>2057</v>
      </c>
      <c r="L424" s="74"/>
      <c r="M424" s="74"/>
      <c r="N424" s="74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</row>
    <row r="425" spans="1:36" ht="12.75">
      <c r="A425" s="72" t="s">
        <v>2058</v>
      </c>
      <c r="B425" s="72"/>
      <c r="C425" s="72" t="s">
        <v>2059</v>
      </c>
      <c r="D425" s="72" t="s">
        <v>1421</v>
      </c>
      <c r="E425" s="73">
        <v>746580837</v>
      </c>
      <c r="F425" s="5" t="s">
        <v>2060</v>
      </c>
      <c r="G425" s="7"/>
      <c r="H425" s="74" t="s">
        <v>2061</v>
      </c>
      <c r="I425" s="75" t="s">
        <v>2062</v>
      </c>
      <c r="J425" s="74">
        <v>774136619</v>
      </c>
      <c r="K425" s="192" t="s">
        <v>2063</v>
      </c>
      <c r="L425" s="74"/>
      <c r="M425" s="74"/>
      <c r="N425" s="74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</row>
    <row r="426" spans="1:36" ht="12.75">
      <c r="A426" s="77" t="s">
        <v>2064</v>
      </c>
      <c r="B426" s="77"/>
      <c r="C426" s="77" t="s">
        <v>2065</v>
      </c>
      <c r="D426" s="77" t="s">
        <v>673</v>
      </c>
      <c r="E426" s="78">
        <v>757116692</v>
      </c>
      <c r="F426" s="3" t="s">
        <v>2066</v>
      </c>
      <c r="G426" s="7"/>
      <c r="H426" s="74" t="s">
        <v>2067</v>
      </c>
      <c r="I426" s="75" t="s">
        <v>269</v>
      </c>
      <c r="J426" s="74">
        <v>704142508</v>
      </c>
      <c r="K426" s="74" t="s">
        <v>2068</v>
      </c>
      <c r="L426" s="74"/>
      <c r="M426" s="74"/>
      <c r="N426" s="74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</row>
    <row r="427" spans="1:36" ht="12.75">
      <c r="A427" s="72" t="s">
        <v>2069</v>
      </c>
      <c r="B427" s="72"/>
      <c r="C427" s="72" t="s">
        <v>2070</v>
      </c>
      <c r="D427" s="72" t="s">
        <v>2071</v>
      </c>
      <c r="E427" s="73">
        <v>741872405</v>
      </c>
      <c r="F427" s="5" t="s">
        <v>493</v>
      </c>
      <c r="G427" s="7"/>
      <c r="H427" s="74" t="s">
        <v>2072</v>
      </c>
      <c r="I427" s="75" t="s">
        <v>2073</v>
      </c>
      <c r="J427" s="74">
        <v>254112807337</v>
      </c>
      <c r="K427" s="74" t="s">
        <v>496</v>
      </c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</row>
    <row r="428" spans="1:36" ht="12.75">
      <c r="A428" s="77" t="s">
        <v>2074</v>
      </c>
      <c r="B428" s="77"/>
      <c r="C428" s="77" t="s">
        <v>2075</v>
      </c>
      <c r="D428" s="77" t="s">
        <v>242</v>
      </c>
      <c r="E428" s="78">
        <v>790950213</v>
      </c>
      <c r="F428" s="3" t="s">
        <v>2076</v>
      </c>
      <c r="G428" s="7"/>
      <c r="H428" s="74" t="s">
        <v>2077</v>
      </c>
      <c r="I428" s="75" t="s">
        <v>59</v>
      </c>
      <c r="J428" s="74">
        <v>784611527</v>
      </c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</row>
    <row r="429" spans="1:36" ht="12.75">
      <c r="A429" s="72" t="s">
        <v>2078</v>
      </c>
      <c r="B429" s="72"/>
      <c r="C429" s="72" t="s">
        <v>2079</v>
      </c>
      <c r="D429" s="72" t="s">
        <v>616</v>
      </c>
      <c r="E429" s="73">
        <v>768525666</v>
      </c>
      <c r="F429" s="5" t="s">
        <v>2080</v>
      </c>
      <c r="G429" s="7"/>
      <c r="H429" s="74" t="s">
        <v>2081</v>
      </c>
      <c r="I429" s="75" t="s">
        <v>65</v>
      </c>
      <c r="J429" s="74">
        <v>713530619</v>
      </c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</row>
    <row r="430" spans="1:36" ht="12.75">
      <c r="A430" s="77" t="s">
        <v>2082</v>
      </c>
      <c r="B430" s="77"/>
      <c r="C430" s="77" t="s">
        <v>2083</v>
      </c>
      <c r="D430" s="77" t="s">
        <v>1328</v>
      </c>
      <c r="E430" s="78">
        <v>758558128</v>
      </c>
      <c r="F430" s="3" t="s">
        <v>2084</v>
      </c>
      <c r="G430" s="7"/>
      <c r="H430" s="74" t="s">
        <v>2085</v>
      </c>
      <c r="I430" s="75" t="s">
        <v>2086</v>
      </c>
      <c r="J430" s="74">
        <v>718794957</v>
      </c>
      <c r="K430" s="74" t="s">
        <v>2087</v>
      </c>
      <c r="L430" s="74"/>
      <c r="M430" s="74"/>
      <c r="N430" s="74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</row>
    <row r="431" spans="1:36" ht="12.75">
      <c r="A431" s="72" t="s">
        <v>2088</v>
      </c>
      <c r="B431" s="72"/>
      <c r="C431" s="72" t="s">
        <v>2089</v>
      </c>
      <c r="D431" s="72" t="s">
        <v>330</v>
      </c>
      <c r="E431" s="73">
        <v>720014663</v>
      </c>
      <c r="F431" s="5" t="s">
        <v>2090</v>
      </c>
      <c r="G431" s="7"/>
      <c r="H431" s="74" t="s">
        <v>2091</v>
      </c>
      <c r="I431" s="75" t="s">
        <v>2092</v>
      </c>
      <c r="J431" s="74">
        <v>720014663</v>
      </c>
      <c r="K431" s="74" t="s">
        <v>2093</v>
      </c>
      <c r="L431" s="74"/>
      <c r="M431" s="74"/>
      <c r="N431" s="74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</row>
    <row r="432" spans="1:36" ht="12.75">
      <c r="A432" s="77" t="s">
        <v>2094</v>
      </c>
      <c r="B432" s="77"/>
      <c r="C432" s="77" t="s">
        <v>2095</v>
      </c>
      <c r="D432" s="77" t="s">
        <v>884</v>
      </c>
      <c r="E432" s="78">
        <v>791276734</v>
      </c>
      <c r="F432" s="3" t="s">
        <v>2096</v>
      </c>
      <c r="G432" s="7"/>
      <c r="H432" s="74" t="s">
        <v>2097</v>
      </c>
      <c r="I432" s="75" t="s">
        <v>2073</v>
      </c>
      <c r="J432" s="76"/>
      <c r="K432" s="74" t="s">
        <v>2098</v>
      </c>
      <c r="L432" s="74"/>
      <c r="M432" s="74"/>
      <c r="N432" s="74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</row>
    <row r="433" spans="1:36" ht="12.75">
      <c r="A433" s="72" t="s">
        <v>2099</v>
      </c>
      <c r="B433" s="72"/>
      <c r="C433" s="72" t="s">
        <v>2100</v>
      </c>
      <c r="D433" s="72" t="s">
        <v>1421</v>
      </c>
      <c r="E433" s="73">
        <v>769534461</v>
      </c>
      <c r="F433" s="5" t="s">
        <v>2101</v>
      </c>
      <c r="G433" s="7"/>
      <c r="H433" s="74" t="s">
        <v>2102</v>
      </c>
      <c r="I433" s="75" t="s">
        <v>218</v>
      </c>
      <c r="J433" s="74">
        <v>717353774</v>
      </c>
      <c r="K433" s="74" t="s">
        <v>2103</v>
      </c>
      <c r="L433" s="74"/>
      <c r="M433" s="74"/>
      <c r="N433" s="74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</row>
    <row r="434" spans="1:36" ht="12.75">
      <c r="A434" s="77" t="s">
        <v>2104</v>
      </c>
      <c r="B434" s="77"/>
      <c r="C434" s="77" t="s">
        <v>2105</v>
      </c>
      <c r="D434" s="77" t="s">
        <v>148</v>
      </c>
      <c r="E434" s="78">
        <v>729614999</v>
      </c>
      <c r="F434" s="3" t="s">
        <v>2106</v>
      </c>
      <c r="G434" s="7"/>
      <c r="H434" s="74" t="s">
        <v>2107</v>
      </c>
      <c r="I434" s="75" t="s">
        <v>2108</v>
      </c>
      <c r="J434" s="74">
        <v>725633154</v>
      </c>
      <c r="K434" s="74" t="s">
        <v>2109</v>
      </c>
      <c r="L434" s="74"/>
      <c r="M434" s="74"/>
      <c r="N434" s="74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</row>
    <row r="435" spans="1:36" ht="12.75">
      <c r="A435" s="72" t="s">
        <v>2110</v>
      </c>
      <c r="B435" s="72"/>
      <c r="C435" s="72" t="s">
        <v>2111</v>
      </c>
      <c r="D435" s="72" t="s">
        <v>2112</v>
      </c>
      <c r="E435" s="6">
        <v>799984377</v>
      </c>
      <c r="F435" s="5" t="s">
        <v>2113</v>
      </c>
      <c r="G435" s="7"/>
      <c r="H435" s="76"/>
      <c r="I435" s="75" t="s">
        <v>2114</v>
      </c>
      <c r="J435" s="74">
        <v>745624264</v>
      </c>
      <c r="K435" s="74" t="s">
        <v>2115</v>
      </c>
      <c r="L435" s="74"/>
      <c r="M435" s="74"/>
      <c r="N435" s="74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</row>
    <row r="436" spans="1:36" ht="12.75">
      <c r="A436" s="77" t="s">
        <v>2116</v>
      </c>
      <c r="B436" s="77"/>
      <c r="C436" s="77" t="s">
        <v>2117</v>
      </c>
      <c r="D436" s="77" t="s">
        <v>501</v>
      </c>
      <c r="E436" s="78">
        <v>710712800</v>
      </c>
      <c r="F436" s="3" t="s">
        <v>2118</v>
      </c>
      <c r="G436" s="7"/>
      <c r="H436" s="74" t="s">
        <v>2119</v>
      </c>
      <c r="I436" s="75" t="s">
        <v>2120</v>
      </c>
      <c r="J436" s="74">
        <v>768261851</v>
      </c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</row>
    <row r="437" spans="1:36" ht="12.75">
      <c r="A437" s="72" t="s">
        <v>2121</v>
      </c>
      <c r="B437" s="72"/>
      <c r="C437" s="72" t="s">
        <v>2122</v>
      </c>
      <c r="D437" s="72" t="s">
        <v>201</v>
      </c>
      <c r="E437" s="73">
        <v>701879131</v>
      </c>
      <c r="F437" s="5" t="s">
        <v>2123</v>
      </c>
      <c r="G437" s="7"/>
      <c r="H437" s="74" t="s">
        <v>2124</v>
      </c>
      <c r="I437" s="75" t="s">
        <v>134</v>
      </c>
      <c r="J437" s="74">
        <v>790068947</v>
      </c>
      <c r="K437" s="74" t="s">
        <v>2125</v>
      </c>
      <c r="L437" s="74"/>
      <c r="M437" s="74"/>
      <c r="N437" s="74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</row>
    <row r="438" spans="1:36" ht="12.75">
      <c r="A438" s="77" t="s">
        <v>2126</v>
      </c>
      <c r="B438" s="77"/>
      <c r="C438" s="77" t="s">
        <v>2127</v>
      </c>
      <c r="D438" s="77" t="s">
        <v>2128</v>
      </c>
      <c r="E438" s="78">
        <v>768799034</v>
      </c>
      <c r="F438" s="3" t="s">
        <v>2129</v>
      </c>
      <c r="G438" s="7"/>
      <c r="H438" s="74" t="s">
        <v>2130</v>
      </c>
      <c r="I438" s="75" t="s">
        <v>223</v>
      </c>
      <c r="J438" s="74">
        <v>733851201</v>
      </c>
      <c r="K438" s="74" t="s">
        <v>2131</v>
      </c>
      <c r="L438" s="74"/>
      <c r="M438" s="74"/>
      <c r="N438" s="74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</row>
    <row r="439" spans="1:36" ht="12.75">
      <c r="A439" s="154" t="s">
        <v>2132</v>
      </c>
      <c r="B439" s="154"/>
      <c r="C439" s="72" t="s">
        <v>1544</v>
      </c>
      <c r="D439" s="72" t="s">
        <v>2112</v>
      </c>
      <c r="E439" s="73">
        <v>748410770</v>
      </c>
      <c r="F439" s="5" t="s">
        <v>1547</v>
      </c>
      <c r="G439" s="7"/>
      <c r="H439" s="74" t="s">
        <v>85</v>
      </c>
      <c r="I439" s="75" t="s">
        <v>451</v>
      </c>
      <c r="J439" s="74">
        <v>799290741</v>
      </c>
      <c r="K439" s="74" t="s">
        <v>87</v>
      </c>
      <c r="L439" s="74"/>
      <c r="M439" s="74"/>
      <c r="N439" s="74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</row>
    <row r="440" spans="1:36" ht="12.75">
      <c r="A440" s="77" t="s">
        <v>2133</v>
      </c>
      <c r="B440" s="77"/>
      <c r="C440" s="77" t="s">
        <v>2134</v>
      </c>
      <c r="D440" s="77" t="s">
        <v>2112</v>
      </c>
      <c r="E440" s="92">
        <v>742584259</v>
      </c>
      <c r="F440" s="3" t="s">
        <v>2135</v>
      </c>
      <c r="G440" s="7"/>
      <c r="H440" s="74" t="s">
        <v>2136</v>
      </c>
      <c r="I440" s="75" t="s">
        <v>2137</v>
      </c>
      <c r="J440" s="146">
        <v>742584259</v>
      </c>
      <c r="K440" s="74" t="s">
        <v>2138</v>
      </c>
      <c r="L440" s="74"/>
      <c r="M440" s="74"/>
      <c r="N440" s="74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</row>
    <row r="441" spans="1:36" ht="12.75">
      <c r="A441" s="72" t="s">
        <v>943</v>
      </c>
      <c r="B441" s="72"/>
      <c r="C441" s="72" t="s">
        <v>944</v>
      </c>
      <c r="D441" s="72" t="s">
        <v>880</v>
      </c>
      <c r="E441" s="73">
        <v>723242610</v>
      </c>
      <c r="F441" s="5" t="s">
        <v>945</v>
      </c>
      <c r="G441" s="7"/>
      <c r="H441" s="74"/>
      <c r="I441" s="75"/>
      <c r="J441" s="74"/>
      <c r="K441" s="74"/>
      <c r="L441" s="74"/>
      <c r="M441" s="74"/>
      <c r="N441" s="74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</row>
    <row r="442" spans="1:36" ht="12.75">
      <c r="A442" s="77" t="s">
        <v>1823</v>
      </c>
      <c r="B442" s="77"/>
      <c r="C442" s="77" t="s">
        <v>1824</v>
      </c>
      <c r="D442" s="77" t="s">
        <v>880</v>
      </c>
      <c r="E442" s="78">
        <v>784388520</v>
      </c>
      <c r="F442" s="3" t="s">
        <v>1826</v>
      </c>
      <c r="G442" s="7"/>
      <c r="H442" s="74" t="s">
        <v>2139</v>
      </c>
      <c r="I442" s="75" t="s">
        <v>218</v>
      </c>
      <c r="J442" s="74">
        <v>204408989</v>
      </c>
      <c r="K442" s="74" t="s">
        <v>1942</v>
      </c>
      <c r="L442" s="74"/>
      <c r="M442" s="74"/>
      <c r="N442" s="74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</row>
    <row r="443" spans="1:36" ht="12.75">
      <c r="A443" s="72" t="s">
        <v>1572</v>
      </c>
      <c r="B443" s="72"/>
      <c r="C443" s="72" t="s">
        <v>1573</v>
      </c>
      <c r="D443" s="72" t="s">
        <v>11</v>
      </c>
      <c r="E443" s="73">
        <v>707651122</v>
      </c>
      <c r="F443" s="5" t="s">
        <v>1574</v>
      </c>
      <c r="G443" s="7"/>
      <c r="H443" s="74" t="s">
        <v>2140</v>
      </c>
      <c r="I443" s="75" t="s">
        <v>2141</v>
      </c>
      <c r="J443" s="74">
        <v>112807337</v>
      </c>
      <c r="K443" s="74" t="s">
        <v>496</v>
      </c>
      <c r="L443" s="74"/>
      <c r="M443" s="74"/>
      <c r="N443" s="74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</row>
    <row r="444" spans="1:36" ht="12.75">
      <c r="A444" s="77" t="s">
        <v>563</v>
      </c>
      <c r="B444" s="77"/>
      <c r="C444" s="77" t="s">
        <v>564</v>
      </c>
      <c r="D444" s="77" t="s">
        <v>565</v>
      </c>
      <c r="E444" s="78">
        <v>720711717</v>
      </c>
      <c r="F444" s="3" t="s">
        <v>566</v>
      </c>
      <c r="G444" s="7"/>
      <c r="H444" s="74" t="s">
        <v>613</v>
      </c>
      <c r="I444" s="84"/>
      <c r="J444" s="74">
        <v>737118289</v>
      </c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</row>
    <row r="445" spans="1:36" ht="12.75">
      <c r="A445" s="83" t="s">
        <v>146</v>
      </c>
      <c r="B445" s="83"/>
      <c r="C445" s="72" t="s">
        <v>147</v>
      </c>
      <c r="D445" s="72" t="s">
        <v>148</v>
      </c>
      <c r="E445" s="73">
        <v>759960969</v>
      </c>
      <c r="F445" s="5" t="s">
        <v>149</v>
      </c>
      <c r="G445" s="7"/>
      <c r="H445" s="76"/>
      <c r="I445" s="75" t="s">
        <v>2142</v>
      </c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</row>
    <row r="446" spans="1:36" ht="12.75">
      <c r="A446" s="77" t="s">
        <v>2143</v>
      </c>
      <c r="B446" s="77"/>
      <c r="C446" s="77" t="s">
        <v>2144</v>
      </c>
      <c r="D446" s="77" t="s">
        <v>242</v>
      </c>
      <c r="E446" s="78">
        <v>742382815</v>
      </c>
      <c r="F446" s="3" t="s">
        <v>2145</v>
      </c>
      <c r="G446" s="7"/>
      <c r="H446" s="74" t="s">
        <v>2146</v>
      </c>
      <c r="I446" s="75" t="s">
        <v>1764</v>
      </c>
      <c r="J446" s="74">
        <v>742382815</v>
      </c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</row>
    <row r="447" spans="1:36" ht="12.75">
      <c r="A447" s="72" t="s">
        <v>2147</v>
      </c>
      <c r="B447" s="72"/>
      <c r="C447" s="72" t="s">
        <v>2148</v>
      </c>
      <c r="D447" s="72" t="s">
        <v>2149</v>
      </c>
      <c r="E447" s="87">
        <f>254762436784</f>
        <v>254762436784</v>
      </c>
      <c r="F447" s="5" t="s">
        <v>2150</v>
      </c>
      <c r="G447" s="7"/>
      <c r="H447" s="74" t="s">
        <v>2151</v>
      </c>
      <c r="I447" s="75" t="s">
        <v>237</v>
      </c>
      <c r="J447" s="74">
        <v>254111121100</v>
      </c>
      <c r="K447" s="74" t="s">
        <v>2152</v>
      </c>
      <c r="L447" s="74"/>
      <c r="M447" s="74"/>
      <c r="N447" s="74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</row>
    <row r="448" spans="1:36" ht="12.75">
      <c r="A448" s="77" t="s">
        <v>2153</v>
      </c>
      <c r="B448" s="77"/>
      <c r="C448" s="77" t="s">
        <v>2154</v>
      </c>
      <c r="D448" s="172" t="s">
        <v>227</v>
      </c>
      <c r="E448" s="112">
        <v>254706313335</v>
      </c>
      <c r="F448" s="29" t="s">
        <v>897</v>
      </c>
      <c r="G448" s="9"/>
      <c r="H448" s="76" t="s">
        <v>613</v>
      </c>
      <c r="I448" s="84" t="s">
        <v>59</v>
      </c>
      <c r="J448" s="76">
        <v>736118289</v>
      </c>
      <c r="K448" s="76" t="s">
        <v>898</v>
      </c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</row>
    <row r="449" spans="1:36" ht="12.75">
      <c r="A449" s="72" t="s">
        <v>2155</v>
      </c>
      <c r="B449" s="72"/>
      <c r="C449" s="72" t="s">
        <v>2156</v>
      </c>
      <c r="D449" s="72" t="s">
        <v>2157</v>
      </c>
      <c r="E449" s="73">
        <v>114790874</v>
      </c>
      <c r="F449" s="13"/>
      <c r="G449" s="9"/>
      <c r="H449" s="76"/>
      <c r="I449" s="84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</row>
    <row r="450" spans="1:36" ht="12.75">
      <c r="A450" s="77" t="s">
        <v>2158</v>
      </c>
      <c r="B450" s="77"/>
      <c r="C450" s="77" t="s">
        <v>2159</v>
      </c>
      <c r="D450" s="77" t="s">
        <v>227</v>
      </c>
      <c r="E450" s="78">
        <v>741048174</v>
      </c>
      <c r="F450" s="3" t="s">
        <v>2160</v>
      </c>
      <c r="G450" s="7"/>
      <c r="H450" s="74" t="s">
        <v>2161</v>
      </c>
      <c r="I450" s="75" t="s">
        <v>2162</v>
      </c>
      <c r="J450" s="74">
        <v>712649366</v>
      </c>
      <c r="K450" s="74" t="s">
        <v>2006</v>
      </c>
      <c r="L450" s="74"/>
      <c r="M450" s="74"/>
      <c r="N450" s="74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</row>
    <row r="451" spans="1:36" ht="12.75">
      <c r="A451" s="72" t="s">
        <v>2163</v>
      </c>
      <c r="B451" s="72"/>
      <c r="C451" s="72" t="s">
        <v>2164</v>
      </c>
      <c r="D451" s="72" t="s">
        <v>227</v>
      </c>
      <c r="E451" s="73">
        <v>759253723</v>
      </c>
      <c r="F451" s="5" t="s">
        <v>2165</v>
      </c>
      <c r="G451" s="7"/>
      <c r="H451" s="74" t="s">
        <v>2166</v>
      </c>
      <c r="I451" s="84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</row>
    <row r="452" spans="1:36" ht="12.75">
      <c r="A452" s="77" t="s">
        <v>2167</v>
      </c>
      <c r="B452" s="77"/>
      <c r="C452" s="77" t="s">
        <v>2168</v>
      </c>
      <c r="D452" s="77" t="s">
        <v>2169</v>
      </c>
      <c r="E452" s="78">
        <v>707774064</v>
      </c>
      <c r="F452" s="3" t="s">
        <v>2170</v>
      </c>
      <c r="G452" s="7"/>
      <c r="H452" s="74" t="s">
        <v>2171</v>
      </c>
      <c r="I452" s="75" t="s">
        <v>59</v>
      </c>
      <c r="J452" s="74">
        <v>703353680</v>
      </c>
      <c r="K452" s="74" t="s">
        <v>2172</v>
      </c>
      <c r="L452" s="74"/>
      <c r="M452" s="74"/>
      <c r="N452" s="74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</row>
    <row r="453" spans="1:36" ht="12.75">
      <c r="A453" s="72" t="s">
        <v>2173</v>
      </c>
      <c r="B453" s="72"/>
      <c r="C453" s="72" t="s">
        <v>2174</v>
      </c>
      <c r="D453" s="72" t="s">
        <v>891</v>
      </c>
      <c r="E453" s="73">
        <v>759992528</v>
      </c>
      <c r="F453" s="5" t="s">
        <v>2175</v>
      </c>
      <c r="G453" s="7"/>
      <c r="H453" s="74" t="s">
        <v>1133</v>
      </c>
      <c r="I453" s="75" t="s">
        <v>2176</v>
      </c>
      <c r="J453" s="74">
        <v>7202582237</v>
      </c>
      <c r="K453" s="74" t="s">
        <v>180</v>
      </c>
      <c r="L453" s="74"/>
      <c r="M453" s="74"/>
      <c r="N453" s="74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</row>
    <row r="454" spans="1:36" ht="12.75">
      <c r="A454" s="77" t="s">
        <v>2177</v>
      </c>
      <c r="B454" s="77"/>
      <c r="C454" s="77" t="s">
        <v>2178</v>
      </c>
      <c r="D454" s="77" t="s">
        <v>2179</v>
      </c>
      <c r="E454" s="78">
        <v>794645593</v>
      </c>
      <c r="F454" s="3" t="s">
        <v>2180</v>
      </c>
      <c r="G454" s="7"/>
      <c r="H454" s="74" t="s">
        <v>2181</v>
      </c>
      <c r="I454" s="75" t="s">
        <v>2176</v>
      </c>
      <c r="J454" s="74">
        <v>729794917</v>
      </c>
      <c r="K454" s="74" t="s">
        <v>180</v>
      </c>
      <c r="L454" s="74"/>
      <c r="M454" s="74"/>
      <c r="N454" s="74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</row>
    <row r="455" spans="1:36" ht="12.75">
      <c r="A455" s="72" t="s">
        <v>2182</v>
      </c>
      <c r="B455" s="72"/>
      <c r="C455" s="72" t="s">
        <v>2183</v>
      </c>
      <c r="D455" s="72" t="s">
        <v>2184</v>
      </c>
      <c r="E455" s="87">
        <v>254704116291</v>
      </c>
      <c r="F455" s="5" t="s">
        <v>2185</v>
      </c>
      <c r="G455" s="7"/>
      <c r="H455" s="74" t="s">
        <v>2186</v>
      </c>
      <c r="I455" s="75" t="s">
        <v>59</v>
      </c>
      <c r="J455" s="74">
        <v>105906508</v>
      </c>
      <c r="K455" s="74" t="s">
        <v>2187</v>
      </c>
      <c r="L455" s="74"/>
      <c r="M455" s="74"/>
      <c r="N455" s="74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</row>
    <row r="456" spans="1:36" ht="12.75">
      <c r="A456" s="77" t="s">
        <v>2188</v>
      </c>
      <c r="B456" s="77"/>
      <c r="C456" s="77" t="s">
        <v>2189</v>
      </c>
      <c r="D456" s="77" t="s">
        <v>38</v>
      </c>
      <c r="E456" s="78">
        <v>788097323</v>
      </c>
      <c r="F456" s="3" t="s">
        <v>2190</v>
      </c>
      <c r="G456" s="7"/>
      <c r="H456" s="74" t="s">
        <v>2191</v>
      </c>
      <c r="I456" s="75" t="s">
        <v>2108</v>
      </c>
      <c r="J456" s="74">
        <v>725633154</v>
      </c>
      <c r="K456" s="74" t="s">
        <v>2109</v>
      </c>
      <c r="L456" s="74"/>
      <c r="M456" s="74"/>
      <c r="N456" s="74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</row>
    <row r="457" spans="1:36" ht="12.75">
      <c r="A457" s="72" t="s">
        <v>2192</v>
      </c>
      <c r="B457" s="72"/>
      <c r="C457" s="72" t="s">
        <v>2193</v>
      </c>
      <c r="D457" s="72" t="s">
        <v>242</v>
      </c>
      <c r="E457" s="73">
        <v>794248235</v>
      </c>
      <c r="F457" s="5" t="s">
        <v>2194</v>
      </c>
      <c r="G457" s="7"/>
      <c r="H457" s="74" t="s">
        <v>2195</v>
      </c>
      <c r="I457" s="75" t="s">
        <v>237</v>
      </c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</row>
    <row r="458" spans="1:36" ht="12.75">
      <c r="A458" s="77" t="s">
        <v>2196</v>
      </c>
      <c r="B458" s="77"/>
      <c r="C458" s="77" t="s">
        <v>2197</v>
      </c>
      <c r="D458" s="77" t="s">
        <v>2198</v>
      </c>
      <c r="E458" s="78">
        <v>758006089</v>
      </c>
      <c r="F458" s="3" t="s">
        <v>2199</v>
      </c>
      <c r="G458" s="7"/>
      <c r="H458" s="76"/>
      <c r="I458" s="84"/>
      <c r="J458" s="74">
        <v>203754904</v>
      </c>
      <c r="K458" s="74" t="s">
        <v>2200</v>
      </c>
      <c r="L458" s="74"/>
      <c r="M458" s="74"/>
      <c r="N458" s="74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</row>
    <row r="459" spans="1:36" ht="15">
      <c r="A459" s="72" t="s">
        <v>2201</v>
      </c>
      <c r="B459" s="72"/>
      <c r="C459" s="72" t="s">
        <v>2202</v>
      </c>
      <c r="D459" s="72" t="s">
        <v>2203</v>
      </c>
      <c r="E459" s="73">
        <v>793812903</v>
      </c>
      <c r="F459" s="5" t="s">
        <v>2204</v>
      </c>
      <c r="G459" s="7"/>
      <c r="H459" s="74" t="s">
        <v>2205</v>
      </c>
      <c r="I459" s="75" t="s">
        <v>14</v>
      </c>
      <c r="J459" s="74">
        <v>711291127</v>
      </c>
      <c r="K459" s="216" t="s">
        <v>2206</v>
      </c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</row>
    <row r="460" spans="1:36" ht="12.75">
      <c r="A460" s="77" t="s">
        <v>2207</v>
      </c>
      <c r="B460" s="77"/>
      <c r="C460" s="77" t="s">
        <v>2208</v>
      </c>
      <c r="D460" s="77" t="s">
        <v>2209</v>
      </c>
      <c r="E460" s="78">
        <v>714978525</v>
      </c>
      <c r="F460" s="3" t="s">
        <v>2210</v>
      </c>
      <c r="G460" s="7"/>
      <c r="H460" s="74" t="s">
        <v>2211</v>
      </c>
      <c r="I460" s="75" t="s">
        <v>59</v>
      </c>
      <c r="J460" s="76">
        <v>254786789411</v>
      </c>
      <c r="K460" s="74" t="s">
        <v>2212</v>
      </c>
      <c r="L460" s="74"/>
      <c r="M460" s="74"/>
      <c r="N460" s="74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</row>
    <row r="461" spans="1:36" ht="12.75">
      <c r="A461" s="72" t="s">
        <v>2213</v>
      </c>
      <c r="B461" s="72"/>
      <c r="C461" s="72" t="s">
        <v>2214</v>
      </c>
      <c r="D461" s="72" t="s">
        <v>2209</v>
      </c>
      <c r="E461" s="73">
        <v>794473791</v>
      </c>
      <c r="F461" s="5" t="s">
        <v>2215</v>
      </c>
      <c r="G461" s="7"/>
      <c r="H461" s="74" t="s">
        <v>941</v>
      </c>
      <c r="I461" s="75" t="s">
        <v>218</v>
      </c>
      <c r="J461" s="74">
        <v>704215496</v>
      </c>
      <c r="K461" s="74" t="s">
        <v>2216</v>
      </c>
      <c r="L461" s="74"/>
      <c r="M461" s="74"/>
      <c r="N461" s="74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</row>
    <row r="462" spans="1:36" ht="12.75">
      <c r="A462" s="77" t="s">
        <v>2217</v>
      </c>
      <c r="B462" s="77"/>
      <c r="C462" s="77" t="s">
        <v>2218</v>
      </c>
      <c r="D462" s="77" t="s">
        <v>1742</v>
      </c>
      <c r="E462" s="78">
        <v>722312356</v>
      </c>
      <c r="F462" s="3" t="s">
        <v>2219</v>
      </c>
      <c r="G462" s="7"/>
      <c r="H462" s="74" t="s">
        <v>2220</v>
      </c>
      <c r="I462" s="75" t="s">
        <v>763</v>
      </c>
      <c r="J462" s="74">
        <v>254723661676</v>
      </c>
      <c r="K462" s="74" t="s">
        <v>2221</v>
      </c>
      <c r="L462" s="74"/>
      <c r="M462" s="74"/>
      <c r="N462" s="74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</row>
    <row r="463" spans="1:36" ht="12.75">
      <c r="A463" s="72" t="s">
        <v>2222</v>
      </c>
      <c r="B463" s="72"/>
      <c r="C463" s="72" t="s">
        <v>2223</v>
      </c>
      <c r="D463" s="72" t="s">
        <v>2224</v>
      </c>
      <c r="E463" s="217" t="s">
        <v>2225</v>
      </c>
      <c r="F463" s="5" t="s">
        <v>2226</v>
      </c>
      <c r="G463" s="7"/>
      <c r="H463" s="74" t="s">
        <v>2227</v>
      </c>
      <c r="I463" s="75" t="s">
        <v>2228</v>
      </c>
      <c r="J463" s="218" t="s">
        <v>2229</v>
      </c>
      <c r="K463" s="74" t="s">
        <v>2230</v>
      </c>
      <c r="L463" s="74"/>
      <c r="M463" s="74"/>
      <c r="N463" s="74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</row>
    <row r="464" spans="1:36" ht="12.75">
      <c r="A464" s="77"/>
      <c r="B464" s="77"/>
      <c r="C464" s="77" t="s">
        <v>2231</v>
      </c>
      <c r="D464" s="77" t="s">
        <v>1998</v>
      </c>
      <c r="E464" s="78">
        <v>741466571</v>
      </c>
      <c r="F464" s="3" t="s">
        <v>2232</v>
      </c>
      <c r="G464" s="7"/>
      <c r="H464" s="74" t="s">
        <v>2233</v>
      </c>
      <c r="I464" s="75" t="s">
        <v>2234</v>
      </c>
      <c r="J464" s="74">
        <v>711933933</v>
      </c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</row>
    <row r="465" spans="1:36" ht="12.75">
      <c r="A465" s="72"/>
      <c r="B465" s="72"/>
      <c r="C465" s="72" t="s">
        <v>2235</v>
      </c>
      <c r="D465" s="72" t="s">
        <v>565</v>
      </c>
      <c r="E465" s="73">
        <v>794178092</v>
      </c>
      <c r="F465" s="5" t="s">
        <v>2236</v>
      </c>
      <c r="G465" s="7"/>
      <c r="H465" s="74" t="s">
        <v>2237</v>
      </c>
      <c r="I465" s="75" t="s">
        <v>763</v>
      </c>
      <c r="J465" s="74" t="s">
        <v>2238</v>
      </c>
      <c r="K465" s="74" t="s">
        <v>2239</v>
      </c>
      <c r="L465" s="74"/>
      <c r="M465" s="74"/>
      <c r="N465" s="74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</row>
    <row r="466" spans="1:36" ht="12.75">
      <c r="A466" s="77"/>
      <c r="B466" s="77"/>
      <c r="C466" s="77" t="s">
        <v>2240</v>
      </c>
      <c r="D466" s="77" t="s">
        <v>565</v>
      </c>
      <c r="E466" s="78">
        <v>111913060</v>
      </c>
      <c r="F466" s="3" t="s">
        <v>2241</v>
      </c>
      <c r="G466" s="7"/>
      <c r="H466" s="74" t="s">
        <v>2242</v>
      </c>
      <c r="I466" s="75" t="s">
        <v>1429</v>
      </c>
      <c r="J466" s="74">
        <v>724099887</v>
      </c>
      <c r="K466" s="74" t="s">
        <v>2243</v>
      </c>
      <c r="L466" s="74"/>
      <c r="M466" s="74"/>
      <c r="N466" s="74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</row>
    <row r="467" spans="1:36" ht="12.75">
      <c r="A467" s="72"/>
      <c r="B467" s="72"/>
      <c r="C467" s="72" t="s">
        <v>2244</v>
      </c>
      <c r="D467" s="72" t="s">
        <v>2245</v>
      </c>
      <c r="E467" s="73">
        <v>712466663</v>
      </c>
      <c r="F467" s="5" t="s">
        <v>2246</v>
      </c>
      <c r="G467" s="7"/>
      <c r="H467" s="74" t="s">
        <v>1505</v>
      </c>
      <c r="I467" s="75" t="s">
        <v>2247</v>
      </c>
      <c r="J467" s="74" t="s">
        <v>2248</v>
      </c>
      <c r="K467" s="74" t="s">
        <v>2249</v>
      </c>
      <c r="L467" s="74"/>
      <c r="M467" s="74"/>
      <c r="N467" s="74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</row>
    <row r="468" spans="1:36" ht="12.75">
      <c r="A468" s="77" t="s">
        <v>2250</v>
      </c>
      <c r="B468" s="92"/>
      <c r="C468" s="96" t="s">
        <v>2251</v>
      </c>
      <c r="D468" s="77" t="s">
        <v>2252</v>
      </c>
      <c r="E468" s="78">
        <v>706942220</v>
      </c>
      <c r="F468" s="3" t="s">
        <v>2253</v>
      </c>
      <c r="G468" s="7"/>
      <c r="H468" s="74" t="s">
        <v>2254</v>
      </c>
      <c r="I468" s="75" t="s">
        <v>1218</v>
      </c>
      <c r="J468" s="74">
        <v>103593933</v>
      </c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</row>
    <row r="469" spans="1:36" ht="12.75">
      <c r="A469" s="72" t="s">
        <v>2255</v>
      </c>
      <c r="B469" s="72"/>
      <c r="C469" s="72"/>
      <c r="D469" s="72" t="s">
        <v>289</v>
      </c>
      <c r="E469" s="73">
        <v>713156080</v>
      </c>
      <c r="F469" s="5" t="s">
        <v>2256</v>
      </c>
      <c r="G469" s="7"/>
      <c r="H469" s="74" t="s">
        <v>2257</v>
      </c>
      <c r="I469" s="75" t="s">
        <v>887</v>
      </c>
      <c r="J469" s="76">
        <v>254786789411</v>
      </c>
      <c r="K469" s="74" t="s">
        <v>2212</v>
      </c>
      <c r="L469" s="74"/>
      <c r="M469" s="74"/>
      <c r="N469" s="74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</row>
    <row r="470" spans="1:36" ht="12.75">
      <c r="A470" s="77" t="s">
        <v>2258</v>
      </c>
      <c r="B470" s="77"/>
      <c r="C470" s="77" t="s">
        <v>2259</v>
      </c>
      <c r="D470" s="77" t="s">
        <v>2260</v>
      </c>
      <c r="E470" s="78">
        <v>718068912</v>
      </c>
      <c r="F470" s="3" t="s">
        <v>2261</v>
      </c>
      <c r="G470" s="7"/>
      <c r="H470" s="74" t="s">
        <v>2262</v>
      </c>
      <c r="I470" s="75" t="s">
        <v>1218</v>
      </c>
      <c r="J470" s="74">
        <v>710311361</v>
      </c>
      <c r="K470" s="74" t="s">
        <v>2263</v>
      </c>
      <c r="L470" s="74"/>
      <c r="M470" s="74"/>
      <c r="N470" s="74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</row>
    <row r="471" spans="1:36" ht="14.25">
      <c r="A471" s="72" t="s">
        <v>2264</v>
      </c>
      <c r="B471" s="72"/>
      <c r="C471" s="72" t="s">
        <v>2265</v>
      </c>
      <c r="D471" s="72" t="s">
        <v>2252</v>
      </c>
      <c r="E471" s="73">
        <v>111288399</v>
      </c>
      <c r="F471" s="5" t="s">
        <v>2266</v>
      </c>
      <c r="G471" s="7"/>
      <c r="H471" s="74" t="s">
        <v>2267</v>
      </c>
      <c r="I471" s="75" t="s">
        <v>2017</v>
      </c>
      <c r="J471" s="219">
        <v>708095732</v>
      </c>
      <c r="K471" s="74" t="s">
        <v>2268</v>
      </c>
      <c r="L471" s="74"/>
      <c r="M471" s="74"/>
      <c r="N471" s="74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</row>
    <row r="472" spans="1:36" ht="12.75">
      <c r="A472" s="77" t="s">
        <v>2269</v>
      </c>
      <c r="B472" s="77"/>
      <c r="C472" s="77" t="s">
        <v>2270</v>
      </c>
      <c r="D472" s="77" t="s">
        <v>2271</v>
      </c>
      <c r="E472" s="78">
        <v>742953000</v>
      </c>
      <c r="F472" s="3" t="s">
        <v>2272</v>
      </c>
      <c r="G472" s="7"/>
      <c r="H472" s="74" t="s">
        <v>355</v>
      </c>
      <c r="I472" s="75" t="s">
        <v>14</v>
      </c>
      <c r="J472" s="74">
        <v>715364294</v>
      </c>
      <c r="K472" s="74" t="s">
        <v>105</v>
      </c>
      <c r="L472" s="74"/>
      <c r="M472" s="74"/>
      <c r="N472" s="74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</row>
    <row r="473" spans="1:36" ht="12.75">
      <c r="A473" s="72" t="s">
        <v>2273</v>
      </c>
      <c r="B473" s="72"/>
      <c r="C473" s="72" t="s">
        <v>2274</v>
      </c>
      <c r="D473" s="72" t="s">
        <v>2275</v>
      </c>
      <c r="E473" s="73">
        <v>712930121</v>
      </c>
      <c r="F473" s="45" t="s">
        <v>1485</v>
      </c>
      <c r="G473" s="37"/>
      <c r="H473" s="74" t="s">
        <v>2276</v>
      </c>
      <c r="I473" s="75" t="s">
        <v>1218</v>
      </c>
      <c r="J473" s="74">
        <v>708354720</v>
      </c>
      <c r="K473" s="74" t="s">
        <v>2277</v>
      </c>
      <c r="L473" s="74"/>
      <c r="M473" s="74"/>
      <c r="N473" s="74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</row>
    <row r="474" spans="1:36" ht="12.75">
      <c r="A474" s="77"/>
      <c r="B474" s="77"/>
      <c r="C474" s="77" t="s">
        <v>2265</v>
      </c>
      <c r="D474" s="77" t="s">
        <v>2252</v>
      </c>
      <c r="E474" s="78">
        <v>769323576</v>
      </c>
      <c r="F474" s="3" t="s">
        <v>2253</v>
      </c>
      <c r="G474" s="7"/>
      <c r="H474" s="74" t="s">
        <v>2278</v>
      </c>
      <c r="I474" s="75" t="s">
        <v>1218</v>
      </c>
      <c r="J474" s="74">
        <v>103593933</v>
      </c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</row>
    <row r="475" spans="1:36" ht="12.75">
      <c r="A475" s="83" t="s">
        <v>2279</v>
      </c>
      <c r="B475" s="83"/>
      <c r="C475" s="72" t="s">
        <v>2280</v>
      </c>
      <c r="D475" s="72" t="s">
        <v>155</v>
      </c>
      <c r="E475" s="73">
        <v>710327336</v>
      </c>
      <c r="F475" s="5" t="s">
        <v>2281</v>
      </c>
      <c r="G475" s="7"/>
      <c r="H475" s="74" t="s">
        <v>2282</v>
      </c>
      <c r="I475" s="75" t="s">
        <v>2283</v>
      </c>
      <c r="J475" s="74">
        <v>791994509</v>
      </c>
      <c r="K475" s="74" t="s">
        <v>2284</v>
      </c>
      <c r="L475" s="74"/>
      <c r="M475" s="74"/>
      <c r="N475" s="74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</row>
    <row r="476" spans="1:36" ht="12.75">
      <c r="A476" s="77" t="s">
        <v>2285</v>
      </c>
      <c r="B476" s="77"/>
      <c r="C476" s="77" t="s">
        <v>2286</v>
      </c>
      <c r="D476" s="77" t="s">
        <v>402</v>
      </c>
      <c r="E476" s="78">
        <v>707850704</v>
      </c>
      <c r="F476" s="3" t="s">
        <v>2287</v>
      </c>
      <c r="G476" s="7"/>
      <c r="H476" s="74" t="s">
        <v>1987</v>
      </c>
      <c r="I476" s="75" t="s">
        <v>1357</v>
      </c>
      <c r="J476" s="74">
        <v>771067992</v>
      </c>
      <c r="K476" s="74" t="s">
        <v>1988</v>
      </c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</row>
    <row r="477" spans="1:36" ht="12.75">
      <c r="A477" s="72" t="s">
        <v>2288</v>
      </c>
      <c r="B477" s="72"/>
      <c r="C477" s="72" t="s">
        <v>2289</v>
      </c>
      <c r="D477" s="72" t="s">
        <v>2271</v>
      </c>
      <c r="E477" s="73">
        <v>794751127</v>
      </c>
      <c r="F477" s="5" t="s">
        <v>2290</v>
      </c>
      <c r="G477" s="7"/>
      <c r="H477" s="74"/>
      <c r="I477" s="75"/>
      <c r="J477" s="74"/>
      <c r="K477" s="74"/>
      <c r="L477" s="74"/>
      <c r="M477" s="74"/>
      <c r="N477" s="74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</row>
    <row r="478" spans="1:36" ht="12.75">
      <c r="A478" s="77" t="s">
        <v>2291</v>
      </c>
      <c r="B478" s="77"/>
      <c r="C478" s="77" t="s">
        <v>2292</v>
      </c>
      <c r="D478" s="96" t="s">
        <v>2293</v>
      </c>
      <c r="E478" s="78">
        <v>748642157</v>
      </c>
      <c r="F478" s="3" t="s">
        <v>2290</v>
      </c>
      <c r="G478" s="7"/>
      <c r="H478" s="74" t="s">
        <v>2294</v>
      </c>
      <c r="I478" s="75" t="s">
        <v>223</v>
      </c>
      <c r="J478" s="74">
        <v>254113015674</v>
      </c>
      <c r="K478" s="74" t="s">
        <v>2295</v>
      </c>
      <c r="L478" s="74"/>
      <c r="M478" s="74"/>
      <c r="N478" s="74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</row>
    <row r="479" spans="1:36" ht="12.75">
      <c r="A479" s="72" t="s">
        <v>2296</v>
      </c>
      <c r="B479" s="72"/>
      <c r="C479" s="72" t="s">
        <v>2297</v>
      </c>
      <c r="D479" s="72" t="s">
        <v>2293</v>
      </c>
      <c r="E479" s="73">
        <v>705024474</v>
      </c>
      <c r="F479" s="5" t="s">
        <v>2290</v>
      </c>
      <c r="G479" s="7"/>
      <c r="H479" s="74" t="s">
        <v>2294</v>
      </c>
      <c r="I479" s="75" t="s">
        <v>223</v>
      </c>
      <c r="J479" s="74">
        <v>254113015674</v>
      </c>
      <c r="K479" s="74" t="s">
        <v>2295</v>
      </c>
      <c r="L479" s="74"/>
      <c r="M479" s="74"/>
      <c r="N479" s="74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</row>
    <row r="480" spans="1:36" ht="12.75">
      <c r="A480" s="77" t="s">
        <v>2298</v>
      </c>
      <c r="B480" s="77"/>
      <c r="C480" s="77" t="s">
        <v>2299</v>
      </c>
      <c r="D480" s="172"/>
      <c r="E480" s="112"/>
      <c r="F480" s="29"/>
      <c r="G480" s="9"/>
      <c r="H480" s="76"/>
      <c r="I480" s="84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</row>
    <row r="481" spans="1:36" ht="12.75">
      <c r="A481" s="72" t="s">
        <v>2300</v>
      </c>
      <c r="B481" s="72"/>
      <c r="C481" s="72" t="s">
        <v>2301</v>
      </c>
      <c r="D481" s="72" t="s">
        <v>2302</v>
      </c>
      <c r="E481" s="73">
        <v>740491425</v>
      </c>
      <c r="F481" s="5" t="s">
        <v>2303</v>
      </c>
      <c r="G481" s="7"/>
      <c r="H481" s="74" t="s">
        <v>2304</v>
      </c>
      <c r="I481" s="75" t="s">
        <v>495</v>
      </c>
      <c r="J481" s="74">
        <v>254790938408</v>
      </c>
      <c r="K481" s="74" t="s">
        <v>496</v>
      </c>
      <c r="L481" s="74"/>
      <c r="M481" s="74"/>
      <c r="N481" s="74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</row>
    <row r="482" spans="1:36" ht="12.75">
      <c r="A482" s="77" t="s">
        <v>2305</v>
      </c>
      <c r="B482" s="77"/>
      <c r="C482" s="77" t="s">
        <v>2306</v>
      </c>
      <c r="D482" s="77" t="s">
        <v>227</v>
      </c>
      <c r="E482" s="78">
        <v>795213662</v>
      </c>
      <c r="F482" s="3" t="s">
        <v>2303</v>
      </c>
      <c r="G482" s="7"/>
      <c r="H482" s="74" t="s">
        <v>2304</v>
      </c>
      <c r="I482" s="75" t="s">
        <v>495</v>
      </c>
      <c r="J482" s="74">
        <v>254790938408</v>
      </c>
      <c r="K482" s="74" t="s">
        <v>496</v>
      </c>
      <c r="L482" s="74"/>
      <c r="M482" s="74"/>
      <c r="N482" s="74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</row>
    <row r="483" spans="1:36" ht="12.75">
      <c r="A483" s="72" t="s">
        <v>2307</v>
      </c>
      <c r="B483" s="72"/>
      <c r="C483" s="72" t="s">
        <v>2308</v>
      </c>
      <c r="D483" s="72" t="s">
        <v>266</v>
      </c>
      <c r="E483" s="73">
        <v>101345879</v>
      </c>
      <c r="F483" s="5" t="s">
        <v>2309</v>
      </c>
      <c r="G483" s="7"/>
      <c r="H483" s="74" t="s">
        <v>2310</v>
      </c>
      <c r="I483" s="75" t="s">
        <v>2311</v>
      </c>
      <c r="J483" s="74">
        <v>736000293</v>
      </c>
      <c r="K483" s="74" t="s">
        <v>2312</v>
      </c>
      <c r="L483" s="74"/>
      <c r="M483" s="74"/>
      <c r="N483" s="74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</row>
    <row r="484" spans="1:36" ht="12.75">
      <c r="A484" s="77" t="s">
        <v>2313</v>
      </c>
      <c r="B484" s="77"/>
      <c r="C484" s="77" t="s">
        <v>2314</v>
      </c>
      <c r="D484" s="77" t="s">
        <v>2315</v>
      </c>
      <c r="E484" s="78">
        <v>741530481</v>
      </c>
      <c r="F484" s="3" t="s">
        <v>2316</v>
      </c>
      <c r="G484" s="7"/>
      <c r="H484" s="74" t="s">
        <v>2317</v>
      </c>
      <c r="I484" s="75" t="s">
        <v>65</v>
      </c>
      <c r="J484" s="74">
        <v>732837622</v>
      </c>
      <c r="K484" s="74" t="s">
        <v>2318</v>
      </c>
      <c r="L484" s="74"/>
      <c r="M484" s="74"/>
      <c r="N484" s="74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</row>
    <row r="485" spans="1:36" ht="12.75">
      <c r="A485" s="72" t="s">
        <v>2319</v>
      </c>
      <c r="B485" s="72"/>
      <c r="C485" s="72" t="s">
        <v>2320</v>
      </c>
      <c r="D485" s="72" t="s">
        <v>266</v>
      </c>
      <c r="E485" s="73">
        <v>111871220</v>
      </c>
      <c r="F485" s="5" t="s">
        <v>2321</v>
      </c>
      <c r="G485" s="7"/>
      <c r="H485" s="74" t="s">
        <v>2322</v>
      </c>
      <c r="I485" s="75" t="s">
        <v>2323</v>
      </c>
      <c r="J485" s="74">
        <v>796499244</v>
      </c>
      <c r="K485" s="74" t="s">
        <v>2324</v>
      </c>
      <c r="L485" s="74"/>
      <c r="M485" s="74"/>
      <c r="N485" s="74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</row>
    <row r="486" spans="1:36" ht="14.25">
      <c r="A486" s="77" t="s">
        <v>2325</v>
      </c>
      <c r="B486" s="77"/>
      <c r="C486" s="77" t="s">
        <v>2326</v>
      </c>
      <c r="D486" s="96" t="s">
        <v>1829</v>
      </c>
      <c r="E486" s="78">
        <v>745243613</v>
      </c>
      <c r="F486" s="3" t="s">
        <v>2327</v>
      </c>
      <c r="G486" s="7"/>
      <c r="H486" s="74" t="s">
        <v>2328</v>
      </c>
      <c r="I486" s="75" t="s">
        <v>218</v>
      </c>
      <c r="J486" s="220" t="s">
        <v>2329</v>
      </c>
      <c r="K486" s="220" t="s">
        <v>2330</v>
      </c>
      <c r="L486" s="221"/>
      <c r="M486" s="221"/>
      <c r="N486" s="221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</row>
    <row r="487" spans="1:36" ht="16.5">
      <c r="A487" s="72" t="s">
        <v>2331</v>
      </c>
      <c r="B487" s="72"/>
      <c r="C487" s="72" t="s">
        <v>2332</v>
      </c>
      <c r="D487" s="72" t="s">
        <v>227</v>
      </c>
      <c r="E487" s="87">
        <f>254114957666</f>
        <v>254114957666</v>
      </c>
      <c r="F487" s="5" t="s">
        <v>2333</v>
      </c>
      <c r="G487" s="7"/>
      <c r="H487" s="74" t="s">
        <v>2334</v>
      </c>
      <c r="I487" s="75" t="s">
        <v>269</v>
      </c>
      <c r="J487" s="74" t="s">
        <v>2335</v>
      </c>
      <c r="K487" s="222" t="s">
        <v>2336</v>
      </c>
      <c r="L487" s="223"/>
      <c r="M487" s="223"/>
      <c r="N487" s="223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</row>
    <row r="488" spans="1:36" ht="12.75">
      <c r="A488" s="77" t="s">
        <v>2337</v>
      </c>
      <c r="B488" s="77"/>
      <c r="C488" s="77" t="s">
        <v>2338</v>
      </c>
      <c r="D488" s="77" t="s">
        <v>2339</v>
      </c>
      <c r="E488" s="78">
        <v>113205456</v>
      </c>
      <c r="F488" s="3" t="s">
        <v>2340</v>
      </c>
      <c r="G488" s="7"/>
      <c r="H488" s="74" t="s">
        <v>2341</v>
      </c>
      <c r="I488" s="75" t="s">
        <v>2342</v>
      </c>
      <c r="J488" s="76">
        <f>254771370824</f>
        <v>254771370824</v>
      </c>
      <c r="K488" s="74" t="s">
        <v>978</v>
      </c>
      <c r="L488" s="74"/>
      <c r="M488" s="74"/>
      <c r="N488" s="74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</row>
    <row r="489" spans="1:36" ht="15">
      <c r="A489" s="5" t="s">
        <v>2343</v>
      </c>
      <c r="B489" s="5"/>
      <c r="C489" s="72" t="s">
        <v>2344</v>
      </c>
      <c r="D489" s="72" t="s">
        <v>2345</v>
      </c>
      <c r="E489" s="73">
        <v>254705225201</v>
      </c>
      <c r="F489" s="5" t="s">
        <v>2346</v>
      </c>
      <c r="G489" s="7"/>
      <c r="H489" s="74" t="s">
        <v>2347</v>
      </c>
      <c r="I489" s="75" t="s">
        <v>237</v>
      </c>
      <c r="J489" s="224">
        <v>254703094043</v>
      </c>
      <c r="K489" s="74" t="s">
        <v>2348</v>
      </c>
      <c r="L489" s="74"/>
      <c r="M489" s="74"/>
      <c r="N489" s="74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</row>
    <row r="490" spans="1:36" ht="12.75">
      <c r="A490" s="77" t="s">
        <v>2349</v>
      </c>
      <c r="B490" s="77"/>
      <c r="C490" s="77" t="s">
        <v>2350</v>
      </c>
      <c r="D490" s="77" t="s">
        <v>227</v>
      </c>
      <c r="E490" s="78">
        <v>254795285206</v>
      </c>
      <c r="F490" s="3" t="s">
        <v>199</v>
      </c>
      <c r="G490" s="7"/>
      <c r="H490" s="74" t="s">
        <v>2351</v>
      </c>
      <c r="I490" s="75" t="s">
        <v>732</v>
      </c>
      <c r="J490" s="74">
        <v>720668238</v>
      </c>
      <c r="K490" s="74" t="s">
        <v>2352</v>
      </c>
      <c r="L490" s="74"/>
      <c r="M490" s="74"/>
      <c r="N490" s="74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</row>
    <row r="491" spans="1:36" ht="12.75">
      <c r="A491" s="72" t="s">
        <v>2353</v>
      </c>
      <c r="B491" s="72"/>
      <c r="C491" s="72" t="s">
        <v>2354</v>
      </c>
      <c r="D491" s="72" t="s">
        <v>2355</v>
      </c>
      <c r="E491" s="73">
        <v>792560641</v>
      </c>
      <c r="F491" s="5" t="s">
        <v>420</v>
      </c>
      <c r="G491" s="7"/>
      <c r="H491" s="74" t="s">
        <v>2356</v>
      </c>
      <c r="I491" s="75" t="s">
        <v>562</v>
      </c>
      <c r="J491" s="74">
        <v>720418444</v>
      </c>
      <c r="K491" s="74" t="s">
        <v>422</v>
      </c>
      <c r="L491" s="74"/>
      <c r="M491" s="74"/>
      <c r="N491" s="74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</row>
    <row r="492" spans="1:36" ht="12.75">
      <c r="A492" s="77" t="s">
        <v>2357</v>
      </c>
      <c r="B492" s="77"/>
      <c r="C492" s="77" t="s">
        <v>2358</v>
      </c>
      <c r="D492" s="77" t="s">
        <v>460</v>
      </c>
      <c r="E492" s="78">
        <v>758639040</v>
      </c>
      <c r="F492" s="3" t="s">
        <v>2359</v>
      </c>
      <c r="G492" s="7"/>
      <c r="H492" s="74" t="s">
        <v>2360</v>
      </c>
      <c r="I492" s="75" t="s">
        <v>1225</v>
      </c>
      <c r="J492" s="74">
        <v>701574284</v>
      </c>
      <c r="K492" s="74" t="s">
        <v>2361</v>
      </c>
      <c r="L492" s="74"/>
      <c r="M492" s="74"/>
      <c r="N492" s="74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</row>
    <row r="493" spans="1:36" ht="18.75">
      <c r="A493" s="72" t="s">
        <v>2362</v>
      </c>
      <c r="B493" s="72"/>
      <c r="C493" s="72" t="s">
        <v>2363</v>
      </c>
      <c r="D493" s="72" t="s">
        <v>1912</v>
      </c>
      <c r="E493" s="73">
        <v>714469231</v>
      </c>
      <c r="F493" s="5" t="s">
        <v>2364</v>
      </c>
      <c r="G493" s="7"/>
      <c r="H493" s="74" t="s">
        <v>2365</v>
      </c>
      <c r="I493" s="75" t="s">
        <v>218</v>
      </c>
      <c r="J493" s="225">
        <v>254722205061</v>
      </c>
      <c r="K493" s="74" t="s">
        <v>2366</v>
      </c>
      <c r="L493" s="74"/>
      <c r="M493" s="74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</row>
    <row r="494" spans="1:36" ht="12.75">
      <c r="A494" s="77" t="s">
        <v>2367</v>
      </c>
      <c r="B494" s="77"/>
      <c r="C494" s="77" t="s">
        <v>2368</v>
      </c>
      <c r="D494" s="77" t="s">
        <v>1829</v>
      </c>
      <c r="E494" s="78">
        <v>743363779</v>
      </c>
      <c r="F494" s="3" t="s">
        <v>2369</v>
      </c>
      <c r="G494" s="7"/>
      <c r="H494" s="74" t="s">
        <v>2370</v>
      </c>
      <c r="I494" s="75" t="s">
        <v>1225</v>
      </c>
      <c r="J494" s="74">
        <v>718198947</v>
      </c>
      <c r="K494" s="74" t="s">
        <v>2371</v>
      </c>
      <c r="L494" s="74"/>
      <c r="M494" s="74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</row>
    <row r="495" spans="1:36" ht="12.75">
      <c r="A495" s="72" t="s">
        <v>2372</v>
      </c>
      <c r="B495" s="72"/>
      <c r="C495" s="72" t="s">
        <v>2373</v>
      </c>
      <c r="D495" s="72" t="s">
        <v>341</v>
      </c>
      <c r="E495" s="73">
        <v>115049827</v>
      </c>
      <c r="F495" s="5" t="s">
        <v>2374</v>
      </c>
      <c r="G495" s="7"/>
      <c r="H495" s="74" t="s">
        <v>2375</v>
      </c>
      <c r="I495" s="75" t="s">
        <v>495</v>
      </c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</row>
    <row r="496" spans="1:36" ht="12.75">
      <c r="A496" s="77" t="s">
        <v>2376</v>
      </c>
      <c r="B496" s="77"/>
      <c r="C496" s="77" t="s">
        <v>2377</v>
      </c>
      <c r="D496" s="77" t="s">
        <v>1407</v>
      </c>
      <c r="E496" s="78">
        <v>795914494</v>
      </c>
      <c r="F496" s="3" t="s">
        <v>2378</v>
      </c>
      <c r="G496" s="7"/>
      <c r="H496" s="76"/>
      <c r="I496" s="84"/>
      <c r="J496" s="76">
        <f>AVERAGE(J490:J495)</f>
        <v>51516612994.800003</v>
      </c>
      <c r="K496" s="74" t="s">
        <v>2379</v>
      </c>
      <c r="L496" s="74"/>
      <c r="M496" s="74"/>
      <c r="N496" s="74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</row>
    <row r="497" spans="1:36" ht="12.75">
      <c r="A497" s="72" t="s">
        <v>2380</v>
      </c>
      <c r="B497" s="72"/>
      <c r="C497" s="72" t="s">
        <v>2381</v>
      </c>
      <c r="D497" s="72" t="s">
        <v>1060</v>
      </c>
      <c r="E497" s="73">
        <v>746384028</v>
      </c>
      <c r="F497" s="5" t="s">
        <v>2382</v>
      </c>
      <c r="G497" s="7"/>
      <c r="H497" s="76"/>
      <c r="I497" s="84"/>
      <c r="J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</row>
    <row r="498" spans="1:36" ht="12.75">
      <c r="A498" s="3" t="s">
        <v>2383</v>
      </c>
      <c r="B498" s="3"/>
      <c r="C498" s="77" t="s">
        <v>2384</v>
      </c>
      <c r="D498" s="77" t="s">
        <v>71</v>
      </c>
      <c r="E498" s="78">
        <v>113005716</v>
      </c>
      <c r="F498" s="3" t="s">
        <v>2385</v>
      </c>
      <c r="G498" s="7"/>
      <c r="H498" s="74" t="s">
        <v>2386</v>
      </c>
      <c r="I498" s="84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</row>
    <row r="499" spans="1:36" ht="12.75">
      <c r="A499" s="72" t="s">
        <v>2387</v>
      </c>
      <c r="B499" s="72"/>
      <c r="C499" s="72" t="s">
        <v>2388</v>
      </c>
      <c r="D499" s="72" t="s">
        <v>2389</v>
      </c>
      <c r="E499" s="87">
        <f>254727730123</f>
        <v>254727730123</v>
      </c>
      <c r="F499" s="45" t="s">
        <v>2390</v>
      </c>
      <c r="G499" s="37"/>
      <c r="H499" s="74" t="s">
        <v>2391</v>
      </c>
      <c r="I499" s="75" t="s">
        <v>269</v>
      </c>
      <c r="J499" s="76">
        <f>254726676157</f>
        <v>254726676157</v>
      </c>
      <c r="K499" s="74" t="s">
        <v>2277</v>
      </c>
      <c r="L499" s="74"/>
      <c r="M499" s="74"/>
      <c r="N499" s="74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</row>
    <row r="500" spans="1:36" ht="12.75">
      <c r="A500" s="77" t="s">
        <v>2392</v>
      </c>
      <c r="B500" s="77"/>
      <c r="C500" s="77" t="s">
        <v>2393</v>
      </c>
      <c r="D500" s="77" t="s">
        <v>71</v>
      </c>
      <c r="E500" s="78">
        <v>735143953</v>
      </c>
      <c r="F500" s="3" t="s">
        <v>2394</v>
      </c>
      <c r="G500" s="7"/>
      <c r="H500" s="74" t="s">
        <v>2395</v>
      </c>
      <c r="I500" s="75" t="s">
        <v>2396</v>
      </c>
      <c r="J500" s="74">
        <v>25425811516</v>
      </c>
      <c r="K500" s="74" t="s">
        <v>2397</v>
      </c>
      <c r="L500" s="74"/>
      <c r="M500" s="74"/>
      <c r="N500" s="74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</row>
    <row r="501" spans="1:36" ht="12.75">
      <c r="A501" s="72" t="s">
        <v>2398</v>
      </c>
      <c r="B501" s="72"/>
      <c r="C501" s="72" t="s">
        <v>2399</v>
      </c>
      <c r="D501" s="72" t="s">
        <v>2389</v>
      </c>
      <c r="E501" s="73">
        <v>740439197</v>
      </c>
      <c r="F501" s="5" t="s">
        <v>2400</v>
      </c>
      <c r="G501" s="7"/>
      <c r="H501" s="74" t="s">
        <v>2401</v>
      </c>
      <c r="I501" s="75" t="s">
        <v>1994</v>
      </c>
      <c r="J501" s="74">
        <v>792735720</v>
      </c>
      <c r="K501" s="74" t="s">
        <v>2402</v>
      </c>
      <c r="L501" s="74"/>
      <c r="M501" s="74"/>
      <c r="N501" s="74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</row>
    <row r="502" spans="1:36" ht="12.75">
      <c r="A502" s="77" t="s">
        <v>2403</v>
      </c>
      <c r="B502" s="77"/>
      <c r="C502" s="77" t="s">
        <v>2404</v>
      </c>
      <c r="D502" s="77" t="s">
        <v>2405</v>
      </c>
      <c r="E502" s="78">
        <v>768495473</v>
      </c>
      <c r="F502" s="3" t="s">
        <v>1620</v>
      </c>
      <c r="G502" s="7"/>
      <c r="H502" s="74" t="s">
        <v>2406</v>
      </c>
      <c r="I502" s="75" t="s">
        <v>1793</v>
      </c>
      <c r="J502" s="74">
        <v>7202582237</v>
      </c>
      <c r="K502" s="74" t="s">
        <v>180</v>
      </c>
      <c r="L502" s="74"/>
      <c r="M502" s="74"/>
      <c r="N502" s="74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</row>
    <row r="503" spans="1:36" ht="12.75">
      <c r="A503" s="72" t="s">
        <v>2407</v>
      </c>
      <c r="B503" s="72"/>
      <c r="C503" s="72" t="s">
        <v>2408</v>
      </c>
      <c r="D503" s="72" t="s">
        <v>71</v>
      </c>
      <c r="E503" s="73">
        <v>796705022</v>
      </c>
      <c r="F503" s="5" t="s">
        <v>2409</v>
      </c>
      <c r="G503" s="7"/>
      <c r="H503" s="74" t="s">
        <v>2410</v>
      </c>
      <c r="I503" s="75" t="s">
        <v>59</v>
      </c>
      <c r="J503" s="74">
        <v>721301581</v>
      </c>
      <c r="K503" s="74" t="s">
        <v>2411</v>
      </c>
      <c r="L503" s="74"/>
      <c r="M503" s="74"/>
      <c r="N503" s="74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</row>
    <row r="504" spans="1:36" ht="12.75">
      <c r="A504" s="77" t="s">
        <v>2412</v>
      </c>
      <c r="B504" s="77"/>
      <c r="C504" s="77" t="s">
        <v>2413</v>
      </c>
      <c r="D504" s="77" t="s">
        <v>873</v>
      </c>
      <c r="E504" s="78">
        <v>796705177</v>
      </c>
      <c r="F504" s="3" t="s">
        <v>2414</v>
      </c>
      <c r="G504" s="7"/>
      <c r="H504" s="74" t="s">
        <v>2415</v>
      </c>
      <c r="I504" s="75" t="s">
        <v>1472</v>
      </c>
      <c r="J504" s="74">
        <v>2034548</v>
      </c>
      <c r="K504" s="192" t="s">
        <v>2416</v>
      </c>
      <c r="L504" s="74"/>
      <c r="M504" s="74"/>
      <c r="N504" s="74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</row>
    <row r="505" spans="1:36" ht="12.75">
      <c r="A505" s="102" t="s">
        <v>2207</v>
      </c>
      <c r="B505" s="226"/>
      <c r="C505" s="226" t="s">
        <v>2208</v>
      </c>
      <c r="D505" s="226" t="s">
        <v>2209</v>
      </c>
      <c r="E505" s="227">
        <v>714978525</v>
      </c>
      <c r="F505" s="59" t="s">
        <v>2210</v>
      </c>
      <c r="G505" s="48"/>
      <c r="H505" s="228" t="s">
        <v>2211</v>
      </c>
      <c r="I505" s="229" t="s">
        <v>59</v>
      </c>
      <c r="J505" s="230">
        <v>254786789411</v>
      </c>
      <c r="K505" s="228" t="s">
        <v>2212</v>
      </c>
      <c r="L505" s="231"/>
      <c r="M505" s="231"/>
      <c r="N505" s="231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</row>
    <row r="506" spans="1:36" ht="12.75">
      <c r="A506" s="232" t="s">
        <v>2213</v>
      </c>
      <c r="B506" s="233"/>
      <c r="C506" s="233" t="s">
        <v>2214</v>
      </c>
      <c r="D506" s="233" t="s">
        <v>2209</v>
      </c>
      <c r="E506" s="234">
        <v>794473791</v>
      </c>
      <c r="F506" s="51" t="s">
        <v>2215</v>
      </c>
      <c r="G506" s="50"/>
      <c r="H506" s="235" t="s">
        <v>941</v>
      </c>
      <c r="I506" s="236" t="s">
        <v>218</v>
      </c>
      <c r="J506" s="237">
        <v>704215496</v>
      </c>
      <c r="K506" s="235" t="s">
        <v>2216</v>
      </c>
      <c r="L506" s="238"/>
      <c r="M506" s="238"/>
      <c r="N506" s="238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</row>
    <row r="507" spans="1:36" ht="12.75">
      <c r="A507" s="239" t="s">
        <v>2217</v>
      </c>
      <c r="B507" s="240"/>
      <c r="C507" s="240" t="s">
        <v>2218</v>
      </c>
      <c r="D507" s="240" t="s">
        <v>1742</v>
      </c>
      <c r="E507" s="241">
        <v>722312356</v>
      </c>
      <c r="F507" s="49" t="s">
        <v>2219</v>
      </c>
      <c r="G507" s="50"/>
      <c r="H507" s="235" t="s">
        <v>2220</v>
      </c>
      <c r="I507" s="236" t="s">
        <v>763</v>
      </c>
      <c r="J507" s="237">
        <v>254723661676</v>
      </c>
      <c r="K507" s="235" t="s">
        <v>2221</v>
      </c>
      <c r="L507" s="238"/>
      <c r="M507" s="238"/>
      <c r="N507" s="238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</row>
    <row r="508" spans="1:36" ht="12.75">
      <c r="A508" s="232" t="s">
        <v>2417</v>
      </c>
      <c r="B508" s="233"/>
      <c r="C508" s="233" t="s">
        <v>2231</v>
      </c>
      <c r="D508" s="233" t="s">
        <v>1998</v>
      </c>
      <c r="E508" s="234">
        <v>741466571</v>
      </c>
      <c r="F508" s="51" t="s">
        <v>2232</v>
      </c>
      <c r="G508" s="50"/>
      <c r="H508" s="235" t="s">
        <v>2233</v>
      </c>
      <c r="I508" s="236" t="s">
        <v>2234</v>
      </c>
      <c r="J508" s="237">
        <v>711933933</v>
      </c>
      <c r="K508" s="235"/>
      <c r="L508" s="238"/>
      <c r="M508" s="238"/>
      <c r="N508" s="238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</row>
    <row r="509" spans="1:36" ht="12.75">
      <c r="A509" s="239" t="s">
        <v>2418</v>
      </c>
      <c r="B509" s="240"/>
      <c r="C509" s="240" t="s">
        <v>2235</v>
      </c>
      <c r="D509" s="240" t="s">
        <v>565</v>
      </c>
      <c r="E509" s="241">
        <v>794178092</v>
      </c>
      <c r="F509" s="49" t="s">
        <v>2236</v>
      </c>
      <c r="G509" s="50"/>
      <c r="H509" s="235" t="s">
        <v>2237</v>
      </c>
      <c r="I509" s="236" t="s">
        <v>763</v>
      </c>
      <c r="J509" s="235" t="s">
        <v>2238</v>
      </c>
      <c r="K509" s="235" t="s">
        <v>2239</v>
      </c>
      <c r="L509" s="238"/>
      <c r="M509" s="238"/>
      <c r="N509" s="238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</row>
    <row r="510" spans="1:36" ht="12.75">
      <c r="A510" s="232" t="s">
        <v>2419</v>
      </c>
      <c r="B510" s="233"/>
      <c r="C510" s="233" t="s">
        <v>2240</v>
      </c>
      <c r="D510" s="233" t="s">
        <v>565</v>
      </c>
      <c r="E510" s="234">
        <v>111913060</v>
      </c>
      <c r="F510" s="51" t="s">
        <v>2241</v>
      </c>
      <c r="G510" s="50"/>
      <c r="H510" s="235" t="s">
        <v>2242</v>
      </c>
      <c r="I510" s="236" t="s">
        <v>1429</v>
      </c>
      <c r="J510" s="237">
        <v>724099887</v>
      </c>
      <c r="K510" s="235" t="s">
        <v>2243</v>
      </c>
      <c r="L510" s="238"/>
      <c r="M510" s="238"/>
      <c r="N510" s="238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</row>
    <row r="511" spans="1:36" ht="12.75">
      <c r="A511" s="239" t="s">
        <v>2420</v>
      </c>
      <c r="B511" s="240"/>
      <c r="C511" s="240" t="s">
        <v>2244</v>
      </c>
      <c r="D511" s="240" t="s">
        <v>2245</v>
      </c>
      <c r="E511" s="241">
        <v>712466663</v>
      </c>
      <c r="F511" s="49" t="s">
        <v>2246</v>
      </c>
      <c r="G511" s="50"/>
      <c r="H511" s="235" t="s">
        <v>1505</v>
      </c>
      <c r="I511" s="236" t="s">
        <v>2247</v>
      </c>
      <c r="J511" s="235" t="s">
        <v>2248</v>
      </c>
      <c r="K511" s="235" t="s">
        <v>2249</v>
      </c>
      <c r="L511" s="238"/>
      <c r="M511" s="238"/>
      <c r="N511" s="238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</row>
    <row r="512" spans="1:36" ht="12.75">
      <c r="A512" s="77" t="s">
        <v>2421</v>
      </c>
      <c r="B512" s="77"/>
      <c r="C512" s="77" t="s">
        <v>2422</v>
      </c>
      <c r="D512" s="77" t="s">
        <v>1742</v>
      </c>
      <c r="E512" s="78">
        <v>790857077</v>
      </c>
      <c r="F512" s="3" t="s">
        <v>2423</v>
      </c>
      <c r="G512" s="7"/>
      <c r="H512" s="74" t="s">
        <v>2424</v>
      </c>
      <c r="I512" s="75" t="s">
        <v>1564</v>
      </c>
      <c r="J512" s="74">
        <v>724095296</v>
      </c>
      <c r="K512" s="74" t="s">
        <v>2425</v>
      </c>
      <c r="L512" s="74"/>
      <c r="M512" s="74"/>
      <c r="N512" s="74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</row>
    <row r="513" spans="1:36" ht="12.75">
      <c r="A513" s="72" t="s">
        <v>2426</v>
      </c>
      <c r="B513" s="72"/>
      <c r="C513" s="72" t="s">
        <v>2427</v>
      </c>
      <c r="D513" s="72" t="s">
        <v>2428</v>
      </c>
      <c r="E513" s="73">
        <v>111779356</v>
      </c>
      <c r="F513" s="5" t="s">
        <v>2429</v>
      </c>
      <c r="G513" s="7"/>
      <c r="H513" s="74" t="s">
        <v>2430</v>
      </c>
      <c r="I513" s="75" t="s">
        <v>2431</v>
      </c>
      <c r="J513" s="74">
        <v>724338524</v>
      </c>
      <c r="K513" s="74" t="s">
        <v>2432</v>
      </c>
      <c r="L513" s="74"/>
      <c r="M513" s="74"/>
      <c r="N513" s="74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</row>
    <row r="514" spans="1:36" ht="12.75">
      <c r="A514" s="77" t="s">
        <v>2433</v>
      </c>
      <c r="B514" s="77"/>
      <c r="C514" s="77" t="s">
        <v>2434</v>
      </c>
      <c r="D514" s="77" t="s">
        <v>2038</v>
      </c>
      <c r="E514" s="78" t="s">
        <v>2435</v>
      </c>
      <c r="F514" s="3" t="s">
        <v>2436</v>
      </c>
      <c r="G514" s="7"/>
      <c r="H514" s="74" t="s">
        <v>2437</v>
      </c>
      <c r="I514" s="75" t="s">
        <v>2438</v>
      </c>
      <c r="J514" s="74">
        <v>727840442</v>
      </c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</row>
    <row r="515" spans="1:36" ht="12.75">
      <c r="A515" s="72" t="s">
        <v>2439</v>
      </c>
      <c r="B515" s="72"/>
      <c r="C515" s="72" t="s">
        <v>2440</v>
      </c>
      <c r="D515" s="72" t="s">
        <v>2441</v>
      </c>
      <c r="E515" s="73">
        <v>797958895</v>
      </c>
      <c r="F515" s="5" t="s">
        <v>2442</v>
      </c>
      <c r="G515" s="7"/>
      <c r="H515" s="74" t="s">
        <v>2443</v>
      </c>
      <c r="I515" s="75" t="s">
        <v>1218</v>
      </c>
      <c r="J515" s="74">
        <v>730116690</v>
      </c>
      <c r="K515" s="74" t="s">
        <v>2444</v>
      </c>
      <c r="L515" s="74"/>
      <c r="M515" s="74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</row>
    <row r="516" spans="1:36" ht="12.75">
      <c r="A516" s="77" t="s">
        <v>2445</v>
      </c>
      <c r="B516" s="77"/>
      <c r="C516" s="77" t="s">
        <v>2446</v>
      </c>
      <c r="D516" s="77" t="s">
        <v>2441</v>
      </c>
      <c r="E516" s="78">
        <v>714096627</v>
      </c>
      <c r="F516" s="3" t="s">
        <v>2447</v>
      </c>
      <c r="G516" s="7"/>
      <c r="H516" s="74" t="s">
        <v>2448</v>
      </c>
      <c r="I516" s="75" t="s">
        <v>1218</v>
      </c>
      <c r="J516" s="74">
        <v>715114454</v>
      </c>
      <c r="K516" s="74" t="s">
        <v>2449</v>
      </c>
      <c r="L516" s="74"/>
      <c r="M516" s="74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</row>
    <row r="517" spans="1:36" ht="12.75">
      <c r="A517" s="72" t="s">
        <v>2450</v>
      </c>
      <c r="B517" s="72"/>
      <c r="C517" s="72" t="s">
        <v>2451</v>
      </c>
      <c r="D517" s="72" t="s">
        <v>2452</v>
      </c>
      <c r="E517" s="217" t="s">
        <v>2453</v>
      </c>
      <c r="F517" s="5" t="s">
        <v>2454</v>
      </c>
      <c r="G517" s="7"/>
      <c r="H517" s="74" t="s">
        <v>2455</v>
      </c>
      <c r="I517" s="75" t="s">
        <v>2456</v>
      </c>
      <c r="J517" s="218" t="s">
        <v>2457</v>
      </c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</row>
    <row r="518" spans="1:36" ht="12.75">
      <c r="A518" s="77" t="s">
        <v>2458</v>
      </c>
      <c r="B518" s="77"/>
      <c r="C518" s="77" t="s">
        <v>2459</v>
      </c>
      <c r="D518" s="77" t="s">
        <v>1862</v>
      </c>
      <c r="E518" s="78">
        <v>717351469</v>
      </c>
      <c r="F518" s="3" t="s">
        <v>2460</v>
      </c>
      <c r="G518" s="7"/>
      <c r="H518" s="74" t="s">
        <v>2461</v>
      </c>
      <c r="I518" s="75" t="s">
        <v>1218</v>
      </c>
      <c r="J518" s="74" t="s">
        <v>2462</v>
      </c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</row>
    <row r="519" spans="1:36" ht="12.75">
      <c r="A519" s="72" t="s">
        <v>2463</v>
      </c>
      <c r="B519" s="72"/>
      <c r="C519" s="72" t="s">
        <v>2464</v>
      </c>
      <c r="D519" s="72" t="s">
        <v>407</v>
      </c>
      <c r="E519" s="73">
        <v>724851760</v>
      </c>
      <c r="F519" s="5" t="s">
        <v>2465</v>
      </c>
      <c r="G519" s="7"/>
      <c r="H519" s="74" t="s">
        <v>2466</v>
      </c>
      <c r="I519" s="75" t="s">
        <v>59</v>
      </c>
      <c r="J519" s="74">
        <v>737633903</v>
      </c>
      <c r="K519" s="74" t="s">
        <v>1101</v>
      </c>
      <c r="L519" s="74"/>
      <c r="M519" s="74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</row>
    <row r="520" spans="1:36" ht="12.75">
      <c r="A520" s="77" t="s">
        <v>2467</v>
      </c>
      <c r="B520" s="77"/>
      <c r="C520" s="77" t="s">
        <v>2468</v>
      </c>
      <c r="D520" s="77" t="s">
        <v>2469</v>
      </c>
      <c r="E520" s="78">
        <v>713403319</v>
      </c>
      <c r="F520" s="77" t="s">
        <v>2226</v>
      </c>
      <c r="G520" s="74"/>
      <c r="H520" s="74" t="s">
        <v>2470</v>
      </c>
      <c r="I520" s="75" t="s">
        <v>100</v>
      </c>
      <c r="J520" s="76">
        <v>254202582237</v>
      </c>
      <c r="K520" s="74" t="s">
        <v>180</v>
      </c>
      <c r="L520" s="74"/>
      <c r="M520" s="74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</row>
    <row r="521" spans="1:36" ht="12.75">
      <c r="A521" s="72" t="s">
        <v>2471</v>
      </c>
      <c r="B521" s="72"/>
      <c r="C521" s="72" t="s">
        <v>2472</v>
      </c>
      <c r="D521" s="72" t="s">
        <v>2473</v>
      </c>
      <c r="E521" s="73">
        <v>742745688</v>
      </c>
      <c r="F521" s="5" t="s">
        <v>2474</v>
      </c>
      <c r="G521" s="7"/>
      <c r="H521" s="74" t="s">
        <v>2475</v>
      </c>
      <c r="I521" s="75" t="s">
        <v>269</v>
      </c>
      <c r="J521" s="74">
        <v>730700000</v>
      </c>
      <c r="K521" s="74" t="s">
        <v>2476</v>
      </c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</row>
    <row r="522" spans="1:36" ht="12.75">
      <c r="A522" s="77" t="s">
        <v>2477</v>
      </c>
      <c r="B522" s="77"/>
      <c r="C522" s="77" t="s">
        <v>2478</v>
      </c>
      <c r="D522" s="77" t="s">
        <v>2479</v>
      </c>
      <c r="E522" s="78">
        <v>758044012</v>
      </c>
      <c r="F522" s="3" t="s">
        <v>2480</v>
      </c>
      <c r="G522" s="7"/>
      <c r="H522" s="74" t="s">
        <v>2481</v>
      </c>
      <c r="I522" s="75" t="s">
        <v>223</v>
      </c>
      <c r="J522" s="74">
        <v>708223348</v>
      </c>
      <c r="K522" s="74" t="s">
        <v>2482</v>
      </c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</row>
    <row r="523" spans="1:36" ht="12.75">
      <c r="A523" s="72" t="s">
        <v>2483</v>
      </c>
      <c r="B523" s="72"/>
      <c r="C523" s="72" t="s">
        <v>2484</v>
      </c>
      <c r="D523" s="72" t="s">
        <v>341</v>
      </c>
      <c r="E523" s="73">
        <f>254740932662</f>
        <v>254740932662</v>
      </c>
      <c r="F523" s="5" t="s">
        <v>342</v>
      </c>
      <c r="G523" s="7"/>
      <c r="H523" s="74" t="s">
        <v>343</v>
      </c>
      <c r="I523" s="75" t="s">
        <v>41</v>
      </c>
      <c r="J523" s="242">
        <f>254710453693</f>
        <v>254710453693</v>
      </c>
      <c r="K523" s="96" t="s">
        <v>105</v>
      </c>
      <c r="L523" s="170"/>
      <c r="M523" s="170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</row>
    <row r="524" spans="1:36" ht="12.75">
      <c r="A524" s="77" t="s">
        <v>2485</v>
      </c>
      <c r="B524" s="77"/>
      <c r="C524" s="77" t="s">
        <v>2486</v>
      </c>
      <c r="D524" s="77" t="s">
        <v>998</v>
      </c>
      <c r="E524" s="78">
        <v>769021386</v>
      </c>
      <c r="F524" s="29"/>
      <c r="G524" s="9"/>
      <c r="H524" s="76"/>
      <c r="I524" s="84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</row>
    <row r="525" spans="1:36" ht="12.75">
      <c r="A525" s="72" t="s">
        <v>2487</v>
      </c>
      <c r="B525" s="72"/>
      <c r="C525" s="72" t="s">
        <v>2488</v>
      </c>
      <c r="D525" s="72" t="s">
        <v>998</v>
      </c>
      <c r="E525" s="73">
        <v>768039002</v>
      </c>
      <c r="F525" s="5" t="s">
        <v>2489</v>
      </c>
      <c r="G525" s="7"/>
      <c r="H525" s="74" t="s">
        <v>2490</v>
      </c>
      <c r="I525" s="75" t="s">
        <v>599</v>
      </c>
      <c r="J525" s="74">
        <v>2547082975</v>
      </c>
      <c r="K525" s="74" t="s">
        <v>2491</v>
      </c>
      <c r="L525" s="74"/>
      <c r="M525" s="74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</row>
    <row r="526" spans="1:36" ht="12.75">
      <c r="A526" s="77" t="s">
        <v>2492</v>
      </c>
      <c r="B526" s="77"/>
      <c r="C526" s="77" t="s">
        <v>2493</v>
      </c>
      <c r="D526" s="77" t="s">
        <v>799</v>
      </c>
      <c r="E526" s="78">
        <v>254795391626</v>
      </c>
      <c r="F526" s="3" t="s">
        <v>2494</v>
      </c>
      <c r="G526" s="7"/>
      <c r="H526" s="74" t="s">
        <v>2495</v>
      </c>
      <c r="I526" s="75" t="s">
        <v>356</v>
      </c>
      <c r="J526" s="74" t="s">
        <v>2496</v>
      </c>
      <c r="K526" s="74"/>
      <c r="L526" s="74"/>
      <c r="M526" s="74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</row>
    <row r="527" spans="1:36" ht="12.75">
      <c r="A527" s="72" t="s">
        <v>2497</v>
      </c>
      <c r="B527" s="72"/>
      <c r="C527" s="72" t="s">
        <v>2498</v>
      </c>
      <c r="D527" s="72" t="s">
        <v>2499</v>
      </c>
      <c r="E527" s="73">
        <v>719200384</v>
      </c>
      <c r="F527" s="5" t="s">
        <v>2500</v>
      </c>
      <c r="G527" s="7"/>
      <c r="H527" s="74" t="s">
        <v>2501</v>
      </c>
      <c r="I527" s="75" t="s">
        <v>916</v>
      </c>
      <c r="J527" s="74">
        <v>707163690</v>
      </c>
      <c r="K527" s="74" t="s">
        <v>2502</v>
      </c>
      <c r="L527" s="74"/>
      <c r="M527" s="74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</row>
    <row r="528" spans="1:36" ht="12.75">
      <c r="A528" s="77" t="s">
        <v>2503</v>
      </c>
      <c r="B528" s="77"/>
      <c r="C528" s="77" t="s">
        <v>2504</v>
      </c>
      <c r="D528" s="77" t="s">
        <v>2441</v>
      </c>
      <c r="E528" s="78">
        <v>708245199</v>
      </c>
      <c r="F528" s="3" t="s">
        <v>2505</v>
      </c>
      <c r="G528" s="7"/>
      <c r="H528" s="74" t="s">
        <v>2506</v>
      </c>
      <c r="I528" s="75" t="s">
        <v>2507</v>
      </c>
      <c r="J528" s="74">
        <v>726715863</v>
      </c>
      <c r="K528" s="74" t="s">
        <v>2508</v>
      </c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</row>
    <row r="529" spans="1:36" ht="12.75">
      <c r="A529" s="72" t="s">
        <v>2509</v>
      </c>
      <c r="B529" s="72"/>
      <c r="C529" s="72" t="s">
        <v>2510</v>
      </c>
      <c r="D529" s="72" t="s">
        <v>974</v>
      </c>
      <c r="E529" s="73">
        <v>742792502</v>
      </c>
      <c r="F529" s="5" t="s">
        <v>2511</v>
      </c>
      <c r="G529" s="7"/>
      <c r="H529" s="74" t="s">
        <v>2512</v>
      </c>
      <c r="I529" s="75" t="s">
        <v>218</v>
      </c>
      <c r="J529" s="74">
        <v>720229689</v>
      </c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</row>
    <row r="530" spans="1:36" ht="12.75">
      <c r="A530" s="77" t="s">
        <v>2513</v>
      </c>
      <c r="B530" s="77"/>
      <c r="C530" s="77" t="s">
        <v>2514</v>
      </c>
      <c r="D530" s="77" t="s">
        <v>2515</v>
      </c>
      <c r="E530" s="78">
        <v>707801347</v>
      </c>
      <c r="F530" s="92" t="s">
        <v>2516</v>
      </c>
      <c r="G530" s="60"/>
      <c r="H530" s="74" t="s">
        <v>2517</v>
      </c>
      <c r="I530" s="75" t="s">
        <v>237</v>
      </c>
      <c r="J530" s="74">
        <v>703080403</v>
      </c>
      <c r="K530" s="74" t="s">
        <v>2518</v>
      </c>
      <c r="L530" s="74"/>
      <c r="M530" s="74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</row>
    <row r="531" spans="1:36" ht="12.75">
      <c r="A531" s="72" t="s">
        <v>2519</v>
      </c>
      <c r="B531" s="72"/>
      <c r="C531" s="72" t="s">
        <v>2520</v>
      </c>
      <c r="D531" s="72" t="s">
        <v>2515</v>
      </c>
      <c r="E531" s="87">
        <v>254769825316</v>
      </c>
      <c r="F531" s="5" t="s">
        <v>361</v>
      </c>
      <c r="G531" s="7"/>
      <c r="H531" s="74" t="s">
        <v>362</v>
      </c>
      <c r="I531" s="75" t="s">
        <v>65</v>
      </c>
      <c r="J531" s="74">
        <v>734894994</v>
      </c>
      <c r="K531" s="74" t="s">
        <v>363</v>
      </c>
      <c r="L531" s="74"/>
      <c r="M531" s="74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</row>
    <row r="532" spans="1:36" ht="12.75">
      <c r="A532" s="77" t="s">
        <v>592</v>
      </c>
      <c r="B532" s="77"/>
      <c r="C532" s="77" t="s">
        <v>2521</v>
      </c>
      <c r="D532" s="77" t="s">
        <v>2522</v>
      </c>
      <c r="E532" s="78">
        <v>115043167</v>
      </c>
      <c r="F532" s="3" t="s">
        <v>2523</v>
      </c>
      <c r="G532" s="7"/>
      <c r="H532" s="74" t="s">
        <v>593</v>
      </c>
      <c r="I532" s="75" t="s">
        <v>203</v>
      </c>
      <c r="J532" s="74">
        <v>682230033</v>
      </c>
      <c r="K532" s="74" t="s">
        <v>204</v>
      </c>
      <c r="L532" s="74"/>
      <c r="M532" s="74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</row>
    <row r="533" spans="1:36" ht="12.75">
      <c r="A533" s="72" t="s">
        <v>2524</v>
      </c>
      <c r="B533" s="72"/>
      <c r="C533" s="72" t="s">
        <v>2525</v>
      </c>
      <c r="D533" s="72" t="s">
        <v>616</v>
      </c>
      <c r="E533" s="73">
        <v>746814757</v>
      </c>
      <c r="F533" s="5" t="s">
        <v>2526</v>
      </c>
      <c r="G533" s="7"/>
      <c r="H533" s="74" t="s">
        <v>2527</v>
      </c>
      <c r="I533" s="75" t="s">
        <v>59</v>
      </c>
      <c r="J533" s="74">
        <v>7028232556</v>
      </c>
      <c r="K533" s="74" t="s">
        <v>2212</v>
      </c>
      <c r="L533" s="74"/>
      <c r="M533" s="74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</row>
    <row r="534" spans="1:36" ht="12.75">
      <c r="A534" s="77" t="s">
        <v>2528</v>
      </c>
      <c r="B534" s="77"/>
      <c r="C534" s="77" t="s">
        <v>2529</v>
      </c>
      <c r="D534" s="77" t="s">
        <v>2530</v>
      </c>
      <c r="E534" s="78">
        <v>727375098</v>
      </c>
      <c r="F534" s="3" t="s">
        <v>2531</v>
      </c>
      <c r="G534" s="7"/>
      <c r="H534" s="74" t="s">
        <v>202</v>
      </c>
      <c r="I534" s="75" t="s">
        <v>203</v>
      </c>
      <c r="J534" s="74">
        <v>682230033</v>
      </c>
      <c r="K534" s="74" t="s">
        <v>204</v>
      </c>
      <c r="L534" s="74"/>
      <c r="M534" s="74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</row>
    <row r="535" spans="1:36" ht="12.75">
      <c r="A535" s="72" t="s">
        <v>2532</v>
      </c>
      <c r="B535" s="72"/>
      <c r="C535" s="72" t="s">
        <v>2533</v>
      </c>
      <c r="D535" s="72" t="s">
        <v>2530</v>
      </c>
      <c r="E535" s="73">
        <v>794382392</v>
      </c>
      <c r="F535" s="5" t="s">
        <v>2523</v>
      </c>
      <c r="G535" s="7"/>
      <c r="H535" s="74" t="s">
        <v>202</v>
      </c>
      <c r="I535" s="75" t="s">
        <v>203</v>
      </c>
      <c r="J535" s="74">
        <v>682230033</v>
      </c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</row>
    <row r="536" spans="1:36" ht="12.75">
      <c r="A536" s="77" t="s">
        <v>2534</v>
      </c>
      <c r="B536" s="77"/>
      <c r="C536" s="77" t="s">
        <v>2535</v>
      </c>
      <c r="D536" s="77" t="s">
        <v>2536</v>
      </c>
      <c r="E536" s="78">
        <v>782031900</v>
      </c>
      <c r="F536" s="3" t="s">
        <v>2537</v>
      </c>
      <c r="G536" s="7"/>
      <c r="H536" s="74" t="s">
        <v>2538</v>
      </c>
      <c r="I536" s="75" t="s">
        <v>2539</v>
      </c>
      <c r="J536" s="74">
        <v>715833663</v>
      </c>
      <c r="K536" s="74" t="s">
        <v>411</v>
      </c>
      <c r="L536" s="74"/>
      <c r="M536" s="74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</row>
    <row r="537" spans="1:36" ht="12.75">
      <c r="A537" s="72" t="s">
        <v>2540</v>
      </c>
      <c r="B537" s="72"/>
      <c r="C537" s="72" t="s">
        <v>2541</v>
      </c>
      <c r="D537" s="72" t="s">
        <v>799</v>
      </c>
      <c r="E537" s="73">
        <v>742667736</v>
      </c>
      <c r="F537" s="5" t="s">
        <v>2542</v>
      </c>
      <c r="G537" s="7"/>
      <c r="H537" s="74" t="s">
        <v>2543</v>
      </c>
      <c r="I537" s="75" t="s">
        <v>203</v>
      </c>
      <c r="J537" s="74">
        <v>708354754</v>
      </c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</row>
    <row r="538" spans="1:36" ht="12.75">
      <c r="A538" s="77" t="s">
        <v>2544</v>
      </c>
      <c r="B538" s="77"/>
      <c r="C538" s="77" t="s">
        <v>2545</v>
      </c>
      <c r="D538" s="77" t="s">
        <v>508</v>
      </c>
      <c r="E538" s="78">
        <v>708219665</v>
      </c>
      <c r="F538" s="3" t="s">
        <v>2546</v>
      </c>
      <c r="G538" s="7"/>
      <c r="H538" s="74" t="s">
        <v>2547</v>
      </c>
      <c r="I538" s="75" t="s">
        <v>1218</v>
      </c>
      <c r="J538" s="74">
        <v>719044000</v>
      </c>
      <c r="K538" s="74" t="s">
        <v>2548</v>
      </c>
      <c r="L538" s="74"/>
      <c r="M538" s="74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</row>
    <row r="539" spans="1:36" ht="12.75">
      <c r="A539" s="72" t="s">
        <v>2549</v>
      </c>
      <c r="B539" s="72"/>
      <c r="C539" s="72" t="s">
        <v>2550</v>
      </c>
      <c r="D539" s="72" t="s">
        <v>2551</v>
      </c>
      <c r="E539" s="73">
        <v>115672839</v>
      </c>
      <c r="F539" s="5" t="s">
        <v>975</v>
      </c>
      <c r="G539" s="7"/>
      <c r="H539" s="74" t="s">
        <v>976</v>
      </c>
      <c r="I539" s="75" t="s">
        <v>2342</v>
      </c>
      <c r="J539" s="74">
        <v>798959217</v>
      </c>
      <c r="K539" s="74" t="s">
        <v>978</v>
      </c>
      <c r="L539" s="74"/>
      <c r="M539" s="74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</row>
    <row r="540" spans="1:36" ht="12.75">
      <c r="A540" s="77" t="s">
        <v>2552</v>
      </c>
      <c r="B540" s="77"/>
      <c r="C540" s="77" t="s">
        <v>2553</v>
      </c>
      <c r="D540" s="77" t="s">
        <v>654</v>
      </c>
      <c r="E540" s="78">
        <v>798473996</v>
      </c>
      <c r="F540" s="3" t="s">
        <v>1725</v>
      </c>
      <c r="G540" s="7"/>
      <c r="H540" s="74" t="s">
        <v>2554</v>
      </c>
      <c r="I540" s="75" t="s">
        <v>599</v>
      </c>
      <c r="J540" s="74">
        <v>788199505</v>
      </c>
      <c r="K540" s="74" t="s">
        <v>2555</v>
      </c>
      <c r="L540" s="74"/>
      <c r="M540" s="74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</row>
    <row r="541" spans="1:36" ht="12.75">
      <c r="A541" s="72" t="s">
        <v>2556</v>
      </c>
      <c r="B541" s="72"/>
      <c r="C541" s="72" t="s">
        <v>2557</v>
      </c>
      <c r="D541" s="72" t="s">
        <v>1441</v>
      </c>
      <c r="E541" s="73">
        <v>769302799</v>
      </c>
      <c r="F541" s="5" t="s">
        <v>2558</v>
      </c>
      <c r="G541" s="7"/>
      <c r="H541" s="74" t="s">
        <v>2559</v>
      </c>
      <c r="I541" s="75" t="s">
        <v>2560</v>
      </c>
      <c r="J541" s="74">
        <v>728422519</v>
      </c>
      <c r="K541" s="74" t="s">
        <v>2485</v>
      </c>
      <c r="L541" s="74"/>
      <c r="M541" s="74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</row>
    <row r="542" spans="1:36" ht="12.75">
      <c r="A542" s="77" t="s">
        <v>2561</v>
      </c>
      <c r="B542" s="77"/>
      <c r="C542" s="77" t="s">
        <v>2562</v>
      </c>
      <c r="D542" s="77" t="s">
        <v>654</v>
      </c>
      <c r="E542" s="78">
        <v>705912632</v>
      </c>
      <c r="F542" s="3" t="s">
        <v>2563</v>
      </c>
      <c r="G542" s="7"/>
      <c r="H542" s="74" t="s">
        <v>355</v>
      </c>
      <c r="I542" s="75" t="s">
        <v>14</v>
      </c>
      <c r="J542" s="74">
        <v>710453693</v>
      </c>
      <c r="K542" s="74" t="s">
        <v>105</v>
      </c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</row>
    <row r="543" spans="1:36" ht="12.75">
      <c r="A543" s="72" t="s">
        <v>2564</v>
      </c>
      <c r="B543" s="72"/>
      <c r="C543" s="72" t="s">
        <v>2565</v>
      </c>
      <c r="D543" s="72" t="s">
        <v>799</v>
      </c>
      <c r="E543" s="73">
        <v>742234344</v>
      </c>
      <c r="F543" s="5" t="s">
        <v>2566</v>
      </c>
      <c r="G543" s="7"/>
      <c r="H543" s="74" t="s">
        <v>2567</v>
      </c>
      <c r="I543" s="75" t="s">
        <v>495</v>
      </c>
      <c r="J543" s="74">
        <v>741279118</v>
      </c>
      <c r="K543" s="74" t="s">
        <v>2568</v>
      </c>
      <c r="L543" s="74"/>
      <c r="M543" s="74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</row>
    <row r="544" spans="1:36" ht="15">
      <c r="A544" s="77" t="s">
        <v>2569</v>
      </c>
      <c r="B544" s="77"/>
      <c r="C544" s="77" t="s">
        <v>2570</v>
      </c>
      <c r="D544" s="77" t="s">
        <v>2551</v>
      </c>
      <c r="E544" s="78">
        <v>705924831</v>
      </c>
      <c r="F544" s="3" t="s">
        <v>2571</v>
      </c>
      <c r="G544" s="7"/>
      <c r="H544" s="74" t="s">
        <v>2572</v>
      </c>
      <c r="I544" s="75" t="s">
        <v>2573</v>
      </c>
      <c r="J544" s="243" t="s">
        <v>2574</v>
      </c>
      <c r="K544" s="243" t="s">
        <v>2575</v>
      </c>
      <c r="L544" s="244"/>
      <c r="M544" s="244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</row>
    <row r="545" spans="1:36" ht="12.75">
      <c r="A545" s="72" t="s">
        <v>2576</v>
      </c>
      <c r="B545" s="72"/>
      <c r="C545" s="72" t="s">
        <v>2577</v>
      </c>
      <c r="D545" s="72" t="s">
        <v>2578</v>
      </c>
      <c r="E545" s="73">
        <v>707048192</v>
      </c>
      <c r="F545" s="5" t="s">
        <v>2579</v>
      </c>
      <c r="G545" s="7"/>
      <c r="H545" s="74" t="s">
        <v>2580</v>
      </c>
      <c r="I545" s="75" t="s">
        <v>2581</v>
      </c>
      <c r="J545" s="74">
        <v>714695815</v>
      </c>
      <c r="K545" s="74" t="s">
        <v>2582</v>
      </c>
      <c r="L545" s="74"/>
      <c r="M545" s="74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</row>
    <row r="546" spans="1:36" ht="12.75">
      <c r="A546" s="77" t="s">
        <v>2583</v>
      </c>
      <c r="B546" s="77"/>
      <c r="C546" s="77" t="s">
        <v>2584</v>
      </c>
      <c r="D546" s="77" t="s">
        <v>2585</v>
      </c>
      <c r="E546" s="245" t="s">
        <v>2586</v>
      </c>
      <c r="F546" s="3" t="s">
        <v>2587</v>
      </c>
      <c r="G546" s="7"/>
      <c r="H546" s="76"/>
      <c r="I546" s="84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</row>
    <row r="547" spans="1:36" ht="12.75">
      <c r="A547" s="72" t="s">
        <v>2588</v>
      </c>
      <c r="B547" s="72"/>
      <c r="C547" s="72" t="s">
        <v>2589</v>
      </c>
      <c r="D547" s="72" t="s">
        <v>341</v>
      </c>
      <c r="E547" s="73">
        <v>743556250</v>
      </c>
      <c r="F547" s="5" t="s">
        <v>2590</v>
      </c>
      <c r="G547" s="7"/>
      <c r="H547" s="74" t="s">
        <v>2591</v>
      </c>
      <c r="I547" s="75" t="s">
        <v>2592</v>
      </c>
      <c r="J547" s="74">
        <v>202843330</v>
      </c>
      <c r="K547" s="74" t="s">
        <v>2593</v>
      </c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</row>
    <row r="548" spans="1:36" ht="12.75">
      <c r="A548" s="77" t="s">
        <v>2598</v>
      </c>
      <c r="B548" s="77"/>
      <c r="C548" s="77" t="s">
        <v>2599</v>
      </c>
      <c r="D548" s="77" t="s">
        <v>1753</v>
      </c>
      <c r="E548" s="78">
        <v>718305616</v>
      </c>
      <c r="F548" s="3" t="s">
        <v>2600</v>
      </c>
      <c r="G548" s="7"/>
      <c r="H548" s="74" t="s">
        <v>2595</v>
      </c>
      <c r="I548" s="75" t="s">
        <v>2596</v>
      </c>
      <c r="J548" s="74">
        <v>713709531</v>
      </c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</row>
    <row r="549" spans="1:36" ht="12.75">
      <c r="A549" s="72" t="s">
        <v>2601</v>
      </c>
      <c r="B549" s="72"/>
      <c r="C549" s="72" t="s">
        <v>2602</v>
      </c>
      <c r="D549" s="72" t="s">
        <v>273</v>
      </c>
      <c r="E549" s="73">
        <v>705357197</v>
      </c>
      <c r="F549" s="5" t="s">
        <v>2603</v>
      </c>
      <c r="G549" s="7"/>
      <c r="H549" s="74" t="s">
        <v>2604</v>
      </c>
      <c r="I549" s="75" t="s">
        <v>269</v>
      </c>
      <c r="J549" s="74">
        <v>206533276</v>
      </c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</row>
    <row r="550" spans="1:36" ht="12.75">
      <c r="A550" s="77" t="s">
        <v>2605</v>
      </c>
      <c r="B550" s="77"/>
      <c r="C550" s="77" t="s">
        <v>2606</v>
      </c>
      <c r="D550" s="77" t="s">
        <v>2607</v>
      </c>
      <c r="E550" s="78">
        <v>705649538</v>
      </c>
      <c r="F550" s="3" t="s">
        <v>2608</v>
      </c>
      <c r="G550" s="7"/>
      <c r="H550" s="74" t="s">
        <v>2609</v>
      </c>
      <c r="I550" s="75" t="s">
        <v>2610</v>
      </c>
      <c r="J550" s="74">
        <v>722206986</v>
      </c>
      <c r="K550" s="74" t="s">
        <v>1639</v>
      </c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</row>
    <row r="551" spans="1:36" ht="12.75">
      <c r="A551" s="72" t="s">
        <v>2611</v>
      </c>
      <c r="B551" s="72"/>
      <c r="C551" s="72" t="s">
        <v>2612</v>
      </c>
      <c r="D551" s="72" t="s">
        <v>1441</v>
      </c>
      <c r="E551" s="73">
        <v>742252910</v>
      </c>
      <c r="F551" s="246" t="s">
        <v>2613</v>
      </c>
      <c r="G551" s="247"/>
      <c r="H551" s="74" t="s">
        <v>2614</v>
      </c>
      <c r="I551" s="84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</row>
    <row r="552" spans="1:36" ht="12.75">
      <c r="A552" s="77" t="s">
        <v>2615</v>
      </c>
      <c r="B552" s="77"/>
      <c r="C552" s="77" t="s">
        <v>2616</v>
      </c>
      <c r="D552" s="77" t="s">
        <v>402</v>
      </c>
      <c r="E552" s="78">
        <v>706165381</v>
      </c>
      <c r="F552" s="3" t="s">
        <v>999</v>
      </c>
      <c r="G552" s="7"/>
      <c r="H552" s="74" t="s">
        <v>2617</v>
      </c>
      <c r="I552" s="75" t="s">
        <v>2618</v>
      </c>
      <c r="J552" s="74" t="s">
        <v>2619</v>
      </c>
      <c r="K552" s="74" t="s">
        <v>105</v>
      </c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</row>
    <row r="553" spans="1:36" ht="12.75">
      <c r="A553" s="72" t="s">
        <v>2620</v>
      </c>
      <c r="B553" s="72"/>
      <c r="C553" s="72" t="s">
        <v>2621</v>
      </c>
      <c r="D553" s="72" t="s">
        <v>873</v>
      </c>
      <c r="E553" s="73">
        <v>745873013</v>
      </c>
      <c r="F553" s="5" t="s">
        <v>2622</v>
      </c>
      <c r="G553" s="7"/>
      <c r="H553" s="74" t="s">
        <v>2623</v>
      </c>
      <c r="I553" s="75" t="s">
        <v>223</v>
      </c>
      <c r="J553" s="74">
        <v>711234567</v>
      </c>
      <c r="K553" s="74" t="s">
        <v>180</v>
      </c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</row>
    <row r="554" spans="1:36" ht="12.75">
      <c r="A554" s="77" t="s">
        <v>2624</v>
      </c>
      <c r="B554" s="77"/>
      <c r="C554" s="77" t="s">
        <v>2625</v>
      </c>
      <c r="D554" s="77" t="s">
        <v>2626</v>
      </c>
      <c r="E554" s="78">
        <v>713281762</v>
      </c>
      <c r="F554" s="3" t="s">
        <v>1449</v>
      </c>
      <c r="G554" s="7"/>
      <c r="H554" s="74" t="s">
        <v>2627</v>
      </c>
      <c r="I554" s="75" t="s">
        <v>2628</v>
      </c>
      <c r="J554" s="74">
        <v>757702813</v>
      </c>
      <c r="K554" s="74" t="s">
        <v>1452</v>
      </c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</row>
    <row r="555" spans="1:36" ht="12.75">
      <c r="A555" s="72" t="s">
        <v>2629</v>
      </c>
      <c r="B555" s="72"/>
      <c r="C555" s="72" t="s">
        <v>2630</v>
      </c>
      <c r="D555" s="72" t="s">
        <v>337</v>
      </c>
      <c r="E555" s="73">
        <v>111655419</v>
      </c>
      <c r="F555" s="5" t="s">
        <v>2631</v>
      </c>
      <c r="G555" s="7"/>
      <c r="H555" s="74" t="s">
        <v>2623</v>
      </c>
      <c r="I555" s="75"/>
      <c r="J555" s="74">
        <v>711234567</v>
      </c>
      <c r="K555" s="74" t="s">
        <v>180</v>
      </c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</row>
    <row r="556" spans="1:36" ht="12.75">
      <c r="A556" s="77" t="s">
        <v>2632</v>
      </c>
      <c r="B556" s="77"/>
      <c r="C556" s="77" t="s">
        <v>2633</v>
      </c>
      <c r="D556" s="77" t="s">
        <v>873</v>
      </c>
      <c r="E556" s="78">
        <v>746814337</v>
      </c>
      <c r="F556" s="3" t="s">
        <v>2634</v>
      </c>
      <c r="G556" s="7"/>
      <c r="H556" s="74" t="s">
        <v>2635</v>
      </c>
      <c r="I556" s="75" t="s">
        <v>2137</v>
      </c>
      <c r="J556" s="74">
        <v>2547202342935</v>
      </c>
      <c r="K556" s="74" t="s">
        <v>2636</v>
      </c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</row>
    <row r="557" spans="1:36" ht="12.75">
      <c r="A557" s="72" t="s">
        <v>2637</v>
      </c>
      <c r="B557" s="72"/>
      <c r="C557" s="72" t="s">
        <v>2638</v>
      </c>
      <c r="D557" s="72" t="s">
        <v>2522</v>
      </c>
      <c r="E557" s="73">
        <v>796443221</v>
      </c>
      <c r="F557" s="5" t="s">
        <v>2639</v>
      </c>
      <c r="G557" s="7"/>
      <c r="H557" s="74" t="s">
        <v>2640</v>
      </c>
      <c r="I557" s="75" t="s">
        <v>2641</v>
      </c>
      <c r="J557" s="74" t="s">
        <v>2642</v>
      </c>
      <c r="K557" s="74" t="s">
        <v>2643</v>
      </c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</row>
    <row r="558" spans="1:36" ht="12.75">
      <c r="A558" s="77" t="s">
        <v>2644</v>
      </c>
      <c r="B558" s="77"/>
      <c r="C558" s="77" t="s">
        <v>2645</v>
      </c>
      <c r="D558" s="77" t="s">
        <v>341</v>
      </c>
      <c r="E558" s="78">
        <v>792177297</v>
      </c>
      <c r="F558" s="3" t="s">
        <v>2646</v>
      </c>
      <c r="G558" s="7"/>
      <c r="H558" s="74" t="s">
        <v>2647</v>
      </c>
      <c r="I558" s="75" t="s">
        <v>2247</v>
      </c>
      <c r="J558" s="74">
        <v>790468082</v>
      </c>
      <c r="K558" s="74" t="s">
        <v>1508</v>
      </c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</row>
    <row r="559" spans="1:36" ht="12.75">
      <c r="A559" s="72" t="s">
        <v>2648</v>
      </c>
      <c r="B559" s="72"/>
      <c r="C559" s="72" t="s">
        <v>2649</v>
      </c>
      <c r="D559" s="72" t="s">
        <v>2551</v>
      </c>
      <c r="E559" s="73">
        <v>254112827681</v>
      </c>
      <c r="F559" s="5" t="s">
        <v>2650</v>
      </c>
      <c r="G559" s="7"/>
      <c r="H559" s="74" t="s">
        <v>2651</v>
      </c>
      <c r="I559" s="75" t="s">
        <v>599</v>
      </c>
      <c r="J559" s="74">
        <v>722406595</v>
      </c>
      <c r="K559" s="74" t="s">
        <v>2652</v>
      </c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</row>
    <row r="560" spans="1:36" ht="12.75">
      <c r="A560" s="77" t="s">
        <v>2653</v>
      </c>
      <c r="B560" s="77"/>
      <c r="C560" s="77" t="s">
        <v>2654</v>
      </c>
      <c r="D560" s="77" t="s">
        <v>155</v>
      </c>
      <c r="E560" s="78">
        <v>708822568</v>
      </c>
      <c r="F560" s="3" t="s">
        <v>2655</v>
      </c>
      <c r="G560" s="7"/>
      <c r="H560" s="74" t="s">
        <v>2656</v>
      </c>
      <c r="I560" s="75" t="s">
        <v>2657</v>
      </c>
      <c r="J560" s="74">
        <v>791808309</v>
      </c>
      <c r="K560" s="74" t="s">
        <v>2658</v>
      </c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</row>
    <row r="561" spans="1:36" ht="12.75">
      <c r="A561" s="72" t="s">
        <v>2659</v>
      </c>
      <c r="B561" s="72"/>
      <c r="C561" s="72" t="s">
        <v>2660</v>
      </c>
      <c r="D561" s="72" t="s">
        <v>2661</v>
      </c>
      <c r="E561" s="73">
        <v>718088461</v>
      </c>
      <c r="F561" s="5" t="s">
        <v>2662</v>
      </c>
      <c r="G561" s="7"/>
      <c r="H561" s="74" t="s">
        <v>2663</v>
      </c>
      <c r="I561" s="75" t="s">
        <v>2664</v>
      </c>
      <c r="J561" s="74">
        <v>791569875</v>
      </c>
      <c r="K561" s="74" t="s">
        <v>2665</v>
      </c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</row>
    <row r="562" spans="1:36" ht="12.75">
      <c r="A562" s="77" t="s">
        <v>2666</v>
      </c>
      <c r="B562" s="77"/>
      <c r="C562" s="77" t="s">
        <v>2667</v>
      </c>
      <c r="D562" s="77" t="s">
        <v>2668</v>
      </c>
      <c r="E562" s="78">
        <v>721228749</v>
      </c>
      <c r="F562" s="3" t="s">
        <v>2669</v>
      </c>
      <c r="G562" s="7"/>
      <c r="H562" s="74" t="s">
        <v>2670</v>
      </c>
      <c r="I562" s="75" t="s">
        <v>2671</v>
      </c>
      <c r="J562" s="74">
        <v>254707430108</v>
      </c>
      <c r="K562" s="74" t="s">
        <v>2672</v>
      </c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</row>
    <row r="563" spans="1:36" ht="12.75">
      <c r="A563" s="72" t="s">
        <v>2673</v>
      </c>
      <c r="B563" s="72"/>
      <c r="C563" s="72" t="s">
        <v>2674</v>
      </c>
      <c r="D563" s="72" t="s">
        <v>2675</v>
      </c>
      <c r="E563" s="73">
        <v>114607618</v>
      </c>
      <c r="F563" s="5" t="s">
        <v>2676</v>
      </c>
      <c r="G563" s="7"/>
      <c r="H563" s="74" t="s">
        <v>2042</v>
      </c>
      <c r="I563" s="248"/>
      <c r="J563" s="74">
        <v>710453693</v>
      </c>
      <c r="K563" s="74" t="s">
        <v>105</v>
      </c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</row>
    <row r="564" spans="1:36" ht="12.75">
      <c r="A564" s="77" t="s">
        <v>2677</v>
      </c>
      <c r="B564" s="77"/>
      <c r="C564" s="77" t="s">
        <v>2678</v>
      </c>
      <c r="D564" s="77" t="s">
        <v>407</v>
      </c>
      <c r="E564" s="78">
        <v>792748122</v>
      </c>
      <c r="F564" s="3" t="s">
        <v>2679</v>
      </c>
      <c r="G564" s="7"/>
      <c r="H564" s="74" t="s">
        <v>2680</v>
      </c>
      <c r="I564" s="75" t="s">
        <v>237</v>
      </c>
      <c r="J564" s="74">
        <v>703034000</v>
      </c>
      <c r="K564" s="74" t="s">
        <v>2681</v>
      </c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</row>
    <row r="565" spans="1:36" ht="12.75">
      <c r="A565" s="72" t="s">
        <v>2682</v>
      </c>
      <c r="B565" s="72"/>
      <c r="C565" s="72" t="s">
        <v>2683</v>
      </c>
      <c r="D565" s="72" t="s">
        <v>2684</v>
      </c>
      <c r="E565" s="73">
        <v>748798704</v>
      </c>
      <c r="F565" s="5" t="s">
        <v>2685</v>
      </c>
      <c r="G565" s="7"/>
      <c r="H565" s="74" t="s">
        <v>2686</v>
      </c>
      <c r="I565" s="75" t="s">
        <v>2687</v>
      </c>
      <c r="J565" s="74" t="s">
        <v>2688</v>
      </c>
      <c r="K565" s="74" t="s">
        <v>2689</v>
      </c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</row>
    <row r="566" spans="1:36" ht="12.75">
      <c r="A566" s="77" t="s">
        <v>2690</v>
      </c>
      <c r="B566" s="77"/>
      <c r="C566" s="77" t="s">
        <v>2691</v>
      </c>
      <c r="D566" s="77" t="s">
        <v>83</v>
      </c>
      <c r="E566" s="78">
        <v>704528689</v>
      </c>
      <c r="F566" s="3" t="s">
        <v>2692</v>
      </c>
      <c r="G566" s="7"/>
      <c r="H566" s="74" t="s">
        <v>2693</v>
      </c>
      <c r="I566" s="75" t="s">
        <v>1245</v>
      </c>
      <c r="J566" s="74">
        <v>704528689</v>
      </c>
      <c r="K566" s="74" t="s">
        <v>2694</v>
      </c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</row>
    <row r="567" spans="1:36" ht="12.75">
      <c r="A567" s="249" t="s">
        <v>2695</v>
      </c>
      <c r="B567" s="249"/>
      <c r="C567" s="72" t="s">
        <v>2696</v>
      </c>
      <c r="D567" s="72" t="s">
        <v>2697</v>
      </c>
      <c r="E567" s="73">
        <v>721901761</v>
      </c>
      <c r="F567" s="5" t="s">
        <v>681</v>
      </c>
      <c r="G567" s="7"/>
      <c r="H567" s="74" t="s">
        <v>2698</v>
      </c>
      <c r="I567" s="75" t="s">
        <v>2699</v>
      </c>
      <c r="J567" s="74">
        <v>202054354</v>
      </c>
      <c r="K567" s="74" t="s">
        <v>224</v>
      </c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</row>
    <row r="568" spans="1:36" ht="12.75">
      <c r="A568" s="77" t="s">
        <v>2700</v>
      </c>
      <c r="B568" s="77"/>
      <c r="C568" s="77" t="s">
        <v>2701</v>
      </c>
      <c r="D568" s="77" t="s">
        <v>227</v>
      </c>
      <c r="E568" s="78">
        <v>700844565</v>
      </c>
      <c r="F568" s="3" t="s">
        <v>2676</v>
      </c>
      <c r="G568" s="7"/>
      <c r="H568" s="74" t="s">
        <v>2042</v>
      </c>
      <c r="I568" s="75" t="s">
        <v>2699</v>
      </c>
      <c r="J568" s="74" t="s">
        <v>442</v>
      </c>
      <c r="K568" s="74" t="s">
        <v>105</v>
      </c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</row>
    <row r="569" spans="1:36" ht="12.75">
      <c r="A569" s="72" t="s">
        <v>2702</v>
      </c>
      <c r="B569" s="72"/>
      <c r="C569" s="72" t="s">
        <v>2703</v>
      </c>
      <c r="D569" s="72" t="s">
        <v>880</v>
      </c>
      <c r="E569" s="73">
        <v>755169855</v>
      </c>
      <c r="F569" s="5" t="s">
        <v>2704</v>
      </c>
      <c r="G569" s="7"/>
      <c r="H569" s="74" t="s">
        <v>2705</v>
      </c>
      <c r="I569" s="75" t="s">
        <v>2706</v>
      </c>
      <c r="J569" s="74">
        <v>758722024</v>
      </c>
      <c r="K569" s="74" t="s">
        <v>2707</v>
      </c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</row>
    <row r="570" spans="1:36" ht="12.75">
      <c r="A570" s="77" t="s">
        <v>2708</v>
      </c>
      <c r="B570" s="77"/>
      <c r="C570" s="77" t="s">
        <v>2709</v>
      </c>
      <c r="D570" s="77" t="s">
        <v>2710</v>
      </c>
      <c r="E570" s="112">
        <v>254719497217</v>
      </c>
      <c r="F570" s="3" t="s">
        <v>2711</v>
      </c>
      <c r="G570" s="7"/>
      <c r="H570" s="74" t="s">
        <v>2712</v>
      </c>
      <c r="I570" s="75" t="s">
        <v>2713</v>
      </c>
      <c r="J570" s="74">
        <v>707574430</v>
      </c>
      <c r="K570" s="74" t="s">
        <v>2714</v>
      </c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</row>
    <row r="571" spans="1:36" ht="12.75">
      <c r="A571" s="72" t="s">
        <v>2715</v>
      </c>
      <c r="B571" s="72"/>
      <c r="C571" s="72" t="s">
        <v>2716</v>
      </c>
      <c r="D571" s="72" t="s">
        <v>1623</v>
      </c>
      <c r="E571" s="73">
        <v>112685689</v>
      </c>
      <c r="F571" s="5" t="s">
        <v>2717</v>
      </c>
      <c r="G571" s="7"/>
      <c r="H571" s="74" t="s">
        <v>469</v>
      </c>
      <c r="I571" s="75" t="s">
        <v>2718</v>
      </c>
      <c r="J571" s="74">
        <v>254722337776</v>
      </c>
      <c r="K571" s="74" t="s">
        <v>470</v>
      </c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</row>
    <row r="572" spans="1:36" ht="12.75">
      <c r="A572" s="77" t="s">
        <v>2719</v>
      </c>
      <c r="B572" s="77"/>
      <c r="C572" s="77"/>
      <c r="D572" s="77" t="s">
        <v>2710</v>
      </c>
      <c r="E572" s="78">
        <v>792741896</v>
      </c>
      <c r="F572" s="3" t="s">
        <v>2720</v>
      </c>
      <c r="G572" s="7"/>
      <c r="H572" s="76"/>
      <c r="I572" s="84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</row>
    <row r="573" spans="1:36" ht="12.75">
      <c r="A573" s="72" t="s">
        <v>2721</v>
      </c>
      <c r="B573" s="83"/>
      <c r="C573" s="164" t="s">
        <v>2722</v>
      </c>
      <c r="D573" s="164" t="s">
        <v>441</v>
      </c>
      <c r="E573" s="73">
        <v>745928679</v>
      </c>
      <c r="F573" s="13"/>
      <c r="G573" s="9"/>
      <c r="H573" s="74"/>
      <c r="I573" s="75"/>
      <c r="J573" s="74"/>
      <c r="K573" s="74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</row>
    <row r="574" spans="1:36" ht="12.75">
      <c r="A574" s="77" t="s">
        <v>2723</v>
      </c>
      <c r="B574" s="77"/>
      <c r="C574" s="77" t="s">
        <v>2724</v>
      </c>
      <c r="D574" s="77" t="s">
        <v>2725</v>
      </c>
      <c r="E574" s="78">
        <v>110403312</v>
      </c>
      <c r="F574" s="3" t="s">
        <v>2726</v>
      </c>
      <c r="G574" s="7"/>
      <c r="H574" s="74" t="s">
        <v>2727</v>
      </c>
      <c r="I574" s="75" t="s">
        <v>2728</v>
      </c>
      <c r="J574" s="74">
        <v>254790468082</v>
      </c>
      <c r="K574" s="74" t="s">
        <v>1508</v>
      </c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</row>
    <row r="575" spans="1:36" ht="12.75">
      <c r="A575" s="72" t="s">
        <v>2729</v>
      </c>
      <c r="B575" s="72"/>
      <c r="C575" s="72" t="s">
        <v>2730</v>
      </c>
      <c r="D575" s="72" t="s">
        <v>402</v>
      </c>
      <c r="E575" s="73">
        <v>795672448</v>
      </c>
      <c r="F575" s="5" t="s">
        <v>2731</v>
      </c>
      <c r="G575" s="7"/>
      <c r="H575" s="74" t="s">
        <v>2732</v>
      </c>
      <c r="I575" s="75" t="s">
        <v>2733</v>
      </c>
      <c r="J575" s="74">
        <v>756836258</v>
      </c>
      <c r="K575" s="74" t="s">
        <v>2734</v>
      </c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</row>
    <row r="576" spans="1:36" ht="12.75">
      <c r="A576" s="77" t="s">
        <v>2735</v>
      </c>
      <c r="B576" s="92"/>
      <c r="C576" s="96" t="s">
        <v>2736</v>
      </c>
      <c r="D576" s="96" t="s">
        <v>441</v>
      </c>
      <c r="E576" s="78">
        <v>745928679</v>
      </c>
      <c r="F576" s="3" t="s">
        <v>2737</v>
      </c>
      <c r="G576" s="7"/>
      <c r="H576" s="76"/>
      <c r="I576" s="84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</row>
    <row r="577" spans="1:36" ht="12.75">
      <c r="A577" s="72" t="s">
        <v>2738</v>
      </c>
      <c r="B577" s="72"/>
      <c r="C577" s="72" t="s">
        <v>2739</v>
      </c>
      <c r="D577" s="72" t="s">
        <v>441</v>
      </c>
      <c r="E577" s="73">
        <v>798247960</v>
      </c>
      <c r="F577" s="5" t="s">
        <v>2740</v>
      </c>
      <c r="G577" s="7"/>
      <c r="H577" s="74" t="s">
        <v>2741</v>
      </c>
      <c r="I577" s="75" t="s">
        <v>218</v>
      </c>
      <c r="J577" s="96">
        <v>714274434</v>
      </c>
      <c r="K577" s="74" t="s">
        <v>2742</v>
      </c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</row>
    <row r="578" spans="1:36" ht="12.75">
      <c r="A578" s="77" t="s">
        <v>2743</v>
      </c>
      <c r="B578" s="77"/>
      <c r="C578" s="77" t="s">
        <v>2744</v>
      </c>
      <c r="D578" s="77" t="s">
        <v>2745</v>
      </c>
      <c r="E578" s="78">
        <v>795032725</v>
      </c>
      <c r="F578" s="3" t="s">
        <v>2746</v>
      </c>
      <c r="G578" s="7"/>
      <c r="H578" s="74" t="s">
        <v>2406</v>
      </c>
      <c r="I578" s="75" t="s">
        <v>223</v>
      </c>
      <c r="J578" s="74">
        <v>711234567</v>
      </c>
      <c r="K578" s="74" t="s">
        <v>180</v>
      </c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</row>
    <row r="579" spans="1:36" ht="12.75">
      <c r="A579" s="72" t="s">
        <v>2458</v>
      </c>
      <c r="B579" s="72"/>
      <c r="C579" s="72" t="s">
        <v>2459</v>
      </c>
      <c r="D579" s="72" t="s">
        <v>2747</v>
      </c>
      <c r="E579" s="73">
        <v>717351469</v>
      </c>
      <c r="F579" s="5" t="s">
        <v>2460</v>
      </c>
      <c r="G579" s="7"/>
      <c r="H579" s="74" t="s">
        <v>2748</v>
      </c>
      <c r="I579" s="75" t="s">
        <v>1218</v>
      </c>
      <c r="J579" s="74" t="s">
        <v>2462</v>
      </c>
      <c r="K579" s="74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</row>
    <row r="580" spans="1:36" ht="12.75">
      <c r="A580" s="77" t="s">
        <v>2749</v>
      </c>
      <c r="B580" s="77"/>
      <c r="C580" s="77" t="s">
        <v>1824</v>
      </c>
      <c r="D580" s="77" t="s">
        <v>255</v>
      </c>
      <c r="E580" s="78">
        <v>113089353</v>
      </c>
      <c r="F580" s="3" t="s">
        <v>2750</v>
      </c>
      <c r="G580" s="7"/>
      <c r="H580" s="74" t="s">
        <v>2139</v>
      </c>
      <c r="I580" s="75" t="s">
        <v>1218</v>
      </c>
      <c r="J580" s="74">
        <v>204408989</v>
      </c>
      <c r="K580" s="74" t="s">
        <v>1942</v>
      </c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</row>
    <row r="581" spans="1:36" ht="12.75">
      <c r="A581" s="72" t="s">
        <v>2751</v>
      </c>
      <c r="B581" s="72"/>
      <c r="C581" s="72" t="s">
        <v>2752</v>
      </c>
      <c r="D581" s="72" t="s">
        <v>974</v>
      </c>
      <c r="E581" s="73">
        <v>798153798</v>
      </c>
      <c r="F581" s="5" t="s">
        <v>2753</v>
      </c>
      <c r="G581" s="7"/>
      <c r="H581" s="74" t="s">
        <v>2754</v>
      </c>
      <c r="I581" s="75" t="s">
        <v>269</v>
      </c>
      <c r="J581" s="74" t="s">
        <v>2755</v>
      </c>
      <c r="K581" s="74" t="s">
        <v>2756</v>
      </c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</row>
    <row r="582" spans="1:36" ht="12.75">
      <c r="A582" s="77" t="s">
        <v>2757</v>
      </c>
      <c r="B582" s="77"/>
      <c r="C582" s="77" t="s">
        <v>2758</v>
      </c>
      <c r="D582" s="77" t="s">
        <v>2551</v>
      </c>
      <c r="E582" s="78">
        <v>708842110</v>
      </c>
      <c r="F582" s="3" t="s">
        <v>2650</v>
      </c>
      <c r="G582" s="7"/>
      <c r="H582" s="74" t="s">
        <v>2651</v>
      </c>
      <c r="I582" s="75" t="s">
        <v>599</v>
      </c>
      <c r="J582" s="74">
        <v>722406595</v>
      </c>
      <c r="K582" s="74" t="s">
        <v>2759</v>
      </c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</row>
    <row r="583" spans="1:36" ht="12.75">
      <c r="A583" s="72" t="s">
        <v>2760</v>
      </c>
      <c r="B583" s="72"/>
      <c r="C583" s="72" t="s">
        <v>2761</v>
      </c>
      <c r="D583" s="72" t="s">
        <v>998</v>
      </c>
      <c r="E583" s="73">
        <v>796988033</v>
      </c>
      <c r="F583" s="5" t="s">
        <v>2762</v>
      </c>
      <c r="G583" s="7"/>
      <c r="H583" s="74" t="s">
        <v>2763</v>
      </c>
      <c r="I583" s="75" t="s">
        <v>2764</v>
      </c>
      <c r="J583" s="74">
        <v>707824674</v>
      </c>
      <c r="K583" s="74" t="s">
        <v>2765</v>
      </c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</row>
    <row r="584" spans="1:36" ht="12.75">
      <c r="A584" s="250" t="s">
        <v>2766</v>
      </c>
      <c r="B584" s="250"/>
      <c r="C584" s="77" t="s">
        <v>2767</v>
      </c>
      <c r="D584" s="77" t="s">
        <v>998</v>
      </c>
      <c r="E584" s="78">
        <v>111260308</v>
      </c>
      <c r="F584" s="3" t="s">
        <v>342</v>
      </c>
      <c r="G584" s="7"/>
      <c r="H584" s="74" t="s">
        <v>2768</v>
      </c>
      <c r="I584" s="75" t="s">
        <v>41</v>
      </c>
      <c r="J584" s="76">
        <f>254710453693</f>
        <v>254710453693</v>
      </c>
      <c r="K584" s="74" t="s">
        <v>105</v>
      </c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</row>
    <row r="585" spans="1:36" ht="12.75">
      <c r="A585" s="72" t="s">
        <v>2769</v>
      </c>
      <c r="B585" s="72"/>
      <c r="C585" s="72" t="s">
        <v>2770</v>
      </c>
      <c r="D585" s="72" t="s">
        <v>2771</v>
      </c>
      <c r="E585" s="73">
        <v>769681842</v>
      </c>
      <c r="F585" s="5" t="s">
        <v>2772</v>
      </c>
      <c r="G585" s="7"/>
      <c r="H585" s="74" t="s">
        <v>2773</v>
      </c>
      <c r="I585" s="75" t="s">
        <v>356</v>
      </c>
      <c r="J585" s="251">
        <v>254710453693</v>
      </c>
      <c r="K585" s="96" t="s">
        <v>105</v>
      </c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</row>
    <row r="586" spans="1:36" ht="12.75">
      <c r="A586" s="77" t="s">
        <v>2774</v>
      </c>
      <c r="B586" s="77"/>
      <c r="C586" s="77" t="s">
        <v>2775</v>
      </c>
      <c r="D586" s="77" t="s">
        <v>2776</v>
      </c>
      <c r="E586" s="78">
        <v>704024712</v>
      </c>
      <c r="F586" s="3" t="s">
        <v>2746</v>
      </c>
      <c r="G586" s="7"/>
      <c r="H586" s="74" t="s">
        <v>2777</v>
      </c>
      <c r="I586" s="75" t="s">
        <v>41</v>
      </c>
      <c r="J586" s="74" t="s">
        <v>28</v>
      </c>
      <c r="K586" s="74" t="s">
        <v>224</v>
      </c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</row>
    <row r="587" spans="1:36" ht="12.75">
      <c r="A587" s="252"/>
      <c r="B587" s="252"/>
      <c r="C587" s="72" t="s">
        <v>2778</v>
      </c>
      <c r="D587" s="72"/>
      <c r="E587" s="87"/>
      <c r="F587" s="13"/>
      <c r="G587" s="9"/>
      <c r="H587" s="74"/>
      <c r="I587" s="75"/>
      <c r="J587" s="74"/>
      <c r="K587" s="74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</row>
    <row r="588" spans="1:36" ht="12.75">
      <c r="A588" s="77" t="s">
        <v>2779</v>
      </c>
      <c r="B588" s="77"/>
      <c r="C588" s="77" t="s">
        <v>2780</v>
      </c>
      <c r="D588" s="77" t="s">
        <v>1912</v>
      </c>
      <c r="E588" s="78">
        <v>794204071</v>
      </c>
      <c r="F588" s="3" t="s">
        <v>342</v>
      </c>
      <c r="G588" s="7"/>
      <c r="H588" s="74" t="s">
        <v>2781</v>
      </c>
      <c r="I588" s="75" t="s">
        <v>41</v>
      </c>
      <c r="J588" s="251">
        <v>254710453693</v>
      </c>
      <c r="K588" s="96" t="s">
        <v>105</v>
      </c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</row>
    <row r="589" spans="1:36" ht="12.75">
      <c r="A589" s="72" t="s">
        <v>2782</v>
      </c>
      <c r="B589" s="72"/>
      <c r="C589" s="72" t="s">
        <v>2783</v>
      </c>
      <c r="D589" s="72" t="s">
        <v>2551</v>
      </c>
      <c r="E589" s="73">
        <v>793704367</v>
      </c>
      <c r="F589" s="5" t="s">
        <v>2650</v>
      </c>
      <c r="G589" s="7"/>
      <c r="H589" s="74" t="s">
        <v>2651</v>
      </c>
      <c r="I589" s="75" t="s">
        <v>599</v>
      </c>
      <c r="J589" s="74">
        <v>722406595</v>
      </c>
      <c r="K589" s="74" t="s">
        <v>2784</v>
      </c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</row>
    <row r="590" spans="1:36" ht="12.75">
      <c r="A590" s="77" t="s">
        <v>2785</v>
      </c>
      <c r="B590" s="77"/>
      <c r="C590" s="77" t="s">
        <v>2786</v>
      </c>
      <c r="D590" s="77" t="s">
        <v>373</v>
      </c>
      <c r="E590" s="78">
        <v>728615275</v>
      </c>
      <c r="F590" s="3" t="s">
        <v>2787</v>
      </c>
      <c r="G590" s="7"/>
      <c r="H590" s="74"/>
      <c r="I590" s="75"/>
      <c r="J590" s="74"/>
      <c r="K590" s="74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</row>
    <row r="591" spans="1:36" ht="12.75">
      <c r="A591" s="72" t="s">
        <v>2788</v>
      </c>
      <c r="B591" s="72"/>
      <c r="C591" s="72" t="s">
        <v>2789</v>
      </c>
      <c r="D591" s="72" t="s">
        <v>2790</v>
      </c>
      <c r="E591" s="73">
        <v>7071819639</v>
      </c>
      <c r="F591" s="5" t="s">
        <v>2791</v>
      </c>
      <c r="G591" s="7"/>
      <c r="H591" s="74" t="s">
        <v>2792</v>
      </c>
      <c r="I591" s="75" t="s">
        <v>2793</v>
      </c>
      <c r="J591" s="74">
        <v>709900000</v>
      </c>
      <c r="K591" s="96" t="s">
        <v>2794</v>
      </c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</row>
    <row r="592" spans="1:36" ht="12.75">
      <c r="A592" s="77" t="s">
        <v>2795</v>
      </c>
      <c r="B592" s="77"/>
      <c r="C592" s="77" t="s">
        <v>2796</v>
      </c>
      <c r="D592" s="77" t="s">
        <v>2797</v>
      </c>
      <c r="E592" s="78">
        <v>114009091</v>
      </c>
      <c r="F592" s="3" t="s">
        <v>2798</v>
      </c>
      <c r="G592" s="7"/>
      <c r="H592" s="74" t="s">
        <v>2799</v>
      </c>
      <c r="I592" s="75" t="s">
        <v>732</v>
      </c>
      <c r="J592" s="74" t="s">
        <v>2800</v>
      </c>
      <c r="K592" s="74" t="s">
        <v>2801</v>
      </c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</row>
    <row r="593" spans="1:36" ht="12.75">
      <c r="A593" s="72" t="s">
        <v>2802</v>
      </c>
      <c r="B593" s="72"/>
      <c r="C593" s="72" t="s">
        <v>2803</v>
      </c>
      <c r="D593" s="72" t="s">
        <v>2797</v>
      </c>
      <c r="E593" s="73">
        <v>716630103</v>
      </c>
      <c r="F593" s="5" t="s">
        <v>2804</v>
      </c>
      <c r="G593" s="7"/>
      <c r="H593" s="76"/>
      <c r="I593" s="84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</row>
    <row r="594" spans="1:36" ht="12.75">
      <c r="A594" s="77" t="s">
        <v>2805</v>
      </c>
      <c r="B594" s="77"/>
      <c r="C594" s="77" t="s">
        <v>2806</v>
      </c>
      <c r="D594" s="77" t="s">
        <v>2807</v>
      </c>
      <c r="E594" s="78">
        <v>798499074</v>
      </c>
      <c r="F594" s="3" t="s">
        <v>2808</v>
      </c>
      <c r="G594" s="7"/>
      <c r="H594" s="76"/>
      <c r="I594" s="75" t="s">
        <v>237</v>
      </c>
      <c r="J594" s="74" t="s">
        <v>2809</v>
      </c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</row>
    <row r="595" spans="1:36" ht="12.75">
      <c r="A595" s="72" t="s">
        <v>2810</v>
      </c>
      <c r="B595" s="72"/>
      <c r="C595" s="72" t="s">
        <v>2811</v>
      </c>
      <c r="D595" s="72" t="s">
        <v>2797</v>
      </c>
      <c r="E595" s="83">
        <v>115113859</v>
      </c>
      <c r="F595" s="5" t="s">
        <v>2812</v>
      </c>
      <c r="G595" s="7"/>
      <c r="H595" s="74" t="s">
        <v>2813</v>
      </c>
      <c r="I595" s="75" t="s">
        <v>218</v>
      </c>
      <c r="J595" s="74">
        <v>115113859</v>
      </c>
      <c r="K595" s="74" t="s">
        <v>2814</v>
      </c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</row>
    <row r="596" spans="1:36" ht="15">
      <c r="A596" s="77" t="s">
        <v>2815</v>
      </c>
      <c r="B596" s="77"/>
      <c r="C596" s="77" t="s">
        <v>2816</v>
      </c>
      <c r="D596" s="77" t="s">
        <v>242</v>
      </c>
      <c r="E596" s="78">
        <v>700764847</v>
      </c>
      <c r="F596" s="3" t="s">
        <v>2817</v>
      </c>
      <c r="G596" s="7"/>
      <c r="H596" s="74" t="s">
        <v>2818</v>
      </c>
      <c r="I596" s="75" t="s">
        <v>2819</v>
      </c>
      <c r="J596" s="253">
        <f>254794781865</f>
        <v>254794781865</v>
      </c>
      <c r="K596" s="254" t="s">
        <v>2820</v>
      </c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</row>
    <row r="597" spans="1:36" ht="15">
      <c r="A597" s="72" t="s">
        <v>2821</v>
      </c>
      <c r="B597" s="72"/>
      <c r="C597" s="72" t="s">
        <v>2822</v>
      </c>
      <c r="D597" s="72" t="s">
        <v>2823</v>
      </c>
      <c r="E597" s="73">
        <v>728230176</v>
      </c>
      <c r="F597" s="5" t="s">
        <v>2824</v>
      </c>
      <c r="G597" s="7"/>
      <c r="H597" s="74" t="s">
        <v>2825</v>
      </c>
      <c r="I597" s="75" t="s">
        <v>2826</v>
      </c>
      <c r="J597" s="74">
        <v>254722440759</v>
      </c>
      <c r="K597" s="254" t="s">
        <v>2827</v>
      </c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</row>
    <row r="598" spans="1:36" ht="12.75">
      <c r="A598" s="77" t="s">
        <v>2828</v>
      </c>
      <c r="B598" s="77"/>
      <c r="C598" s="77" t="s">
        <v>2829</v>
      </c>
      <c r="D598" s="77" t="s">
        <v>2830</v>
      </c>
      <c r="E598" s="78">
        <v>701378484</v>
      </c>
      <c r="F598" s="3" t="s">
        <v>2831</v>
      </c>
      <c r="G598" s="7"/>
      <c r="H598" s="74" t="s">
        <v>2832</v>
      </c>
      <c r="I598" s="75" t="s">
        <v>2833</v>
      </c>
      <c r="J598" s="74">
        <v>725454019</v>
      </c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</row>
    <row r="599" spans="1:36" ht="12.75">
      <c r="A599" s="72" t="s">
        <v>2834</v>
      </c>
      <c r="B599" s="72"/>
      <c r="C599" s="72" t="s">
        <v>2835</v>
      </c>
      <c r="D599" s="72" t="s">
        <v>2697</v>
      </c>
      <c r="E599" s="73">
        <v>701396967</v>
      </c>
      <c r="F599" s="5" t="s">
        <v>2836</v>
      </c>
      <c r="G599" s="255"/>
      <c r="H599" s="235" t="s">
        <v>2220</v>
      </c>
      <c r="I599" s="236" t="s">
        <v>763</v>
      </c>
      <c r="J599" s="237">
        <v>254723661676</v>
      </c>
      <c r="K599" s="235" t="s">
        <v>2221</v>
      </c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</row>
    <row r="600" spans="1:36" ht="12.75">
      <c r="A600" s="77" t="s">
        <v>2837</v>
      </c>
      <c r="B600" s="77"/>
      <c r="C600" s="77" t="s">
        <v>2838</v>
      </c>
      <c r="D600" s="77" t="s">
        <v>2839</v>
      </c>
      <c r="E600" s="92">
        <v>769846152</v>
      </c>
      <c r="F600" s="3" t="s">
        <v>2840</v>
      </c>
      <c r="G600" s="7"/>
      <c r="H600" s="74" t="s">
        <v>2841</v>
      </c>
      <c r="I600" s="75" t="s">
        <v>793</v>
      </c>
      <c r="J600" s="74">
        <v>706935918</v>
      </c>
      <c r="K600" s="74" t="s">
        <v>334</v>
      </c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</row>
    <row r="601" spans="1:36" ht="12.75">
      <c r="A601" s="256" t="s">
        <v>2935</v>
      </c>
      <c r="B601" s="189"/>
      <c r="C601" s="256" t="s">
        <v>2936</v>
      </c>
      <c r="D601" s="72" t="s">
        <v>691</v>
      </c>
      <c r="E601" s="72">
        <v>769504262</v>
      </c>
      <c r="F601" s="257" t="s">
        <v>2937</v>
      </c>
      <c r="G601" s="76"/>
      <c r="H601" s="258" t="s">
        <v>2938</v>
      </c>
      <c r="I601" s="74" t="s">
        <v>218</v>
      </c>
      <c r="J601" s="74">
        <v>729444999</v>
      </c>
      <c r="K601" s="60" t="s">
        <v>2939</v>
      </c>
    </row>
    <row r="602" spans="1:36" ht="12.75">
      <c r="A602" s="92" t="s">
        <v>3504</v>
      </c>
      <c r="C602" s="92" t="s">
        <v>3505</v>
      </c>
      <c r="D602" s="92" t="s">
        <v>475</v>
      </c>
      <c r="E602" s="92">
        <v>740639313</v>
      </c>
      <c r="F602" s="92" t="s">
        <v>3506</v>
      </c>
      <c r="H602" s="60" t="s">
        <v>3556</v>
      </c>
      <c r="I602" s="60" t="s">
        <v>1340</v>
      </c>
      <c r="J602" s="60" t="s">
        <v>3507</v>
      </c>
      <c r="K602" s="60" t="s">
        <v>2997</v>
      </c>
    </row>
    <row r="612" spans="1:1" ht="12.75">
      <c r="A612" s="172"/>
    </row>
    <row r="1027" spans="3:3" ht="15.75" customHeight="1">
      <c r="C1027" s="430"/>
    </row>
    <row r="1028" spans="3:3" ht="15.75" customHeight="1">
      <c r="C1028" s="430"/>
    </row>
    <row r="1029" spans="3:3" ht="15.75" customHeight="1">
      <c r="C1029" s="430"/>
    </row>
    <row r="1030" spans="3:3" ht="15.75" customHeight="1">
      <c r="C1030" s="430"/>
    </row>
    <row r="1031" spans="3:3" ht="15.75" customHeight="1">
      <c r="C1031" s="430"/>
    </row>
    <row r="1032" spans="3:3" ht="15.75" customHeight="1">
      <c r="C1032" s="430"/>
    </row>
    <row r="1188" spans="13:13" ht="12.75">
      <c r="M1188" s="212"/>
    </row>
  </sheetData>
  <autoFilter ref="F1:F2047" xr:uid="{00000000-0009-0000-0000-000004000000}"/>
  <mergeCells count="2">
    <mergeCell ref="C387:C392"/>
    <mergeCell ref="C1027:C1032"/>
  </mergeCells>
  <conditionalFormatting sqref="D9">
    <cfRule type="colorScale" priority="1">
      <colorScale>
        <cfvo type="min"/>
        <cfvo type="max"/>
        <color rgb="FFFFFFFF"/>
        <color rgb="FF57BB8A"/>
      </colorScale>
    </cfRule>
  </conditionalFormatting>
  <dataValidations count="1">
    <dataValidation type="custom" allowBlank="1" showInputMessage="1" prompt="Enter a valid URL" sqref="M548" xr:uid="{00000000-0002-0000-0400-000000000000}">
      <formula1>IFERROR(ISURL(M548), TRUE)</formula1>
    </dataValidation>
  </dataValidations>
  <hyperlinks>
    <hyperlink ref="K57" r:id="rId1" xr:uid="{00000000-0004-0000-0400-000000000000}"/>
    <hyperlink ref="H145" r:id="rId2" xr:uid="{00000000-0004-0000-0400-000001000000}"/>
    <hyperlink ref="F282" r:id="rId3" xr:uid="{00000000-0004-0000-0400-000002000000}"/>
    <hyperlink ref="K330" r:id="rId4" xr:uid="{00000000-0004-0000-0400-000003000000}"/>
    <hyperlink ref="H396" r:id="rId5" xr:uid="{00000000-0004-0000-0400-000004000000}"/>
    <hyperlink ref="K409" r:id="rId6" xr:uid="{00000000-0004-0000-0400-000005000000}"/>
    <hyperlink ref="K425" r:id="rId7" xr:uid="{00000000-0004-0000-0400-000006000000}"/>
    <hyperlink ref="F473" r:id="rId8" xr:uid="{00000000-0004-0000-0400-000007000000}"/>
    <hyperlink ref="F499" r:id="rId9" xr:uid="{00000000-0004-0000-0400-000008000000}"/>
    <hyperlink ref="K504" r:id="rId10" xr:uid="{00000000-0004-0000-0400-000009000000}"/>
  </hyperlinks>
  <printOptions horizontalCentered="1" gridLines="1"/>
  <pageMargins left="0.7" right="0.7" top="0.75" bottom="0.75" header="0" footer="0"/>
  <pageSetup fitToHeight="0" pageOrder="overThenDown" orientation="landscape" cellComments="atEnd"/>
  <legacy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>
    <row r="1" spans="1:1">
      <c r="A1" s="60" t="s">
        <v>3557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N204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2" width="30.28515625" customWidth="1"/>
    <col min="3" max="3" width="17.85546875" customWidth="1"/>
    <col min="4" max="4" width="41.5703125" customWidth="1"/>
    <col min="5" max="5" width="41" customWidth="1"/>
    <col min="6" max="7" width="58.28515625" customWidth="1"/>
    <col min="8" max="8" width="40.42578125" customWidth="1"/>
    <col min="9" max="9" width="33.7109375" customWidth="1"/>
    <col min="10" max="10" width="39.5703125" customWidth="1"/>
    <col min="11" max="15" width="33" customWidth="1"/>
    <col min="16" max="16" width="22.140625" customWidth="1"/>
    <col min="17" max="17" width="23.140625" customWidth="1"/>
  </cols>
  <sheetData>
    <row r="1" spans="1:36" ht="18">
      <c r="A1" s="259"/>
      <c r="B1" s="259" t="s">
        <v>0</v>
      </c>
      <c r="C1" s="64" t="s">
        <v>1</v>
      </c>
      <c r="D1" s="64" t="s">
        <v>2</v>
      </c>
      <c r="E1" s="260" t="s">
        <v>3</v>
      </c>
      <c r="F1" s="64" t="s">
        <v>4</v>
      </c>
      <c r="G1" s="64"/>
      <c r="H1" s="64" t="s">
        <v>5</v>
      </c>
      <c r="I1" s="64" t="s">
        <v>6</v>
      </c>
      <c r="J1" s="64" t="s">
        <v>7</v>
      </c>
      <c r="K1" s="64" t="s">
        <v>8</v>
      </c>
      <c r="L1" s="65"/>
      <c r="M1" s="65"/>
      <c r="N1" s="65"/>
      <c r="O1" s="60"/>
      <c r="P1" s="60"/>
      <c r="Q1" s="60"/>
    </row>
    <row r="2" spans="1:36" ht="12.75">
      <c r="A2" s="118" t="s">
        <v>9</v>
      </c>
      <c r="B2" s="69"/>
      <c r="C2" s="69" t="s">
        <v>10</v>
      </c>
      <c r="D2" s="118" t="s">
        <v>11</v>
      </c>
      <c r="E2" s="157">
        <v>113149476</v>
      </c>
      <c r="F2" s="69" t="s">
        <v>12</v>
      </c>
      <c r="G2" s="69"/>
      <c r="H2" s="69" t="s">
        <v>3558</v>
      </c>
      <c r="I2" s="70" t="s">
        <v>14</v>
      </c>
      <c r="J2" s="71">
        <v>721998308</v>
      </c>
      <c r="K2" s="69" t="s">
        <v>15</v>
      </c>
      <c r="L2" s="65"/>
      <c r="M2" s="65"/>
      <c r="N2" s="65"/>
      <c r="O2" s="60"/>
      <c r="P2" s="60"/>
      <c r="Q2" s="60"/>
    </row>
    <row r="3" spans="1:36" ht="12.75">
      <c r="A3" s="74" t="s">
        <v>1938</v>
      </c>
      <c r="B3" s="74"/>
      <c r="C3" s="74" t="s">
        <v>16</v>
      </c>
      <c r="D3" s="74" t="s">
        <v>17</v>
      </c>
      <c r="E3" s="146">
        <v>757182774</v>
      </c>
      <c r="F3" s="7" t="s">
        <v>18</v>
      </c>
      <c r="G3" s="7"/>
      <c r="H3" s="74" t="s">
        <v>19</v>
      </c>
      <c r="I3" s="75" t="s">
        <v>20</v>
      </c>
      <c r="J3" s="74">
        <v>704335222</v>
      </c>
      <c r="K3" s="74" t="s">
        <v>21</v>
      </c>
      <c r="L3" s="74"/>
      <c r="M3" s="74"/>
      <c r="N3" s="74"/>
      <c r="O3" s="74"/>
      <c r="P3" s="74"/>
      <c r="Q3" s="74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</row>
    <row r="4" spans="1:36" ht="12.75">
      <c r="A4" s="74" t="s">
        <v>22</v>
      </c>
      <c r="B4" s="74"/>
      <c r="C4" s="74" t="s">
        <v>23</v>
      </c>
      <c r="D4" s="74" t="s">
        <v>24</v>
      </c>
      <c r="E4" s="146">
        <v>799617124</v>
      </c>
      <c r="F4" s="7" t="s">
        <v>25</v>
      </c>
      <c r="G4" s="7"/>
      <c r="H4" s="74" t="s">
        <v>26</v>
      </c>
      <c r="I4" s="75" t="s">
        <v>27</v>
      </c>
      <c r="J4" s="74" t="s">
        <v>28</v>
      </c>
      <c r="K4" s="74" t="s">
        <v>29</v>
      </c>
      <c r="L4" s="74"/>
      <c r="M4" s="74"/>
      <c r="N4" s="74"/>
      <c r="O4" s="74"/>
      <c r="P4" s="76"/>
      <c r="Q4" s="74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</row>
    <row r="5" spans="1:36" ht="12.75">
      <c r="A5" s="74" t="s">
        <v>2933</v>
      </c>
      <c r="B5" s="74"/>
      <c r="C5" s="261" t="s">
        <v>30</v>
      </c>
      <c r="D5" s="159" t="s">
        <v>31</v>
      </c>
      <c r="E5" s="262">
        <v>708609096</v>
      </c>
      <c r="F5" s="7" t="s">
        <v>32</v>
      </c>
      <c r="G5" s="7"/>
      <c r="H5" s="74" t="s">
        <v>33</v>
      </c>
      <c r="I5" s="75" t="s">
        <v>34</v>
      </c>
      <c r="J5" s="74">
        <v>712547078</v>
      </c>
      <c r="K5" s="82" t="s">
        <v>35</v>
      </c>
      <c r="L5" s="74"/>
      <c r="M5" s="74"/>
      <c r="N5" s="74"/>
      <c r="O5" s="74"/>
      <c r="P5" s="76"/>
      <c r="Q5" s="74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</row>
    <row r="6" spans="1:36" ht="12.75">
      <c r="A6" s="74" t="s">
        <v>36</v>
      </c>
      <c r="B6" s="74"/>
      <c r="C6" s="74" t="s">
        <v>37</v>
      </c>
      <c r="D6" s="74" t="s">
        <v>38</v>
      </c>
      <c r="E6" s="146">
        <v>745169043</v>
      </c>
      <c r="F6" s="7" t="s">
        <v>39</v>
      </c>
      <c r="G6" s="7"/>
      <c r="H6" s="74" t="s">
        <v>40</v>
      </c>
      <c r="I6" s="75" t="s">
        <v>41</v>
      </c>
      <c r="J6" s="74">
        <v>710453693</v>
      </c>
      <c r="K6" s="74" t="s">
        <v>42</v>
      </c>
      <c r="L6" s="74"/>
      <c r="M6" s="74"/>
      <c r="N6" s="74"/>
      <c r="O6" s="74"/>
      <c r="P6" s="74"/>
      <c r="Q6" s="74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</row>
    <row r="7" spans="1:36" ht="12.75">
      <c r="A7" s="74" t="s">
        <v>43</v>
      </c>
      <c r="B7" s="60"/>
      <c r="C7" s="60" t="s">
        <v>44</v>
      </c>
      <c r="D7" s="60" t="s">
        <v>45</v>
      </c>
      <c r="E7" s="146">
        <v>794825579</v>
      </c>
      <c r="F7" s="7" t="s">
        <v>46</v>
      </c>
      <c r="G7" s="7"/>
      <c r="H7" s="76"/>
      <c r="I7" s="84"/>
      <c r="J7" s="76"/>
      <c r="K7" s="76"/>
      <c r="L7" s="74"/>
      <c r="M7" s="74"/>
      <c r="N7" s="74"/>
      <c r="O7" s="74"/>
      <c r="P7" s="74"/>
      <c r="Q7" s="74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</row>
    <row r="8" spans="1:36" ht="15">
      <c r="A8" s="74" t="s">
        <v>47</v>
      </c>
      <c r="B8" s="74"/>
      <c r="C8" s="74" t="s">
        <v>48</v>
      </c>
      <c r="D8" s="74" t="s">
        <v>49</v>
      </c>
      <c r="E8" s="146">
        <v>114400964</v>
      </c>
      <c r="F8" s="7" t="s">
        <v>50</v>
      </c>
      <c r="G8" s="7"/>
      <c r="H8" s="74" t="s">
        <v>51</v>
      </c>
      <c r="I8" s="75" t="s">
        <v>52</v>
      </c>
      <c r="J8" s="74">
        <v>746608000</v>
      </c>
      <c r="K8" s="12" t="s">
        <v>53</v>
      </c>
      <c r="L8" s="74"/>
      <c r="M8" s="74"/>
      <c r="N8" s="74"/>
      <c r="O8" s="74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</row>
    <row r="9" spans="1:36" ht="18.75">
      <c r="A9" s="74" t="s">
        <v>54</v>
      </c>
      <c r="B9" s="74"/>
      <c r="C9" s="74" t="s">
        <v>55</v>
      </c>
      <c r="D9" s="74" t="s">
        <v>56</v>
      </c>
      <c r="E9" s="146">
        <v>746599780</v>
      </c>
      <c r="F9" s="7" t="s">
        <v>57</v>
      </c>
      <c r="G9" s="7"/>
      <c r="H9" s="74" t="s">
        <v>58</v>
      </c>
      <c r="I9" s="75" t="s">
        <v>59</v>
      </c>
      <c r="J9" s="74">
        <v>720668236</v>
      </c>
      <c r="K9" s="74" t="s">
        <v>60</v>
      </c>
      <c r="L9" s="60"/>
      <c r="M9" s="60"/>
      <c r="N9" s="60"/>
      <c r="O9" s="60"/>
      <c r="P9" s="85"/>
      <c r="Q9" s="8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</row>
    <row r="10" spans="1:36" ht="18.75">
      <c r="A10" s="74"/>
      <c r="B10" s="74"/>
      <c r="C10" s="74" t="s">
        <v>61</v>
      </c>
      <c r="D10" s="74" t="s">
        <v>62</v>
      </c>
      <c r="E10" s="146">
        <v>792129407</v>
      </c>
      <c r="F10" s="7" t="s">
        <v>63</v>
      </c>
      <c r="G10" s="7"/>
      <c r="H10" s="74" t="s">
        <v>64</v>
      </c>
      <c r="I10" s="75" t="s">
        <v>65</v>
      </c>
      <c r="J10" s="74">
        <v>202044965</v>
      </c>
      <c r="K10" s="74" t="s">
        <v>66</v>
      </c>
      <c r="L10" s="60"/>
      <c r="M10" s="60"/>
      <c r="N10" s="60"/>
      <c r="O10" s="60"/>
      <c r="P10" s="85"/>
      <c r="Q10" s="8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</row>
    <row r="11" spans="1:36" ht="12.75">
      <c r="A11" s="74" t="s">
        <v>2976</v>
      </c>
      <c r="B11" s="74"/>
      <c r="C11" s="74" t="s">
        <v>67</v>
      </c>
      <c r="D11" s="74" t="s">
        <v>68</v>
      </c>
      <c r="E11" s="194"/>
      <c r="F11" s="9"/>
      <c r="G11" s="9"/>
      <c r="H11" s="76"/>
      <c r="I11" s="84"/>
      <c r="J11" s="76"/>
      <c r="K11" s="76"/>
      <c r="L11" s="74"/>
      <c r="M11" s="74"/>
      <c r="N11" s="74"/>
      <c r="O11" s="74"/>
      <c r="P11" s="74"/>
      <c r="Q11" s="74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</row>
    <row r="12" spans="1:36" ht="12.75">
      <c r="A12" s="74" t="s">
        <v>69</v>
      </c>
      <c r="B12" s="74"/>
      <c r="C12" s="74" t="s">
        <v>70</v>
      </c>
      <c r="D12" s="74" t="s">
        <v>71</v>
      </c>
      <c r="E12" s="157">
        <v>790822023</v>
      </c>
      <c r="F12" s="1" t="s">
        <v>72</v>
      </c>
      <c r="G12" s="1"/>
      <c r="H12" s="74" t="s">
        <v>73</v>
      </c>
      <c r="I12" s="88" t="s">
        <v>74</v>
      </c>
      <c r="J12" s="74">
        <v>704005047</v>
      </c>
      <c r="K12" s="60" t="s">
        <v>75</v>
      </c>
      <c r="L12" s="60"/>
      <c r="M12" s="60"/>
      <c r="N12" s="60"/>
      <c r="O12" s="60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</row>
    <row r="13" spans="1:36" ht="12.75">
      <c r="A13" s="263" t="s">
        <v>76</v>
      </c>
      <c r="B13" s="263"/>
      <c r="C13" s="74" t="s">
        <v>77</v>
      </c>
      <c r="D13" s="74" t="s">
        <v>78</v>
      </c>
      <c r="E13" s="146">
        <v>701590217</v>
      </c>
      <c r="F13" s="7" t="s">
        <v>79</v>
      </c>
      <c r="G13" s="7"/>
      <c r="H13" s="74" t="s">
        <v>80</v>
      </c>
      <c r="I13" s="75" t="s">
        <v>20</v>
      </c>
      <c r="J13" s="74">
        <v>737409471</v>
      </c>
      <c r="K13" s="76"/>
      <c r="L13" s="74"/>
      <c r="M13" s="74"/>
      <c r="N13" s="74"/>
      <c r="O13" s="74"/>
      <c r="P13" s="74"/>
      <c r="Q13" s="74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</row>
    <row r="14" spans="1:36" ht="12.75">
      <c r="A14" s="74" t="s">
        <v>81</v>
      </c>
      <c r="B14" s="74"/>
      <c r="C14" s="74" t="s">
        <v>82</v>
      </c>
      <c r="D14" s="74" t="s">
        <v>83</v>
      </c>
      <c r="E14" s="146">
        <v>113551500</v>
      </c>
      <c r="F14" s="7" t="s">
        <v>84</v>
      </c>
      <c r="G14" s="7"/>
      <c r="H14" s="74" t="s">
        <v>85</v>
      </c>
      <c r="I14" s="75" t="s">
        <v>86</v>
      </c>
      <c r="J14" s="74">
        <v>773416044</v>
      </c>
      <c r="K14" s="74" t="s">
        <v>87</v>
      </c>
      <c r="L14" s="90"/>
      <c r="M14" s="90"/>
      <c r="N14" s="90"/>
      <c r="O14" s="90"/>
      <c r="P14" s="74"/>
      <c r="Q14" s="74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</row>
    <row r="15" spans="1:36" ht="12.75">
      <c r="A15" s="74" t="s">
        <v>88</v>
      </c>
      <c r="B15" s="74"/>
      <c r="C15" s="74" t="s">
        <v>89</v>
      </c>
      <c r="D15" s="74" t="s">
        <v>90</v>
      </c>
      <c r="E15" s="146">
        <v>713707338</v>
      </c>
      <c r="F15" s="7" t="s">
        <v>91</v>
      </c>
      <c r="G15" s="7"/>
      <c r="H15" s="74" t="s">
        <v>92</v>
      </c>
      <c r="I15" s="75" t="s">
        <v>93</v>
      </c>
      <c r="J15" s="74">
        <v>723838579</v>
      </c>
      <c r="K15" s="74" t="s">
        <v>94</v>
      </c>
      <c r="L15" s="74"/>
      <c r="M15" s="74"/>
      <c r="N15" s="74"/>
      <c r="O15" s="74"/>
      <c r="P15" s="74"/>
      <c r="Q15" s="91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</row>
    <row r="16" spans="1:36" ht="12.75">
      <c r="A16" s="74" t="s">
        <v>95</v>
      </c>
      <c r="B16" s="74"/>
      <c r="C16" s="74" t="s">
        <v>96</v>
      </c>
      <c r="D16" s="74" t="s">
        <v>97</v>
      </c>
      <c r="E16" s="146">
        <v>254114826691</v>
      </c>
      <c r="F16" s="7" t="s">
        <v>98</v>
      </c>
      <c r="G16" s="7"/>
      <c r="H16" s="74" t="s">
        <v>99</v>
      </c>
      <c r="I16" s="75" t="s">
        <v>100</v>
      </c>
      <c r="J16" s="74">
        <v>254758722020</v>
      </c>
      <c r="K16" s="74" t="s">
        <v>101</v>
      </c>
      <c r="L16" s="90"/>
      <c r="M16" s="90"/>
      <c r="N16" s="90"/>
      <c r="O16" s="90"/>
      <c r="P16" s="74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</row>
    <row r="17" spans="1:36" ht="12.75">
      <c r="A17" s="74" t="s">
        <v>102</v>
      </c>
      <c r="B17" s="74"/>
      <c r="C17" s="74" t="s">
        <v>103</v>
      </c>
      <c r="D17" s="74"/>
      <c r="E17" s="146">
        <v>702216778</v>
      </c>
      <c r="F17" s="7" t="s">
        <v>39</v>
      </c>
      <c r="G17" s="7"/>
      <c r="H17" s="74" t="s">
        <v>104</v>
      </c>
      <c r="I17" s="75" t="s">
        <v>14</v>
      </c>
      <c r="J17" s="74">
        <v>715364294</v>
      </c>
      <c r="K17" s="74" t="s">
        <v>105</v>
      </c>
      <c r="L17" s="74"/>
      <c r="M17" s="74"/>
      <c r="N17" s="74"/>
      <c r="O17" s="74"/>
      <c r="P17" s="74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</row>
    <row r="18" spans="1:36" ht="12.75">
      <c r="A18" s="74" t="s">
        <v>106</v>
      </c>
      <c r="B18" s="74"/>
      <c r="C18" s="74" t="s">
        <v>107</v>
      </c>
      <c r="D18" s="74" t="s">
        <v>108</v>
      </c>
      <c r="E18" s="157">
        <v>112713144</v>
      </c>
      <c r="F18" s="7" t="s">
        <v>109</v>
      </c>
      <c r="G18" s="7"/>
      <c r="H18" s="74" t="s">
        <v>110</v>
      </c>
      <c r="I18" s="75" t="s">
        <v>111</v>
      </c>
      <c r="J18" s="74">
        <v>729333444</v>
      </c>
      <c r="K18" s="74" t="s">
        <v>112</v>
      </c>
      <c r="L18" s="74"/>
      <c r="M18" s="74"/>
      <c r="N18" s="74"/>
      <c r="O18" s="74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</row>
    <row r="19" spans="1:36" ht="12.75">
      <c r="A19" s="74" t="s">
        <v>113</v>
      </c>
      <c r="B19" s="74"/>
      <c r="C19" s="74" t="s">
        <v>114</v>
      </c>
      <c r="D19" s="74" t="s">
        <v>115</v>
      </c>
      <c r="E19" s="146">
        <v>758863974</v>
      </c>
      <c r="F19" s="1" t="s">
        <v>116</v>
      </c>
      <c r="G19" s="1"/>
      <c r="H19" s="76"/>
      <c r="I19" s="84"/>
      <c r="J19" s="76"/>
      <c r="K19" s="76"/>
      <c r="L19" s="74"/>
      <c r="M19" s="74"/>
      <c r="N19" s="74"/>
      <c r="O19" s="74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</row>
    <row r="20" spans="1:36" ht="12.75">
      <c r="A20" s="60" t="s">
        <v>117</v>
      </c>
      <c r="B20" s="60"/>
      <c r="C20" s="60" t="s">
        <v>118</v>
      </c>
      <c r="D20" s="60" t="s">
        <v>119</v>
      </c>
      <c r="E20" s="157">
        <v>796290165</v>
      </c>
      <c r="F20" s="1" t="s">
        <v>120</v>
      </c>
      <c r="G20" s="1"/>
      <c r="H20" s="60" t="s">
        <v>121</v>
      </c>
      <c r="I20" s="88" t="s">
        <v>122</v>
      </c>
      <c r="J20" s="60">
        <v>701167883</v>
      </c>
    </row>
    <row r="21" spans="1:36" ht="12.75">
      <c r="A21" s="74" t="s">
        <v>123</v>
      </c>
      <c r="B21" s="74"/>
      <c r="C21" s="74" t="s">
        <v>124</v>
      </c>
      <c r="D21" s="60" t="s">
        <v>125</v>
      </c>
      <c r="E21" s="157">
        <v>706083236</v>
      </c>
      <c r="F21" s="74" t="s">
        <v>126</v>
      </c>
      <c r="G21" s="74"/>
      <c r="H21" s="74" t="s">
        <v>127</v>
      </c>
      <c r="I21" s="75" t="s">
        <v>128</v>
      </c>
      <c r="J21" s="74">
        <v>728226333</v>
      </c>
      <c r="K21" s="74" t="s">
        <v>129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</row>
    <row r="22" spans="1:36" ht="12.75">
      <c r="A22" s="159" t="s">
        <v>130</v>
      </c>
      <c r="B22" s="159"/>
      <c r="C22" s="264" t="s">
        <v>131</v>
      </c>
      <c r="D22" s="265" t="s">
        <v>38</v>
      </c>
      <c r="E22" s="157">
        <v>752274339</v>
      </c>
      <c r="F22" s="7" t="s">
        <v>132</v>
      </c>
      <c r="G22" s="7"/>
      <c r="H22" s="74" t="s">
        <v>133</v>
      </c>
      <c r="I22" s="75" t="s">
        <v>134</v>
      </c>
      <c r="J22" s="74">
        <v>788014926</v>
      </c>
      <c r="K22" s="74" t="s">
        <v>135</v>
      </c>
      <c r="L22" s="74"/>
      <c r="M22" s="74"/>
      <c r="N22" s="74"/>
      <c r="O22" s="74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</row>
    <row r="23" spans="1:36" ht="12.75">
      <c r="A23" s="159" t="s">
        <v>136</v>
      </c>
      <c r="B23" s="159"/>
      <c r="C23" s="264" t="s">
        <v>137</v>
      </c>
      <c r="D23" s="261" t="s">
        <v>71</v>
      </c>
      <c r="E23" s="157">
        <v>799165528</v>
      </c>
      <c r="F23" s="7" t="s">
        <v>132</v>
      </c>
      <c r="G23" s="7"/>
      <c r="H23" s="74" t="s">
        <v>133</v>
      </c>
      <c r="I23" s="75" t="s">
        <v>134</v>
      </c>
      <c r="J23" s="74">
        <v>788014926</v>
      </c>
      <c r="K23" s="74" t="s">
        <v>135</v>
      </c>
      <c r="L23" s="74"/>
      <c r="M23" s="74"/>
      <c r="N23" s="74"/>
      <c r="O23" s="74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</row>
    <row r="24" spans="1:36" ht="12.75">
      <c r="A24" s="159" t="s">
        <v>138</v>
      </c>
      <c r="B24" s="159"/>
      <c r="C24" s="264" t="s">
        <v>139</v>
      </c>
      <c r="D24" s="261" t="s">
        <v>71</v>
      </c>
      <c r="E24" s="146" t="s">
        <v>140</v>
      </c>
      <c r="F24" s="7" t="s">
        <v>141</v>
      </c>
      <c r="G24" s="7"/>
      <c r="H24" s="74" t="s">
        <v>142</v>
      </c>
      <c r="I24" s="75" t="s">
        <v>143</v>
      </c>
      <c r="J24" s="74" t="s">
        <v>144</v>
      </c>
      <c r="K24" s="74" t="s">
        <v>145</v>
      </c>
      <c r="L24" s="74"/>
      <c r="M24" s="74"/>
      <c r="N24" s="74"/>
      <c r="O24" s="74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</row>
    <row r="25" spans="1:36" ht="12.75">
      <c r="A25" s="74" t="s">
        <v>146</v>
      </c>
      <c r="B25" s="74"/>
      <c r="C25" s="74" t="s">
        <v>147</v>
      </c>
      <c r="D25" s="74" t="s">
        <v>148</v>
      </c>
      <c r="E25" s="146">
        <v>759960969</v>
      </c>
      <c r="F25" s="7" t="s">
        <v>149</v>
      </c>
      <c r="G25" s="7"/>
      <c r="H25" s="74" t="s">
        <v>150</v>
      </c>
      <c r="I25" s="75" t="s">
        <v>151</v>
      </c>
      <c r="J25" s="74">
        <v>726773795</v>
      </c>
      <c r="K25" s="74" t="s">
        <v>152</v>
      </c>
      <c r="L25" s="74"/>
      <c r="M25" s="74"/>
      <c r="N25" s="74"/>
      <c r="O25" s="74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</row>
    <row r="26" spans="1:36" ht="12.75">
      <c r="A26" s="74" t="s">
        <v>153</v>
      </c>
      <c r="B26" s="74"/>
      <c r="C26" s="74" t="s">
        <v>154</v>
      </c>
      <c r="D26" s="74" t="s">
        <v>155</v>
      </c>
      <c r="E26" s="146">
        <v>25457750349</v>
      </c>
      <c r="F26" s="7" t="s">
        <v>156</v>
      </c>
      <c r="G26" s="7"/>
      <c r="H26" s="74" t="s">
        <v>157</v>
      </c>
      <c r="I26" s="75" t="s">
        <v>158</v>
      </c>
      <c r="J26" s="74" t="s">
        <v>159</v>
      </c>
      <c r="K26" s="74" t="s">
        <v>160</v>
      </c>
      <c r="L26" s="74"/>
      <c r="M26" s="74"/>
      <c r="N26" s="74"/>
      <c r="O26" s="74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</row>
    <row r="27" spans="1:36" ht="12.75">
      <c r="A27" s="74" t="s">
        <v>161</v>
      </c>
      <c r="B27" s="74"/>
      <c r="C27" s="74" t="s">
        <v>162</v>
      </c>
      <c r="D27" s="74" t="s">
        <v>163</v>
      </c>
      <c r="E27" s="146">
        <v>254796947002</v>
      </c>
      <c r="F27" s="7" t="s">
        <v>164</v>
      </c>
      <c r="G27" s="7"/>
      <c r="H27" s="74" t="s">
        <v>165</v>
      </c>
      <c r="I27" s="75" t="s">
        <v>166</v>
      </c>
      <c r="J27" s="74">
        <v>254705239289</v>
      </c>
      <c r="K27" s="98" t="s">
        <v>167</v>
      </c>
      <c r="L27" s="74"/>
      <c r="M27" s="74"/>
      <c r="N27" s="74"/>
      <c r="O27" s="74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</row>
    <row r="28" spans="1:36" ht="19.5">
      <c r="A28" s="60" t="s">
        <v>168</v>
      </c>
      <c r="B28" s="60"/>
      <c r="C28" s="96" t="s">
        <v>169</v>
      </c>
      <c r="D28" s="266" t="s">
        <v>170</v>
      </c>
      <c r="E28" s="146">
        <v>254769784597</v>
      </c>
      <c r="F28" s="16" t="s">
        <v>171</v>
      </c>
      <c r="G28" s="16"/>
      <c r="H28" s="98" t="s">
        <v>172</v>
      </c>
      <c r="I28" s="100" t="s">
        <v>173</v>
      </c>
      <c r="J28" s="17" t="s">
        <v>174</v>
      </c>
      <c r="K28" s="101" t="s">
        <v>175</v>
      </c>
      <c r="L28" s="74"/>
      <c r="M28" s="74"/>
      <c r="N28" s="74"/>
      <c r="O28" s="74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</row>
    <row r="29" spans="1:36" ht="12.75">
      <c r="A29" s="103" t="s">
        <v>176</v>
      </c>
      <c r="B29" s="103"/>
      <c r="C29" s="103" t="s">
        <v>177</v>
      </c>
      <c r="D29" s="103" t="s">
        <v>177</v>
      </c>
      <c r="E29" s="194"/>
      <c r="F29" s="103" t="s">
        <v>178</v>
      </c>
      <c r="G29" s="103"/>
      <c r="H29" s="103" t="s">
        <v>26</v>
      </c>
      <c r="I29" s="104" t="s">
        <v>179</v>
      </c>
      <c r="J29" s="105">
        <v>701158499</v>
      </c>
      <c r="K29" s="103" t="s">
        <v>180</v>
      </c>
      <c r="L29" s="74"/>
      <c r="M29" s="74"/>
      <c r="N29" s="74"/>
      <c r="O29" s="74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</row>
    <row r="30" spans="1:36" ht="12.75">
      <c r="A30" s="74" t="s">
        <v>181</v>
      </c>
      <c r="B30" s="74"/>
      <c r="C30" s="74" t="s">
        <v>182</v>
      </c>
      <c r="D30" s="74" t="s">
        <v>183</v>
      </c>
      <c r="E30" s="146">
        <v>704800599</v>
      </c>
      <c r="F30" s="7" t="s">
        <v>184</v>
      </c>
      <c r="G30" s="7"/>
      <c r="H30" s="7" t="s">
        <v>185</v>
      </c>
      <c r="I30" s="75" t="s">
        <v>186</v>
      </c>
      <c r="J30" s="74">
        <v>728336074</v>
      </c>
      <c r="K30" s="74" t="s">
        <v>187</v>
      </c>
      <c r="L30" s="74"/>
      <c r="M30" s="74"/>
      <c r="N30" s="74"/>
      <c r="O30" s="74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</row>
    <row r="31" spans="1:36" ht="12.75">
      <c r="A31" s="60" t="s">
        <v>188</v>
      </c>
      <c r="B31" s="60"/>
      <c r="C31" s="60" t="s">
        <v>189</v>
      </c>
      <c r="D31" s="60" t="s">
        <v>190</v>
      </c>
      <c r="E31" s="146">
        <v>254718268789</v>
      </c>
      <c r="F31" s="7" t="s">
        <v>191</v>
      </c>
      <c r="G31" s="7"/>
      <c r="H31" s="74" t="s">
        <v>192</v>
      </c>
      <c r="I31" s="75" t="s">
        <v>193</v>
      </c>
      <c r="J31" s="60" t="s">
        <v>194</v>
      </c>
      <c r="K31" s="74" t="s">
        <v>195</v>
      </c>
      <c r="L31" s="74"/>
      <c r="M31" s="74"/>
      <c r="N31" s="74"/>
      <c r="O31" s="74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</row>
    <row r="32" spans="1:36" ht="12.75">
      <c r="A32" s="60" t="s">
        <v>196</v>
      </c>
      <c r="B32" s="60"/>
      <c r="C32" s="60" t="s">
        <v>197</v>
      </c>
      <c r="D32" s="60" t="s">
        <v>198</v>
      </c>
      <c r="E32" s="157">
        <v>790117584</v>
      </c>
      <c r="F32" s="1" t="s">
        <v>199</v>
      </c>
      <c r="G32" s="1"/>
      <c r="H32" s="60" t="s">
        <v>58</v>
      </c>
      <c r="I32" s="88" t="s">
        <v>59</v>
      </c>
      <c r="J32" s="60">
        <v>720668236</v>
      </c>
      <c r="K32" s="74" t="s">
        <v>60</v>
      </c>
      <c r="L32" s="74"/>
      <c r="M32" s="74"/>
      <c r="N32" s="74"/>
      <c r="O32" s="74"/>
      <c r="P32" s="74"/>
      <c r="Q32" s="74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</row>
    <row r="33" spans="1:36" ht="12.75">
      <c r="A33" s="108" t="s">
        <v>200</v>
      </c>
      <c r="B33" s="108"/>
      <c r="C33" s="108" t="s">
        <v>201</v>
      </c>
      <c r="D33" s="108" t="s">
        <v>201</v>
      </c>
      <c r="E33" s="267"/>
      <c r="F33" s="108" t="s">
        <v>202</v>
      </c>
      <c r="G33" s="108"/>
      <c r="I33" s="109" t="s">
        <v>203</v>
      </c>
      <c r="J33" s="110">
        <v>720175015</v>
      </c>
      <c r="K33" s="103" t="s">
        <v>204</v>
      </c>
      <c r="L33" s="74"/>
      <c r="M33" s="74"/>
      <c r="N33" s="74"/>
      <c r="O33" s="74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</row>
    <row r="34" spans="1:36" ht="12.75">
      <c r="A34" s="264" t="s">
        <v>205</v>
      </c>
      <c r="B34" s="264"/>
      <c r="C34" s="74" t="s">
        <v>206</v>
      </c>
      <c r="D34" s="98" t="s">
        <v>207</v>
      </c>
      <c r="E34" s="262" t="s">
        <v>208</v>
      </c>
      <c r="F34" s="7" t="s">
        <v>209</v>
      </c>
      <c r="G34" s="7"/>
      <c r="H34" s="74" t="s">
        <v>210</v>
      </c>
      <c r="I34" s="75" t="s">
        <v>211</v>
      </c>
      <c r="J34" s="74" t="s">
        <v>212</v>
      </c>
      <c r="K34" s="74" t="s">
        <v>213</v>
      </c>
      <c r="L34" s="74"/>
      <c r="M34" s="74"/>
      <c r="N34" s="74"/>
      <c r="O34" s="7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</row>
    <row r="35" spans="1:36" ht="12.75">
      <c r="A35" s="74" t="s">
        <v>214</v>
      </c>
      <c r="B35" s="74"/>
      <c r="C35" s="74" t="s">
        <v>215</v>
      </c>
      <c r="D35" s="74" t="s">
        <v>71</v>
      </c>
      <c r="E35" s="146">
        <v>111707734</v>
      </c>
      <c r="F35" s="7" t="s">
        <v>216</v>
      </c>
      <c r="G35" s="7"/>
      <c r="H35" s="74" t="s">
        <v>217</v>
      </c>
      <c r="I35" s="75" t="s">
        <v>218</v>
      </c>
      <c r="J35" s="60">
        <v>254791507732</v>
      </c>
      <c r="K35" s="74" t="s">
        <v>219</v>
      </c>
      <c r="L35" s="74"/>
      <c r="M35" s="74"/>
      <c r="N35" s="74"/>
      <c r="O35" s="74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</row>
    <row r="36" spans="1:36" ht="12.75">
      <c r="A36" s="74" t="s">
        <v>220</v>
      </c>
      <c r="B36" s="74"/>
      <c r="C36" s="74" t="s">
        <v>221</v>
      </c>
      <c r="D36" s="74" t="s">
        <v>83</v>
      </c>
      <c r="E36" s="194">
        <v>254746771704</v>
      </c>
      <c r="F36" s="7" t="s">
        <v>222</v>
      </c>
      <c r="G36" s="7"/>
      <c r="H36" s="76"/>
      <c r="I36" s="75" t="s">
        <v>223</v>
      </c>
      <c r="J36" s="76"/>
      <c r="K36" s="74" t="s">
        <v>224</v>
      </c>
      <c r="L36" s="74"/>
      <c r="M36" s="74"/>
      <c r="N36" s="74"/>
      <c r="O36" s="74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</row>
    <row r="37" spans="1:36" ht="12.75">
      <c r="A37" s="268" t="s">
        <v>225</v>
      </c>
      <c r="B37" s="268"/>
      <c r="C37" s="74" t="s">
        <v>226</v>
      </c>
      <c r="D37" s="74" t="s">
        <v>227</v>
      </c>
      <c r="E37" s="146">
        <v>701968880</v>
      </c>
      <c r="F37" s="7" t="s">
        <v>228</v>
      </c>
      <c r="G37" s="7"/>
      <c r="H37" s="74" t="s">
        <v>229</v>
      </c>
      <c r="I37" s="75" t="s">
        <v>2953</v>
      </c>
      <c r="J37" s="74">
        <v>768483996</v>
      </c>
      <c r="K37" s="74" t="s">
        <v>230</v>
      </c>
      <c r="L37" s="74"/>
      <c r="M37" s="74"/>
      <c r="N37" s="74"/>
      <c r="O37" s="74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</row>
    <row r="38" spans="1:36" ht="12.75">
      <c r="A38" s="60" t="s">
        <v>231</v>
      </c>
      <c r="B38" s="60"/>
      <c r="C38" s="74" t="s">
        <v>232</v>
      </c>
      <c r="D38" s="74" t="s">
        <v>233</v>
      </c>
      <c r="E38" s="146" t="s">
        <v>234</v>
      </c>
      <c r="F38" s="7" t="s">
        <v>235</v>
      </c>
      <c r="G38" s="7"/>
      <c r="H38" s="74" t="s">
        <v>236</v>
      </c>
      <c r="I38" s="75" t="s">
        <v>237</v>
      </c>
      <c r="J38" s="74" t="s">
        <v>238</v>
      </c>
      <c r="K38" s="74" t="s">
        <v>239</v>
      </c>
      <c r="L38" s="74"/>
      <c r="M38" s="74"/>
      <c r="N38" s="74"/>
      <c r="O38" s="74"/>
      <c r="P38" s="74"/>
      <c r="Q38" s="74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</row>
    <row r="39" spans="1:36" ht="12.75">
      <c r="A39" s="74" t="s">
        <v>240</v>
      </c>
      <c r="B39" s="74"/>
      <c r="C39" s="74" t="s">
        <v>241</v>
      </c>
      <c r="D39" s="74" t="s">
        <v>242</v>
      </c>
      <c r="E39" s="146">
        <v>797093039</v>
      </c>
      <c r="F39" s="7" t="s">
        <v>243</v>
      </c>
      <c r="G39" s="7"/>
      <c r="H39" s="74" t="s">
        <v>244</v>
      </c>
      <c r="I39" s="75" t="s">
        <v>245</v>
      </c>
      <c r="J39" s="74">
        <v>710907511</v>
      </c>
      <c r="K39" s="74" t="s">
        <v>246</v>
      </c>
      <c r="L39" s="74"/>
      <c r="M39" s="74"/>
      <c r="N39" s="74"/>
      <c r="O39" s="74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</row>
    <row r="40" spans="1:36" ht="12.75">
      <c r="A40" s="74" t="s">
        <v>247</v>
      </c>
      <c r="B40" s="74"/>
      <c r="C40" s="74" t="s">
        <v>248</v>
      </c>
      <c r="D40" s="74" t="s">
        <v>227</v>
      </c>
      <c r="E40" s="194">
        <f>254759130352</f>
        <v>254759130352</v>
      </c>
      <c r="F40" s="7" t="s">
        <v>249</v>
      </c>
      <c r="G40" s="7"/>
      <c r="H40" s="74" t="s">
        <v>250</v>
      </c>
      <c r="I40" s="75" t="s">
        <v>251</v>
      </c>
      <c r="J40" s="74">
        <v>703126166</v>
      </c>
      <c r="K40" s="74" t="s">
        <v>252</v>
      </c>
      <c r="L40" s="74"/>
      <c r="M40" s="74"/>
      <c r="N40" s="74"/>
      <c r="O40" s="74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</row>
    <row r="41" spans="1:36" ht="12.75">
      <c r="A41" s="74" t="s">
        <v>253</v>
      </c>
      <c r="B41" s="74"/>
      <c r="C41" s="74" t="s">
        <v>254</v>
      </c>
      <c r="D41" s="74" t="s">
        <v>255</v>
      </c>
      <c r="E41" s="146">
        <v>798263946</v>
      </c>
      <c r="F41" s="7" t="s">
        <v>149</v>
      </c>
      <c r="G41" s="7"/>
      <c r="H41" s="74" t="s">
        <v>150</v>
      </c>
      <c r="I41" s="75" t="s">
        <v>151</v>
      </c>
      <c r="J41" s="74">
        <v>726773795</v>
      </c>
      <c r="K41" s="74" t="s">
        <v>152</v>
      </c>
      <c r="L41" s="74"/>
      <c r="M41" s="74"/>
      <c r="N41" s="74"/>
      <c r="O41" s="74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</row>
    <row r="42" spans="1:36" ht="12.75">
      <c r="A42" s="74" t="s">
        <v>256</v>
      </c>
      <c r="B42" s="74"/>
      <c r="C42" s="74" t="s">
        <v>257</v>
      </c>
      <c r="D42" s="74" t="s">
        <v>258</v>
      </c>
      <c r="E42" s="146" t="s">
        <v>259</v>
      </c>
      <c r="F42" s="7" t="s">
        <v>260</v>
      </c>
      <c r="G42" s="7"/>
      <c r="H42" s="74" t="s">
        <v>261</v>
      </c>
      <c r="I42" s="75" t="s">
        <v>218</v>
      </c>
      <c r="J42" s="114" t="s">
        <v>262</v>
      </c>
      <c r="K42" s="74" t="s">
        <v>263</v>
      </c>
      <c r="L42" s="74"/>
      <c r="M42" s="74"/>
      <c r="N42" s="74"/>
      <c r="O42" s="74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</row>
    <row r="43" spans="1:36" ht="12.75">
      <c r="A43" s="74" t="s">
        <v>264</v>
      </c>
      <c r="B43" s="74"/>
      <c r="C43" s="74" t="s">
        <v>265</v>
      </c>
      <c r="D43" s="74" t="s">
        <v>266</v>
      </c>
      <c r="E43" s="146">
        <v>114939391</v>
      </c>
      <c r="F43" s="7" t="s">
        <v>267</v>
      </c>
      <c r="G43" s="7"/>
      <c r="H43" s="74" t="s">
        <v>268</v>
      </c>
      <c r="I43" s="75" t="s">
        <v>269</v>
      </c>
      <c r="J43" s="74">
        <v>703080000</v>
      </c>
      <c r="K43" s="74" t="s">
        <v>270</v>
      </c>
      <c r="L43" s="74"/>
      <c r="M43" s="74"/>
      <c r="N43" s="74"/>
      <c r="O43" s="74"/>
      <c r="P43" s="74"/>
      <c r="Q43" s="74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</row>
    <row r="44" spans="1:36" ht="12.75">
      <c r="A44" s="74" t="s">
        <v>271</v>
      </c>
      <c r="B44" s="74"/>
      <c r="C44" s="74" t="s">
        <v>272</v>
      </c>
      <c r="D44" s="74" t="s">
        <v>273</v>
      </c>
      <c r="E44" s="146">
        <v>740629363</v>
      </c>
      <c r="F44" s="7" t="s">
        <v>274</v>
      </c>
      <c r="G44" s="7"/>
      <c r="H44" s="74" t="s">
        <v>275</v>
      </c>
      <c r="I44" s="75" t="s">
        <v>276</v>
      </c>
      <c r="J44" s="74">
        <v>714922311</v>
      </c>
      <c r="K44" s="76"/>
      <c r="L44" s="74"/>
      <c r="M44" s="74"/>
      <c r="N44" s="74"/>
      <c r="O44" s="74"/>
      <c r="P44" s="74"/>
      <c r="Q44" s="74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</row>
    <row r="45" spans="1:36" ht="12.75">
      <c r="A45" s="74" t="s">
        <v>277</v>
      </c>
      <c r="B45" s="74"/>
      <c r="C45" s="74" t="s">
        <v>278</v>
      </c>
      <c r="D45" s="98" t="s">
        <v>279</v>
      </c>
      <c r="E45" s="146">
        <v>254114760545</v>
      </c>
      <c r="F45" s="7" t="s">
        <v>280</v>
      </c>
      <c r="G45" s="7"/>
      <c r="H45" s="76"/>
      <c r="I45" s="84"/>
      <c r="J45" s="76"/>
      <c r="K45" s="76"/>
      <c r="L45" s="74"/>
      <c r="M45" s="74"/>
      <c r="N45" s="74"/>
      <c r="O45" s="74"/>
      <c r="P45" s="74"/>
      <c r="Q45" s="74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</row>
    <row r="46" spans="1:36" ht="12.75">
      <c r="A46" s="74" t="s">
        <v>281</v>
      </c>
      <c r="B46" s="74"/>
      <c r="C46" s="74" t="s">
        <v>282</v>
      </c>
      <c r="D46" s="74" t="s">
        <v>283</v>
      </c>
      <c r="E46" s="194">
        <v>254799574955</v>
      </c>
      <c r="F46" s="7" t="s">
        <v>284</v>
      </c>
      <c r="G46" s="7"/>
      <c r="H46" s="74" t="s">
        <v>285</v>
      </c>
      <c r="I46" s="75" t="s">
        <v>286</v>
      </c>
      <c r="J46" s="74">
        <v>682230033</v>
      </c>
      <c r="K46" s="74" t="s">
        <v>204</v>
      </c>
      <c r="L46" s="74"/>
      <c r="M46" s="74"/>
      <c r="N46" s="74"/>
      <c r="O46" s="74"/>
      <c r="P46" s="74"/>
      <c r="Q46" s="74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</row>
    <row r="47" spans="1:36" ht="12.75">
      <c r="A47" s="264" t="s">
        <v>287</v>
      </c>
      <c r="B47" s="264"/>
      <c r="C47" s="264" t="s">
        <v>288</v>
      </c>
      <c r="D47" s="264" t="s">
        <v>289</v>
      </c>
      <c r="E47" s="262">
        <v>743624994</v>
      </c>
      <c r="F47" s="7" t="s">
        <v>290</v>
      </c>
      <c r="G47" s="7"/>
      <c r="H47" s="74"/>
      <c r="I47" s="75" t="s">
        <v>237</v>
      </c>
      <c r="J47" s="74"/>
      <c r="K47" s="74" t="s">
        <v>291</v>
      </c>
      <c r="L47" s="74"/>
      <c r="M47" s="74"/>
      <c r="N47" s="74"/>
      <c r="O47" s="74"/>
      <c r="P47" s="74"/>
      <c r="Q47" s="74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</row>
    <row r="48" spans="1:36" ht="15">
      <c r="A48" s="74" t="s">
        <v>292</v>
      </c>
      <c r="B48" s="74"/>
      <c r="C48" s="74" t="s">
        <v>293</v>
      </c>
      <c r="D48" s="74" t="s">
        <v>294</v>
      </c>
      <c r="E48" s="146">
        <v>113225565</v>
      </c>
      <c r="F48" s="7" t="s">
        <v>295</v>
      </c>
      <c r="G48" s="7"/>
      <c r="H48" s="74" t="s">
        <v>296</v>
      </c>
      <c r="I48" s="75" t="s">
        <v>297</v>
      </c>
      <c r="J48" s="74">
        <v>700611875</v>
      </c>
      <c r="K48" s="115" t="s">
        <v>298</v>
      </c>
      <c r="L48" s="74"/>
      <c r="M48" s="74"/>
      <c r="N48" s="74"/>
      <c r="O48" s="74"/>
      <c r="P48" s="74"/>
      <c r="Q48" s="74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</row>
    <row r="49" spans="1:40" ht="12.75">
      <c r="A49" s="74" t="s">
        <v>299</v>
      </c>
      <c r="B49" s="74"/>
      <c r="C49" s="74" t="s">
        <v>300</v>
      </c>
      <c r="D49" s="74" t="s">
        <v>301</v>
      </c>
      <c r="E49" s="146">
        <v>795829464</v>
      </c>
      <c r="F49" s="7" t="s">
        <v>302</v>
      </c>
      <c r="G49" s="7"/>
      <c r="H49" s="74" t="s">
        <v>303</v>
      </c>
      <c r="I49" s="75" t="s">
        <v>20</v>
      </c>
      <c r="J49" s="74">
        <v>704335222</v>
      </c>
      <c r="K49" s="74" t="s">
        <v>21</v>
      </c>
      <c r="L49" s="74"/>
      <c r="M49" s="74"/>
      <c r="N49" s="74"/>
      <c r="O49" s="74"/>
      <c r="P49" s="74"/>
      <c r="Q49" s="74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</row>
    <row r="50" spans="1:40" ht="12.75">
      <c r="A50" s="264" t="s">
        <v>304</v>
      </c>
      <c r="B50" s="264"/>
      <c r="C50" s="264" t="s">
        <v>305</v>
      </c>
      <c r="D50" s="264" t="s">
        <v>306</v>
      </c>
      <c r="E50" s="262" t="s">
        <v>307</v>
      </c>
      <c r="F50" s="7" t="s">
        <v>141</v>
      </c>
      <c r="G50" s="7"/>
      <c r="H50" s="74" t="s">
        <v>142</v>
      </c>
      <c r="I50" s="75" t="s">
        <v>143</v>
      </c>
      <c r="J50" s="74" t="s">
        <v>144</v>
      </c>
      <c r="K50" s="74" t="s">
        <v>145</v>
      </c>
      <c r="L50" s="74"/>
      <c r="M50" s="74"/>
      <c r="N50" s="74"/>
      <c r="O50" s="74"/>
      <c r="P50" s="74"/>
      <c r="Q50" s="74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</row>
    <row r="51" spans="1:40" ht="12.75">
      <c r="A51" s="269" t="s">
        <v>308</v>
      </c>
      <c r="B51" s="269"/>
      <c r="C51" s="261" t="s">
        <v>309</v>
      </c>
      <c r="D51" s="261" t="s">
        <v>310</v>
      </c>
      <c r="E51" s="262">
        <v>716568609</v>
      </c>
      <c r="F51" s="7" t="s">
        <v>311</v>
      </c>
      <c r="G51" s="7"/>
      <c r="H51" s="74" t="s">
        <v>312</v>
      </c>
      <c r="I51" s="75" t="s">
        <v>313</v>
      </c>
      <c r="J51" s="74">
        <v>790566616</v>
      </c>
      <c r="K51" s="74" t="s">
        <v>314</v>
      </c>
      <c r="L51" s="74"/>
      <c r="M51" s="74"/>
      <c r="N51" s="74"/>
      <c r="O51" s="74"/>
      <c r="P51" s="74"/>
      <c r="Q51" s="74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</row>
    <row r="52" spans="1:40" ht="12.75">
      <c r="A52" s="74" t="s">
        <v>315</v>
      </c>
      <c r="B52" s="74"/>
      <c r="C52" s="74" t="s">
        <v>316</v>
      </c>
      <c r="D52" s="74" t="s">
        <v>317</v>
      </c>
      <c r="E52" s="146">
        <v>758052929</v>
      </c>
      <c r="F52" s="74" t="s">
        <v>318</v>
      </c>
      <c r="G52" s="74"/>
      <c r="H52" s="74" t="s">
        <v>319</v>
      </c>
      <c r="I52" s="75" t="s">
        <v>320</v>
      </c>
      <c r="J52" s="74">
        <v>729395433</v>
      </c>
      <c r="K52" s="74" t="s">
        <v>321</v>
      </c>
      <c r="L52" s="74"/>
      <c r="M52" s="74"/>
      <c r="N52" s="74"/>
      <c r="O52" s="74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</row>
    <row r="53" spans="1:40" ht="12.75">
      <c r="A53" s="74" t="s">
        <v>322</v>
      </c>
      <c r="B53" s="74"/>
      <c r="C53" s="74" t="s">
        <v>323</v>
      </c>
      <c r="D53" s="74" t="s">
        <v>324</v>
      </c>
      <c r="E53" s="146">
        <v>797881010</v>
      </c>
      <c r="F53" s="7" t="s">
        <v>325</v>
      </c>
      <c r="G53" s="7"/>
      <c r="H53" s="74" t="s">
        <v>326</v>
      </c>
      <c r="I53" s="75" t="s">
        <v>203</v>
      </c>
      <c r="J53" s="74">
        <v>709747759</v>
      </c>
      <c r="K53" s="74" t="s">
        <v>327</v>
      </c>
      <c r="L53" s="74"/>
      <c r="M53" s="74"/>
      <c r="N53" s="74"/>
      <c r="O53" s="74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</row>
    <row r="54" spans="1:40" ht="12.75">
      <c r="A54" s="74" t="s">
        <v>328</v>
      </c>
      <c r="B54" s="74"/>
      <c r="C54" s="74" t="s">
        <v>329</v>
      </c>
      <c r="D54" s="74" t="s">
        <v>330</v>
      </c>
      <c r="E54" s="146">
        <v>758352417</v>
      </c>
      <c r="F54" s="7" t="s">
        <v>331</v>
      </c>
      <c r="G54" s="7"/>
      <c r="H54" s="74" t="s">
        <v>332</v>
      </c>
      <c r="I54" s="75" t="s">
        <v>333</v>
      </c>
      <c r="J54" s="74">
        <v>705920928</v>
      </c>
      <c r="K54" s="74" t="s">
        <v>334</v>
      </c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</row>
    <row r="55" spans="1:40" ht="12.75">
      <c r="A55" s="74" t="s">
        <v>335</v>
      </c>
      <c r="B55" s="74"/>
      <c r="C55" s="74" t="s">
        <v>336</v>
      </c>
      <c r="D55" s="74" t="s">
        <v>337</v>
      </c>
      <c r="E55" s="146">
        <v>745214781</v>
      </c>
      <c r="F55" s="7" t="s">
        <v>338</v>
      </c>
      <c r="G55" s="7"/>
      <c r="H55" s="74"/>
      <c r="I55" s="75"/>
      <c r="J55" s="74"/>
      <c r="K55" s="74"/>
      <c r="L55" s="74"/>
      <c r="M55" s="74"/>
      <c r="N55" s="74"/>
      <c r="O55" s="74"/>
      <c r="P55" s="74"/>
      <c r="Q55" s="74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</row>
    <row r="56" spans="1:40" ht="12.75">
      <c r="A56" s="74" t="s">
        <v>339</v>
      </c>
      <c r="B56" s="74"/>
      <c r="C56" s="74" t="s">
        <v>340</v>
      </c>
      <c r="D56" s="74" t="s">
        <v>341</v>
      </c>
      <c r="E56" s="146">
        <v>768441549</v>
      </c>
      <c r="F56" s="7" t="s">
        <v>342</v>
      </c>
      <c r="G56" s="7"/>
      <c r="H56" s="74" t="s">
        <v>343</v>
      </c>
      <c r="I56" s="75" t="s">
        <v>41</v>
      </c>
      <c r="J56" s="74" t="s">
        <v>344</v>
      </c>
      <c r="K56" s="74" t="s">
        <v>105</v>
      </c>
      <c r="L56" s="74"/>
      <c r="M56" s="74"/>
      <c r="N56" s="74"/>
      <c r="O56" s="74"/>
      <c r="P56" s="74"/>
      <c r="Q56" s="74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</row>
    <row r="57" spans="1:40" ht="14.25">
      <c r="A57" s="74" t="s">
        <v>345</v>
      </c>
      <c r="B57" s="74"/>
      <c r="C57" s="74" t="s">
        <v>346</v>
      </c>
      <c r="D57" s="74" t="s">
        <v>347</v>
      </c>
      <c r="E57" s="146">
        <v>748269069</v>
      </c>
      <c r="F57" s="7" t="s">
        <v>348</v>
      </c>
      <c r="G57" s="7"/>
      <c r="H57" s="74" t="s">
        <v>349</v>
      </c>
      <c r="I57" s="75" t="s">
        <v>203</v>
      </c>
      <c r="J57" s="116">
        <v>795096576</v>
      </c>
      <c r="K57" s="117" t="s">
        <v>350</v>
      </c>
      <c r="L57" s="74"/>
      <c r="M57" s="74"/>
      <c r="N57" s="74"/>
      <c r="O57" s="74"/>
      <c r="P57" s="74"/>
      <c r="Q57" s="74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</row>
    <row r="58" spans="1:40" ht="12.75">
      <c r="A58" s="74" t="s">
        <v>351</v>
      </c>
      <c r="B58" s="74"/>
      <c r="C58" s="74" t="s">
        <v>352</v>
      </c>
      <c r="D58" s="74" t="s">
        <v>353</v>
      </c>
      <c r="E58" s="146">
        <v>746454462</v>
      </c>
      <c r="F58" s="118" t="s">
        <v>354</v>
      </c>
      <c r="G58" s="118"/>
      <c r="H58" s="118" t="s">
        <v>355</v>
      </c>
      <c r="I58" s="119" t="s">
        <v>356</v>
      </c>
      <c r="J58" s="71" t="s">
        <v>357</v>
      </c>
      <c r="K58" s="118" t="s">
        <v>358</v>
      </c>
      <c r="L58" s="74"/>
      <c r="M58" s="74"/>
      <c r="N58" s="74"/>
      <c r="O58" s="74"/>
      <c r="P58" s="74"/>
      <c r="Q58" s="74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</row>
    <row r="59" spans="1:40" ht="12.75">
      <c r="A59" s="74" t="s">
        <v>359</v>
      </c>
      <c r="B59" s="74"/>
      <c r="C59" s="74" t="s">
        <v>360</v>
      </c>
      <c r="D59" s="74" t="s">
        <v>266</v>
      </c>
      <c r="E59" s="146">
        <v>745679194</v>
      </c>
      <c r="F59" s="7" t="s">
        <v>361</v>
      </c>
      <c r="G59" s="7"/>
      <c r="H59" s="74" t="s">
        <v>362</v>
      </c>
      <c r="I59" s="75" t="s">
        <v>65</v>
      </c>
      <c r="J59" s="74">
        <v>734894994</v>
      </c>
      <c r="K59" s="74" t="s">
        <v>363</v>
      </c>
      <c r="L59" s="74"/>
      <c r="M59" s="74"/>
      <c r="N59" s="74"/>
      <c r="O59" s="74"/>
      <c r="P59" s="74"/>
      <c r="Q59" s="74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</row>
    <row r="60" spans="1:40" ht="12.75">
      <c r="A60" s="74" t="s">
        <v>364</v>
      </c>
      <c r="B60" s="74"/>
      <c r="C60" s="74" t="s">
        <v>365</v>
      </c>
      <c r="D60" s="74" t="s">
        <v>366</v>
      </c>
      <c r="E60" s="146">
        <v>703852546</v>
      </c>
      <c r="F60" s="7" t="s">
        <v>367</v>
      </c>
      <c r="G60" s="7"/>
      <c r="H60" s="74" t="s">
        <v>368</v>
      </c>
      <c r="I60" s="75" t="s">
        <v>369</v>
      </c>
      <c r="J60" s="74">
        <v>715728888</v>
      </c>
      <c r="K60" s="74" t="s">
        <v>370</v>
      </c>
      <c r="L60" s="74"/>
      <c r="M60" s="74"/>
      <c r="N60" s="74"/>
      <c r="O60" s="74"/>
      <c r="P60" s="74"/>
      <c r="Q60" s="74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</row>
    <row r="61" spans="1:40" ht="12.75">
      <c r="A61" s="74" t="s">
        <v>371</v>
      </c>
      <c r="B61" s="74"/>
      <c r="C61" s="74" t="s">
        <v>372</v>
      </c>
      <c r="D61" s="74" t="s">
        <v>373</v>
      </c>
      <c r="E61" s="146" t="s">
        <v>374</v>
      </c>
      <c r="F61" s="7" t="s">
        <v>375</v>
      </c>
      <c r="G61" s="7"/>
      <c r="H61" s="74" t="s">
        <v>376</v>
      </c>
      <c r="I61" s="75" t="s">
        <v>377</v>
      </c>
      <c r="J61" s="74" t="s">
        <v>378</v>
      </c>
      <c r="K61" s="74" t="s">
        <v>379</v>
      </c>
      <c r="L61" s="120"/>
      <c r="M61" s="120"/>
      <c r="N61" s="120"/>
      <c r="O61" s="120"/>
      <c r="P61" s="114"/>
      <c r="Q61" s="11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2"/>
      <c r="AL61" s="122"/>
      <c r="AM61" s="122"/>
      <c r="AN61" s="122"/>
    </row>
    <row r="62" spans="1:40" ht="12.75">
      <c r="A62" s="74" t="s">
        <v>380</v>
      </c>
      <c r="B62" s="74"/>
      <c r="C62" s="74" t="s">
        <v>381</v>
      </c>
      <c r="D62" s="74" t="s">
        <v>382</v>
      </c>
      <c r="E62" s="146">
        <v>748366638</v>
      </c>
      <c r="F62" s="7" t="s">
        <v>383</v>
      </c>
      <c r="G62" s="7"/>
      <c r="H62" s="74" t="s">
        <v>384</v>
      </c>
      <c r="I62" s="75" t="s">
        <v>385</v>
      </c>
      <c r="J62" s="76">
        <v>2545220104</v>
      </c>
      <c r="K62" s="74" t="s">
        <v>386</v>
      </c>
      <c r="L62" s="74"/>
      <c r="M62" s="74"/>
      <c r="N62" s="74"/>
      <c r="O62" s="74"/>
      <c r="P62" s="74"/>
      <c r="Q62" s="74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</row>
    <row r="63" spans="1:40" ht="12.75">
      <c r="A63" s="74" t="s">
        <v>387</v>
      </c>
      <c r="B63" s="60"/>
      <c r="C63" s="60" t="s">
        <v>388</v>
      </c>
      <c r="D63" s="60" t="s">
        <v>389</v>
      </c>
      <c r="E63" s="146">
        <v>707225290</v>
      </c>
      <c r="F63" s="7" t="s">
        <v>243</v>
      </c>
      <c r="G63" s="7"/>
      <c r="H63" s="74" t="s">
        <v>244</v>
      </c>
      <c r="I63" s="75" t="s">
        <v>245</v>
      </c>
      <c r="J63" s="74">
        <v>710907511</v>
      </c>
      <c r="K63" s="74"/>
      <c r="L63" s="74"/>
      <c r="M63" s="74"/>
      <c r="N63" s="74"/>
      <c r="O63" s="74"/>
      <c r="P63" s="74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</row>
    <row r="64" spans="1:40" ht="15">
      <c r="A64" s="74" t="s">
        <v>390</v>
      </c>
      <c r="B64" s="74"/>
      <c r="C64" s="74" t="s">
        <v>391</v>
      </c>
      <c r="D64" s="74" t="s">
        <v>306</v>
      </c>
      <c r="E64" s="146">
        <v>725925680</v>
      </c>
      <c r="F64" s="7" t="s">
        <v>243</v>
      </c>
      <c r="G64" s="7"/>
      <c r="H64" s="74" t="s">
        <v>392</v>
      </c>
      <c r="I64" s="75" t="s">
        <v>245</v>
      </c>
      <c r="J64" s="123">
        <v>710907511</v>
      </c>
      <c r="K64" s="123" t="s">
        <v>246</v>
      </c>
      <c r="L64" s="60"/>
      <c r="M64" s="60"/>
      <c r="N64" s="60"/>
      <c r="O64" s="60"/>
      <c r="P64" s="124"/>
      <c r="Q64" s="125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</row>
    <row r="65" spans="1:36" ht="12.75">
      <c r="A65" s="74" t="s">
        <v>393</v>
      </c>
      <c r="B65" s="60"/>
      <c r="C65" s="60" t="s">
        <v>394</v>
      </c>
      <c r="D65" s="60" t="s">
        <v>395</v>
      </c>
      <c r="E65" s="157">
        <v>701526064</v>
      </c>
      <c r="F65" s="7" t="s">
        <v>396</v>
      </c>
      <c r="G65" s="1"/>
      <c r="H65" s="60" t="s">
        <v>397</v>
      </c>
      <c r="I65" s="88" t="s">
        <v>398</v>
      </c>
      <c r="J65" s="74">
        <v>254208703000</v>
      </c>
      <c r="K65" s="60" t="s">
        <v>399</v>
      </c>
      <c r="L65" s="60"/>
      <c r="M65" s="60"/>
      <c r="N65" s="60"/>
      <c r="O65" s="60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</row>
    <row r="66" spans="1:36" ht="12.75">
      <c r="A66" s="74" t="s">
        <v>400</v>
      </c>
      <c r="B66" s="74"/>
      <c r="C66" s="74" t="s">
        <v>401</v>
      </c>
      <c r="D66" s="74" t="s">
        <v>402</v>
      </c>
      <c r="E66" s="146">
        <v>25415132089</v>
      </c>
      <c r="F66" s="7" t="s">
        <v>2958</v>
      </c>
      <c r="G66" s="7"/>
      <c r="H66" s="74" t="s">
        <v>2959</v>
      </c>
      <c r="I66" s="75" t="s">
        <v>1410</v>
      </c>
      <c r="J66" s="60">
        <v>104791045</v>
      </c>
      <c r="K66" s="60" t="s">
        <v>758</v>
      </c>
      <c r="L66" s="60"/>
      <c r="M66" s="60"/>
      <c r="N66" s="60"/>
      <c r="O66" s="60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</row>
    <row r="67" spans="1:36" ht="12.75">
      <c r="A67" s="74" t="s">
        <v>405</v>
      </c>
      <c r="B67" s="74"/>
      <c r="C67" s="74" t="s">
        <v>406</v>
      </c>
      <c r="D67" s="74" t="s">
        <v>407</v>
      </c>
      <c r="E67" s="146">
        <v>791360805</v>
      </c>
      <c r="F67" s="7" t="s">
        <v>408</v>
      </c>
      <c r="G67" s="7"/>
      <c r="H67" s="74" t="s">
        <v>409</v>
      </c>
      <c r="I67" s="75" t="s">
        <v>410</v>
      </c>
      <c r="J67" s="74">
        <v>202109472</v>
      </c>
      <c r="K67" s="74" t="s">
        <v>411</v>
      </c>
      <c r="L67" s="74"/>
      <c r="M67" s="74"/>
      <c r="N67" s="74"/>
      <c r="O67" s="74"/>
      <c r="P67" s="74"/>
      <c r="Q67" s="74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</row>
    <row r="68" spans="1:36" ht="12.75">
      <c r="A68" s="74" t="s">
        <v>412</v>
      </c>
      <c r="B68" s="74"/>
      <c r="C68" s="74" t="s">
        <v>413</v>
      </c>
      <c r="D68" s="74" t="s">
        <v>353</v>
      </c>
      <c r="E68" s="146">
        <v>254769021762</v>
      </c>
      <c r="F68" s="7" t="s">
        <v>414</v>
      </c>
      <c r="G68" s="7"/>
      <c r="H68" s="74" t="s">
        <v>415</v>
      </c>
      <c r="I68" s="75" t="s">
        <v>416</v>
      </c>
      <c r="J68" s="74">
        <v>728848622</v>
      </c>
      <c r="K68" s="74" t="s">
        <v>417</v>
      </c>
      <c r="L68" s="74"/>
      <c r="M68" s="74"/>
      <c r="N68" s="74"/>
      <c r="O68" s="74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</row>
    <row r="69" spans="1:36" ht="12.75">
      <c r="A69" s="74" t="s">
        <v>418</v>
      </c>
      <c r="B69" s="74"/>
      <c r="C69" s="74" t="s">
        <v>419</v>
      </c>
      <c r="D69" s="74" t="s">
        <v>90</v>
      </c>
      <c r="E69" s="146">
        <v>705911738</v>
      </c>
      <c r="F69" s="7" t="s">
        <v>420</v>
      </c>
      <c r="G69" s="7"/>
      <c r="H69" s="74" t="s">
        <v>421</v>
      </c>
      <c r="I69" s="75" t="s">
        <v>65</v>
      </c>
      <c r="J69" s="74">
        <v>720418444</v>
      </c>
      <c r="K69" s="74" t="s">
        <v>422</v>
      </c>
      <c r="L69" s="74"/>
      <c r="M69" s="74"/>
      <c r="N69" s="74"/>
      <c r="O69" s="74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</row>
    <row r="70" spans="1:36" ht="12.75">
      <c r="A70" s="74" t="s">
        <v>423</v>
      </c>
      <c r="B70" s="74"/>
      <c r="C70" s="74" t="s">
        <v>424</v>
      </c>
      <c r="D70" s="74" t="s">
        <v>425</v>
      </c>
      <c r="E70" s="194"/>
      <c r="F70" s="74" t="s">
        <v>426</v>
      </c>
      <c r="G70" s="74"/>
      <c r="H70" s="103" t="s">
        <v>427</v>
      </c>
      <c r="I70" s="84"/>
      <c r="J70" s="105">
        <v>254704384714</v>
      </c>
      <c r="K70" s="76"/>
      <c r="L70" s="74"/>
      <c r="M70" s="74"/>
      <c r="N70" s="74"/>
      <c r="O70" s="74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</row>
    <row r="71" spans="1:36" ht="12.75">
      <c r="A71" s="103" t="s">
        <v>423</v>
      </c>
      <c r="B71" s="103"/>
      <c r="C71" s="103" t="s">
        <v>424</v>
      </c>
      <c r="D71" s="103" t="s">
        <v>425</v>
      </c>
      <c r="E71" s="194"/>
      <c r="F71" s="103" t="s">
        <v>426</v>
      </c>
      <c r="G71" s="103"/>
      <c r="H71" s="103" t="s">
        <v>427</v>
      </c>
      <c r="I71" s="84"/>
      <c r="J71" s="76"/>
      <c r="K71" s="76"/>
      <c r="L71" s="74"/>
      <c r="M71" s="74"/>
      <c r="N71" s="74"/>
      <c r="O71" s="74"/>
      <c r="P71" s="74"/>
      <c r="Q71" s="74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</row>
    <row r="72" spans="1:36" ht="12.75">
      <c r="A72" s="74" t="s">
        <v>428</v>
      </c>
      <c r="B72" s="74"/>
      <c r="C72" s="74" t="s">
        <v>429</v>
      </c>
      <c r="D72" s="74" t="s">
        <v>430</v>
      </c>
      <c r="E72" s="146" t="s">
        <v>431</v>
      </c>
      <c r="F72" s="270" t="s">
        <v>98</v>
      </c>
      <c r="G72" s="126"/>
      <c r="H72" s="127" t="s">
        <v>99</v>
      </c>
      <c r="I72" s="128" t="s">
        <v>100</v>
      </c>
      <c r="J72" s="129" t="s">
        <v>432</v>
      </c>
      <c r="K72" s="127" t="s">
        <v>101</v>
      </c>
      <c r="L72" s="130"/>
      <c r="M72" s="130"/>
      <c r="N72" s="130"/>
      <c r="O72" s="74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</row>
    <row r="73" spans="1:36" ht="12.75">
      <c r="A73" s="120" t="s">
        <v>433</v>
      </c>
      <c r="B73" s="120"/>
      <c r="C73" s="74" t="s">
        <v>434</v>
      </c>
      <c r="D73" s="74" t="s">
        <v>373</v>
      </c>
      <c r="E73" s="146">
        <v>748929074</v>
      </c>
      <c r="F73" s="270" t="s">
        <v>435</v>
      </c>
      <c r="G73" s="126"/>
      <c r="H73" s="127" t="s">
        <v>436</v>
      </c>
      <c r="I73" s="128" t="s">
        <v>437</v>
      </c>
      <c r="J73" s="129">
        <v>202390930</v>
      </c>
      <c r="K73" s="127" t="s">
        <v>438</v>
      </c>
      <c r="L73" s="132"/>
      <c r="M73" s="132"/>
      <c r="N73" s="132"/>
      <c r="O73" s="74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</row>
    <row r="74" spans="1:36" ht="15">
      <c r="A74" s="74" t="s">
        <v>439</v>
      </c>
      <c r="B74" s="74"/>
      <c r="C74" s="74" t="s">
        <v>440</v>
      </c>
      <c r="D74" s="74" t="s">
        <v>441</v>
      </c>
      <c r="E74" s="146">
        <v>791337188</v>
      </c>
      <c r="F74" s="271" t="s">
        <v>354</v>
      </c>
      <c r="G74" s="134"/>
      <c r="H74" s="127" t="s">
        <v>355</v>
      </c>
      <c r="I74" s="128" t="s">
        <v>14</v>
      </c>
      <c r="J74" s="135" t="s">
        <v>442</v>
      </c>
      <c r="K74" s="127" t="s">
        <v>105</v>
      </c>
      <c r="L74" s="130"/>
      <c r="M74" s="130"/>
      <c r="N74" s="130"/>
      <c r="O74" s="74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</row>
    <row r="75" spans="1:36" ht="12.75">
      <c r="A75" s="74" t="s">
        <v>443</v>
      </c>
      <c r="B75" s="74"/>
      <c r="C75" s="74" t="s">
        <v>444</v>
      </c>
      <c r="D75" s="74" t="s">
        <v>445</v>
      </c>
      <c r="E75" s="146">
        <v>725158687</v>
      </c>
      <c r="F75" s="7" t="s">
        <v>342</v>
      </c>
      <c r="G75" s="7"/>
      <c r="H75" s="74" t="s">
        <v>446</v>
      </c>
      <c r="I75" s="75" t="s">
        <v>356</v>
      </c>
      <c r="J75" s="74">
        <v>715364294</v>
      </c>
      <c r="K75" s="74" t="s">
        <v>105</v>
      </c>
      <c r="L75" s="74"/>
      <c r="M75" s="74"/>
      <c r="N75" s="74"/>
      <c r="O75" s="74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</row>
    <row r="76" spans="1:36" ht="12.75">
      <c r="A76" s="74" t="s">
        <v>447</v>
      </c>
      <c r="B76" s="74"/>
      <c r="C76" s="74" t="s">
        <v>448</v>
      </c>
      <c r="D76" s="60" t="s">
        <v>38</v>
      </c>
      <c r="E76" s="146">
        <v>727045550</v>
      </c>
      <c r="F76" s="7" t="s">
        <v>449</v>
      </c>
      <c r="G76" s="7"/>
      <c r="H76" s="74" t="s">
        <v>450</v>
      </c>
      <c r="I76" s="75" t="s">
        <v>451</v>
      </c>
      <c r="J76" s="74">
        <v>799290271</v>
      </c>
      <c r="K76" s="74" t="s">
        <v>87</v>
      </c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</row>
    <row r="77" spans="1:36" ht="12.75">
      <c r="A77" s="74" t="s">
        <v>452</v>
      </c>
      <c r="B77" s="74"/>
      <c r="C77" s="74" t="s">
        <v>453</v>
      </c>
      <c r="D77" s="74" t="s">
        <v>454</v>
      </c>
      <c r="E77" s="146">
        <v>791616700</v>
      </c>
      <c r="F77" s="7" t="s">
        <v>455</v>
      </c>
      <c r="G77" s="7"/>
      <c r="H77" s="74" t="s">
        <v>456</v>
      </c>
      <c r="I77" s="75" t="s">
        <v>218</v>
      </c>
      <c r="J77" s="74">
        <v>703080000</v>
      </c>
      <c r="K77" s="74" t="s">
        <v>457</v>
      </c>
      <c r="L77" s="74"/>
      <c r="M77" s="74"/>
      <c r="N77" s="74"/>
      <c r="O77" s="74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</row>
    <row r="78" spans="1:36" ht="12.75">
      <c r="A78" s="74" t="s">
        <v>458</v>
      </c>
      <c r="B78" s="74"/>
      <c r="C78" s="74" t="s">
        <v>459</v>
      </c>
      <c r="D78" s="74" t="s">
        <v>460</v>
      </c>
      <c r="E78" s="146">
        <v>769943744</v>
      </c>
      <c r="F78" s="7" t="s">
        <v>461</v>
      </c>
      <c r="G78" s="7"/>
      <c r="H78" s="7" t="s">
        <v>462</v>
      </c>
      <c r="I78" s="8" t="s">
        <v>463</v>
      </c>
      <c r="J78" s="76">
        <v>254726001458</v>
      </c>
      <c r="K78" s="74" t="s">
        <v>464</v>
      </c>
      <c r="L78" s="74"/>
      <c r="M78" s="74"/>
      <c r="N78" s="74"/>
      <c r="O78" s="74"/>
      <c r="P78" s="74"/>
      <c r="Q78" s="74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</row>
    <row r="79" spans="1:36" ht="12.75">
      <c r="A79" s="74" t="s">
        <v>465</v>
      </c>
      <c r="B79" s="74"/>
      <c r="C79" s="74" t="s">
        <v>466</v>
      </c>
      <c r="D79" s="74" t="s">
        <v>467</v>
      </c>
      <c r="E79" s="146">
        <v>112685689</v>
      </c>
      <c r="F79" s="7" t="s">
        <v>468</v>
      </c>
      <c r="G79" s="7"/>
      <c r="H79" s="74" t="s">
        <v>469</v>
      </c>
      <c r="I79" s="75" t="s">
        <v>65</v>
      </c>
      <c r="J79" s="74">
        <v>722333776</v>
      </c>
      <c r="K79" s="74" t="s">
        <v>470</v>
      </c>
      <c r="L79" s="74"/>
      <c r="M79" s="74"/>
      <c r="N79" s="74"/>
      <c r="O79" s="74"/>
      <c r="P79" s="74"/>
      <c r="Q79" s="74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</row>
    <row r="80" spans="1:36" ht="12.75">
      <c r="A80" s="74" t="s">
        <v>471</v>
      </c>
      <c r="B80" s="74"/>
      <c r="C80" s="74" t="s">
        <v>472</v>
      </c>
      <c r="D80" s="74" t="s">
        <v>56</v>
      </c>
      <c r="E80" s="146">
        <v>705688180</v>
      </c>
      <c r="F80" s="7" t="s">
        <v>57</v>
      </c>
      <c r="G80" s="7"/>
      <c r="H80" s="74" t="s">
        <v>58</v>
      </c>
      <c r="I80" s="75" t="s">
        <v>59</v>
      </c>
      <c r="J80" s="74">
        <v>720668236</v>
      </c>
      <c r="K80" s="74" t="s">
        <v>60</v>
      </c>
      <c r="L80" s="74"/>
      <c r="M80" s="74"/>
      <c r="N80" s="74"/>
      <c r="O80" s="74"/>
      <c r="P80" s="74"/>
      <c r="Q80" s="74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</row>
    <row r="81" spans="1:36" ht="12.75">
      <c r="A81" s="74" t="s">
        <v>473</v>
      </c>
      <c r="B81" s="74"/>
      <c r="C81" s="74" t="s">
        <v>474</v>
      </c>
      <c r="D81" s="74" t="s">
        <v>475</v>
      </c>
      <c r="E81" s="146">
        <v>254726130834</v>
      </c>
      <c r="F81" s="7" t="s">
        <v>476</v>
      </c>
      <c r="G81" s="1"/>
      <c r="H81" s="60" t="s">
        <v>477</v>
      </c>
      <c r="I81" s="88" t="s">
        <v>237</v>
      </c>
      <c r="J81" s="76">
        <v>254724637993</v>
      </c>
      <c r="K81" s="74" t="s">
        <v>478</v>
      </c>
      <c r="L81" s="74"/>
      <c r="M81" s="74"/>
      <c r="N81" s="74"/>
      <c r="O81" s="74"/>
      <c r="P81" s="74"/>
      <c r="Q81" s="74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</row>
    <row r="82" spans="1:36" ht="12.75">
      <c r="A82" s="74" t="s">
        <v>479</v>
      </c>
      <c r="B82" s="74"/>
      <c r="C82" s="74" t="s">
        <v>480</v>
      </c>
      <c r="D82" s="74" t="s">
        <v>83</v>
      </c>
      <c r="E82" s="146">
        <v>716923720</v>
      </c>
      <c r="F82" s="7" t="s">
        <v>481</v>
      </c>
      <c r="G82" s="7"/>
      <c r="H82" s="74" t="s">
        <v>482</v>
      </c>
      <c r="I82" s="75" t="s">
        <v>483</v>
      </c>
      <c r="J82" s="74">
        <v>703872670</v>
      </c>
      <c r="K82" s="74" t="s">
        <v>484</v>
      </c>
      <c r="L82" s="74"/>
      <c r="M82" s="74"/>
      <c r="N82" s="74"/>
      <c r="O82" s="74"/>
      <c r="P82" s="74"/>
      <c r="Q82" s="74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</row>
    <row r="83" spans="1:36" ht="12.75">
      <c r="A83" s="74" t="s">
        <v>485</v>
      </c>
      <c r="B83" s="74"/>
      <c r="C83" s="74" t="s">
        <v>486</v>
      </c>
      <c r="D83" s="74" t="s">
        <v>294</v>
      </c>
      <c r="E83" s="74">
        <v>790482014</v>
      </c>
      <c r="F83" s="7" t="s">
        <v>487</v>
      </c>
      <c r="G83" s="7"/>
      <c r="H83" s="74" t="s">
        <v>488</v>
      </c>
      <c r="I83" s="75" t="s">
        <v>489</v>
      </c>
      <c r="J83" s="74">
        <v>114203510</v>
      </c>
      <c r="K83" s="74" t="s">
        <v>490</v>
      </c>
      <c r="L83" s="74"/>
      <c r="M83" s="74"/>
      <c r="N83" s="74"/>
      <c r="O83" s="74"/>
      <c r="P83" s="74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</row>
    <row r="84" spans="1:36" ht="12.75">
      <c r="A84" s="74" t="s">
        <v>491</v>
      </c>
      <c r="B84" s="74"/>
      <c r="C84" s="74" t="s">
        <v>492</v>
      </c>
      <c r="D84" s="74" t="s">
        <v>183</v>
      </c>
      <c r="E84" s="146">
        <v>708818064</v>
      </c>
      <c r="F84" s="7" t="s">
        <v>493</v>
      </c>
      <c r="G84" s="7"/>
      <c r="H84" s="74" t="s">
        <v>494</v>
      </c>
      <c r="I84" s="75" t="s">
        <v>495</v>
      </c>
      <c r="J84" s="74">
        <v>112807337</v>
      </c>
      <c r="K84" s="74" t="s">
        <v>496</v>
      </c>
      <c r="L84" s="74"/>
      <c r="M84" s="74"/>
      <c r="N84" s="74"/>
      <c r="O84" s="74"/>
      <c r="P84" s="74"/>
      <c r="Q84" s="74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</row>
    <row r="85" spans="1:36" ht="12.75">
      <c r="A85" s="74" t="s">
        <v>497</v>
      </c>
      <c r="B85" s="74"/>
      <c r="C85" s="74" t="s">
        <v>498</v>
      </c>
      <c r="D85" s="74" t="s">
        <v>441</v>
      </c>
      <c r="E85" s="146"/>
      <c r="F85" s="7"/>
      <c r="G85" s="7"/>
      <c r="H85" s="74"/>
      <c r="I85" s="136"/>
      <c r="J85" s="74"/>
      <c r="K85" s="74"/>
      <c r="L85" s="74"/>
      <c r="M85" s="74"/>
      <c r="N85" s="74"/>
      <c r="O85" s="74"/>
      <c r="P85" s="74"/>
      <c r="Q85" s="74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</row>
    <row r="86" spans="1:36" ht="12.75">
      <c r="A86" s="74" t="s">
        <v>499</v>
      </c>
      <c r="B86" s="74"/>
      <c r="C86" s="74" t="s">
        <v>500</v>
      </c>
      <c r="D86" s="74" t="s">
        <v>501</v>
      </c>
      <c r="E86" s="146">
        <v>114558240</v>
      </c>
      <c r="F86" s="7" t="s">
        <v>502</v>
      </c>
      <c r="G86" s="7"/>
      <c r="H86" s="74" t="s">
        <v>503</v>
      </c>
      <c r="I86" s="75" t="s">
        <v>504</v>
      </c>
      <c r="J86" s="74">
        <v>798145347</v>
      </c>
      <c r="K86" s="74" t="s">
        <v>505</v>
      </c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</row>
    <row r="87" spans="1:36" ht="12.75">
      <c r="A87" s="74" t="s">
        <v>506</v>
      </c>
      <c r="B87" s="74"/>
      <c r="C87" s="74" t="s">
        <v>507</v>
      </c>
      <c r="D87" s="74" t="s">
        <v>508</v>
      </c>
      <c r="E87" s="146">
        <v>746469327</v>
      </c>
      <c r="F87" s="7" t="s">
        <v>509</v>
      </c>
      <c r="G87" s="7"/>
      <c r="H87" s="74" t="s">
        <v>510</v>
      </c>
      <c r="I87" s="75" t="s">
        <v>511</v>
      </c>
      <c r="J87" s="74" t="s">
        <v>512</v>
      </c>
      <c r="K87" s="74" t="s">
        <v>513</v>
      </c>
      <c r="L87" s="74"/>
      <c r="M87" s="74"/>
      <c r="N87" s="74"/>
      <c r="O87" s="74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</row>
    <row r="88" spans="1:36" ht="12.75">
      <c r="A88" s="74" t="s">
        <v>514</v>
      </c>
      <c r="B88" s="74"/>
      <c r="C88" s="74" t="s">
        <v>515</v>
      </c>
      <c r="D88" s="74" t="s">
        <v>516</v>
      </c>
      <c r="E88" s="146">
        <v>794570935</v>
      </c>
      <c r="F88" s="7" t="s">
        <v>517</v>
      </c>
      <c r="G88" s="7"/>
      <c r="H88" s="74" t="s">
        <v>518</v>
      </c>
      <c r="I88" s="75" t="s">
        <v>356</v>
      </c>
      <c r="J88" s="74">
        <v>724477942</v>
      </c>
      <c r="K88" s="74" t="s">
        <v>519</v>
      </c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</row>
    <row r="89" spans="1:36" ht="25.5">
      <c r="A89" s="264" t="s">
        <v>520</v>
      </c>
      <c r="B89" s="264"/>
      <c r="C89" s="264" t="s">
        <v>521</v>
      </c>
      <c r="D89" s="264" t="s">
        <v>522</v>
      </c>
      <c r="E89" s="262">
        <v>798833762</v>
      </c>
      <c r="F89" s="138" t="s">
        <v>523</v>
      </c>
      <c r="G89" s="138"/>
      <c r="H89" s="74" t="s">
        <v>524</v>
      </c>
      <c r="I89" s="75" t="s">
        <v>525</v>
      </c>
      <c r="J89" s="74">
        <v>717627108</v>
      </c>
      <c r="K89" s="90" t="s">
        <v>526</v>
      </c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</row>
    <row r="90" spans="1:36" ht="12.75">
      <c r="A90" s="74" t="s">
        <v>527</v>
      </c>
      <c r="B90" s="74"/>
      <c r="C90" s="74" t="s">
        <v>528</v>
      </c>
      <c r="D90" s="74" t="s">
        <v>529</v>
      </c>
      <c r="E90" s="146">
        <v>745689907</v>
      </c>
      <c r="F90" s="7" t="s">
        <v>530</v>
      </c>
      <c r="G90" s="7"/>
      <c r="H90" s="76"/>
      <c r="I90" s="84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</row>
    <row r="91" spans="1:36" ht="12.75">
      <c r="A91" s="103" t="s">
        <v>531</v>
      </c>
      <c r="B91" s="103"/>
      <c r="C91" s="198" t="s">
        <v>532</v>
      </c>
      <c r="D91" s="74" t="s">
        <v>533</v>
      </c>
      <c r="E91" s="194"/>
      <c r="F91" s="74" t="s">
        <v>534</v>
      </c>
      <c r="G91" s="74"/>
      <c r="H91" s="74" t="s">
        <v>535</v>
      </c>
      <c r="I91" s="75" t="s">
        <v>536</v>
      </c>
      <c r="J91" s="74">
        <v>254112877556</v>
      </c>
      <c r="K91" s="74" t="s">
        <v>537</v>
      </c>
      <c r="L91" s="74"/>
      <c r="M91" s="74"/>
      <c r="N91" s="74"/>
      <c r="O91" s="74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</row>
    <row r="92" spans="1:36" ht="12.75">
      <c r="A92" s="74" t="s">
        <v>538</v>
      </c>
      <c r="B92" s="74"/>
      <c r="C92" s="74" t="s">
        <v>539</v>
      </c>
      <c r="D92" s="74" t="s">
        <v>227</v>
      </c>
      <c r="E92" s="146">
        <v>797916373</v>
      </c>
      <c r="F92" s="7" t="s">
        <v>342</v>
      </c>
      <c r="G92" s="7"/>
      <c r="H92" s="74" t="s">
        <v>343</v>
      </c>
      <c r="I92" s="75" t="s">
        <v>41</v>
      </c>
      <c r="J92" s="74">
        <v>710453693</v>
      </c>
      <c r="K92" s="74" t="s">
        <v>105</v>
      </c>
      <c r="L92" s="74"/>
      <c r="M92" s="74"/>
      <c r="N92" s="74"/>
      <c r="O92" s="74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</row>
    <row r="93" spans="1:36" ht="12.75">
      <c r="A93" s="74" t="s">
        <v>540</v>
      </c>
      <c r="B93" s="74"/>
      <c r="C93" s="74" t="s">
        <v>541</v>
      </c>
      <c r="D93" s="74" t="s">
        <v>542</v>
      </c>
      <c r="E93" s="146">
        <v>790315526</v>
      </c>
      <c r="F93" s="7" t="s">
        <v>116</v>
      </c>
      <c r="G93" s="7"/>
      <c r="H93" s="76"/>
      <c r="I93" s="84"/>
      <c r="J93" s="76"/>
      <c r="K93" s="76"/>
      <c r="L93" s="74"/>
      <c r="M93" s="74"/>
      <c r="N93" s="74"/>
      <c r="O93" s="74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</row>
    <row r="94" spans="1:36" ht="12.75">
      <c r="A94" s="74" t="s">
        <v>543</v>
      </c>
      <c r="B94" s="74"/>
      <c r="C94" s="74" t="s">
        <v>544</v>
      </c>
      <c r="D94" s="74" t="s">
        <v>441</v>
      </c>
      <c r="E94" s="146">
        <v>790417880</v>
      </c>
      <c r="F94" s="7" t="s">
        <v>545</v>
      </c>
      <c r="G94" s="7"/>
      <c r="H94" s="76"/>
      <c r="I94" s="84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</row>
    <row r="95" spans="1:36" ht="12.75">
      <c r="A95" s="74" t="s">
        <v>546</v>
      </c>
      <c r="B95" s="74"/>
      <c r="C95" s="74" t="s">
        <v>547</v>
      </c>
      <c r="D95" s="74" t="s">
        <v>266</v>
      </c>
      <c r="E95" s="146">
        <v>712796313</v>
      </c>
      <c r="F95" s="7" t="s">
        <v>548</v>
      </c>
      <c r="G95" s="7"/>
      <c r="H95" s="74" t="s">
        <v>549</v>
      </c>
      <c r="I95" s="75" t="s">
        <v>550</v>
      </c>
      <c r="J95" s="74">
        <v>711645955</v>
      </c>
      <c r="K95" s="74" t="s">
        <v>551</v>
      </c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</row>
    <row r="96" spans="1:36" ht="12.75">
      <c r="A96" s="74" t="s">
        <v>552</v>
      </c>
      <c r="B96" s="74"/>
      <c r="C96" s="74" t="s">
        <v>553</v>
      </c>
      <c r="D96" s="74" t="s">
        <v>78</v>
      </c>
      <c r="E96" s="146">
        <v>740786381</v>
      </c>
      <c r="F96" s="7" t="s">
        <v>554</v>
      </c>
      <c r="G96" s="7"/>
      <c r="H96" s="74" t="s">
        <v>555</v>
      </c>
      <c r="I96" s="75" t="s">
        <v>556</v>
      </c>
      <c r="J96" s="74">
        <v>722142927</v>
      </c>
      <c r="K96" s="74" t="s">
        <v>557</v>
      </c>
      <c r="L96" s="74"/>
      <c r="M96" s="74"/>
      <c r="N96" s="74"/>
      <c r="O96" s="74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</row>
    <row r="97" spans="1:36" ht="12.75">
      <c r="A97" s="74" t="s">
        <v>558</v>
      </c>
      <c r="B97" s="74"/>
      <c r="C97" s="74" t="s">
        <v>559</v>
      </c>
      <c r="D97" s="74" t="s">
        <v>529</v>
      </c>
      <c r="E97" s="146">
        <v>705752447</v>
      </c>
      <c r="F97" s="7" t="s">
        <v>560</v>
      </c>
      <c r="G97" s="7"/>
      <c r="H97" s="74" t="s">
        <v>561</v>
      </c>
      <c r="I97" s="75" t="s">
        <v>562</v>
      </c>
      <c r="J97" s="74">
        <v>734894994</v>
      </c>
      <c r="K97" s="74" t="s">
        <v>363</v>
      </c>
      <c r="L97" s="74"/>
      <c r="M97" s="74"/>
      <c r="N97" s="74"/>
      <c r="O97" s="74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</row>
    <row r="98" spans="1:36" ht="12.75">
      <c r="A98" s="7" t="s">
        <v>563</v>
      </c>
      <c r="B98" s="7"/>
      <c r="C98" s="74" t="s">
        <v>564</v>
      </c>
      <c r="D98" s="74" t="s">
        <v>565</v>
      </c>
      <c r="E98" s="146">
        <v>720711717</v>
      </c>
      <c r="F98" s="7" t="s">
        <v>566</v>
      </c>
      <c r="G98" s="7"/>
      <c r="H98" s="74" t="s">
        <v>567</v>
      </c>
      <c r="I98" s="75" t="s">
        <v>568</v>
      </c>
      <c r="J98" s="74">
        <v>721372383</v>
      </c>
      <c r="K98" s="74" t="s">
        <v>569</v>
      </c>
      <c r="L98" s="74"/>
      <c r="M98" s="74"/>
      <c r="N98" s="74"/>
      <c r="O98" s="74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</row>
    <row r="99" spans="1:36" ht="12.75">
      <c r="A99" s="264" t="s">
        <v>570</v>
      </c>
      <c r="B99" s="264"/>
      <c r="C99" s="264" t="s">
        <v>571</v>
      </c>
      <c r="D99" s="264" t="s">
        <v>572</v>
      </c>
      <c r="E99" s="262" t="s">
        <v>573</v>
      </c>
      <c r="F99" s="7" t="s">
        <v>574</v>
      </c>
      <c r="G99" s="7"/>
      <c r="H99" s="74" t="s">
        <v>575</v>
      </c>
      <c r="I99" s="75" t="s">
        <v>576</v>
      </c>
      <c r="J99" s="74" t="s">
        <v>577</v>
      </c>
      <c r="K99" s="74" t="s">
        <v>578</v>
      </c>
      <c r="L99" s="74"/>
      <c r="M99" s="74"/>
      <c r="N99" s="74"/>
      <c r="O99" s="74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</row>
    <row r="100" spans="1:36" ht="12.75">
      <c r="A100" s="74" t="s">
        <v>579</v>
      </c>
      <c r="B100" s="74"/>
      <c r="C100" s="74" t="s">
        <v>580</v>
      </c>
      <c r="D100" s="60" t="s">
        <v>341</v>
      </c>
      <c r="E100" s="146">
        <v>740238756</v>
      </c>
      <c r="F100" s="7" t="s">
        <v>581</v>
      </c>
      <c r="G100" s="7"/>
      <c r="H100" s="74" t="s">
        <v>582</v>
      </c>
      <c r="I100" s="75" t="s">
        <v>583</v>
      </c>
      <c r="J100" s="74">
        <v>710907511</v>
      </c>
      <c r="K100" s="98" t="s">
        <v>246</v>
      </c>
      <c r="L100" s="74"/>
      <c r="M100" s="74"/>
      <c r="N100" s="74"/>
      <c r="O100" s="74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</row>
    <row r="101" spans="1:36" ht="12.75">
      <c r="A101" s="74" t="s">
        <v>584</v>
      </c>
      <c r="B101" s="74"/>
      <c r="C101" s="74" t="s">
        <v>585</v>
      </c>
      <c r="D101" s="60" t="s">
        <v>301</v>
      </c>
      <c r="E101" s="146">
        <v>705802535</v>
      </c>
      <c r="F101" s="7" t="s">
        <v>586</v>
      </c>
      <c r="G101" s="7"/>
      <c r="H101" s="74" t="s">
        <v>587</v>
      </c>
      <c r="I101" s="75" t="s">
        <v>218</v>
      </c>
      <c r="J101" s="74">
        <v>111627483</v>
      </c>
      <c r="K101" s="60" t="s">
        <v>588</v>
      </c>
      <c r="L101" s="60"/>
      <c r="M101" s="60"/>
      <c r="N101" s="60"/>
      <c r="O101" s="74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</row>
    <row r="102" spans="1:36" ht="12.75">
      <c r="A102" s="74" t="s">
        <v>589</v>
      </c>
      <c r="B102" s="74"/>
      <c r="C102" s="74" t="s">
        <v>590</v>
      </c>
      <c r="D102" s="74" t="s">
        <v>341</v>
      </c>
      <c r="E102" s="146">
        <v>115703463</v>
      </c>
      <c r="F102" s="7" t="s">
        <v>591</v>
      </c>
      <c r="G102" s="7"/>
      <c r="H102" s="74" t="s">
        <v>450</v>
      </c>
      <c r="I102" s="75" t="s">
        <v>86</v>
      </c>
      <c r="J102" s="74">
        <v>773416044</v>
      </c>
      <c r="K102" s="74" t="s">
        <v>87</v>
      </c>
      <c r="L102" s="74"/>
      <c r="M102" s="74"/>
      <c r="N102" s="74"/>
      <c r="O102" s="74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</row>
    <row r="103" spans="1:36" ht="12.75">
      <c r="A103" s="103" t="s">
        <v>592</v>
      </c>
      <c r="B103" s="103"/>
      <c r="C103" s="103" t="s">
        <v>201</v>
      </c>
      <c r="D103" s="103" t="s">
        <v>201</v>
      </c>
      <c r="E103" s="194"/>
      <c r="F103" s="103" t="s">
        <v>593</v>
      </c>
      <c r="G103" s="103"/>
      <c r="H103" s="76"/>
      <c r="I103" s="104" t="s">
        <v>203</v>
      </c>
      <c r="J103" s="105">
        <v>713574839</v>
      </c>
      <c r="K103" s="103" t="s">
        <v>204</v>
      </c>
      <c r="L103" s="74"/>
      <c r="M103" s="74"/>
      <c r="N103" s="74"/>
      <c r="O103" s="74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</row>
    <row r="104" spans="1:36" ht="12.75">
      <c r="A104" s="74" t="s">
        <v>594</v>
      </c>
      <c r="B104" s="74"/>
      <c r="C104" s="74" t="s">
        <v>595</v>
      </c>
      <c r="D104" s="74" t="s">
        <v>596</v>
      </c>
      <c r="E104" s="30">
        <v>741861392</v>
      </c>
      <c r="F104" s="7" t="s">
        <v>597</v>
      </c>
      <c r="G104" s="7"/>
      <c r="H104" s="74" t="s">
        <v>598</v>
      </c>
      <c r="I104" s="75" t="s">
        <v>599</v>
      </c>
      <c r="J104" s="74" t="s">
        <v>600</v>
      </c>
      <c r="K104" s="74" t="s">
        <v>601</v>
      </c>
      <c r="L104" s="74"/>
      <c r="M104" s="74"/>
      <c r="N104" s="74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</row>
    <row r="105" spans="1:36" ht="12.75">
      <c r="A105" s="74" t="s">
        <v>602</v>
      </c>
      <c r="B105" s="74"/>
      <c r="C105" s="74" t="s">
        <v>603</v>
      </c>
      <c r="D105" s="74" t="s">
        <v>604</v>
      </c>
      <c r="E105" s="146">
        <v>111557959</v>
      </c>
      <c r="F105" s="7" t="s">
        <v>605</v>
      </c>
      <c r="G105" s="7"/>
      <c r="H105" s="74" t="s">
        <v>606</v>
      </c>
      <c r="I105" s="75" t="s">
        <v>607</v>
      </c>
      <c r="J105" s="74">
        <v>727248680</v>
      </c>
      <c r="K105" s="74" t="s">
        <v>608</v>
      </c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</row>
    <row r="106" spans="1:36" ht="12.75">
      <c r="A106" s="103" t="s">
        <v>609</v>
      </c>
      <c r="B106" s="103"/>
      <c r="C106" s="103" t="s">
        <v>610</v>
      </c>
      <c r="D106" s="74" t="s">
        <v>227</v>
      </c>
      <c r="E106" s="194"/>
      <c r="F106" s="74" t="s">
        <v>611</v>
      </c>
      <c r="G106" s="74"/>
      <c r="H106" s="76"/>
      <c r="I106" s="84"/>
      <c r="J106" s="76"/>
      <c r="K106" s="74" t="s">
        <v>612</v>
      </c>
      <c r="L106" s="74"/>
      <c r="M106" s="74"/>
      <c r="N106" s="74"/>
      <c r="O106" s="74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</row>
    <row r="107" spans="1:36">
      <c r="A107" s="103" t="s">
        <v>609</v>
      </c>
      <c r="B107" s="103"/>
      <c r="C107" s="103" t="s">
        <v>610</v>
      </c>
      <c r="D107" s="103" t="s">
        <v>227</v>
      </c>
      <c r="E107" s="194"/>
      <c r="F107" s="108" t="s">
        <v>611</v>
      </c>
      <c r="G107" s="108"/>
      <c r="H107" s="103" t="s">
        <v>613</v>
      </c>
      <c r="I107" s="104" t="s">
        <v>59</v>
      </c>
      <c r="K107" s="108" t="s">
        <v>612</v>
      </c>
      <c r="L107" s="26"/>
      <c r="M107" s="26"/>
      <c r="N107" s="26"/>
      <c r="O107" s="2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</row>
    <row r="108" spans="1:36" ht="15">
      <c r="A108" s="116" t="s">
        <v>614</v>
      </c>
      <c r="B108" s="116"/>
      <c r="C108" s="116" t="s">
        <v>615</v>
      </c>
      <c r="D108" s="116" t="s">
        <v>616</v>
      </c>
      <c r="E108" s="272">
        <v>799163101</v>
      </c>
      <c r="F108" s="20" t="s">
        <v>342</v>
      </c>
      <c r="G108" s="20"/>
      <c r="H108" s="116" t="s">
        <v>355</v>
      </c>
      <c r="I108" s="143" t="s">
        <v>617</v>
      </c>
      <c r="J108" s="116">
        <v>715364294</v>
      </c>
      <c r="K108" s="116" t="s">
        <v>105</v>
      </c>
      <c r="L108" s="74"/>
      <c r="M108" s="74"/>
      <c r="N108" s="74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</row>
    <row r="109" spans="1:36" ht="12.75">
      <c r="A109" s="98" t="s">
        <v>618</v>
      </c>
      <c r="B109" s="98"/>
      <c r="C109" s="74" t="s">
        <v>619</v>
      </c>
      <c r="D109" s="74" t="s">
        <v>475</v>
      </c>
      <c r="E109" s="146" t="s">
        <v>620</v>
      </c>
      <c r="F109" s="7" t="s">
        <v>621</v>
      </c>
      <c r="G109" s="7"/>
      <c r="H109" s="74" t="s">
        <v>622</v>
      </c>
      <c r="I109" s="75" t="s">
        <v>623</v>
      </c>
      <c r="J109" s="74" t="s">
        <v>624</v>
      </c>
      <c r="K109" s="74" t="s">
        <v>625</v>
      </c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</row>
    <row r="110" spans="1:36" ht="12.75">
      <c r="A110" s="74" t="s">
        <v>626</v>
      </c>
      <c r="B110" s="74"/>
      <c r="C110" s="74" t="s">
        <v>627</v>
      </c>
      <c r="D110" s="74" t="s">
        <v>628</v>
      </c>
      <c r="E110" s="146">
        <v>111503727</v>
      </c>
      <c r="F110" s="7" t="s">
        <v>629</v>
      </c>
      <c r="G110" s="7"/>
      <c r="H110" s="74" t="s">
        <v>630</v>
      </c>
      <c r="I110" s="75" t="s">
        <v>218</v>
      </c>
      <c r="J110" s="76">
        <v>254207903260</v>
      </c>
      <c r="K110" s="74" t="s">
        <v>631</v>
      </c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</row>
    <row r="111" spans="1:36" ht="12.75">
      <c r="A111" s="74" t="s">
        <v>632</v>
      </c>
      <c r="B111" s="74"/>
      <c r="C111" s="74" t="s">
        <v>633</v>
      </c>
      <c r="D111" s="98" t="s">
        <v>395</v>
      </c>
      <c r="E111" s="146">
        <v>110856452</v>
      </c>
      <c r="F111" s="7" t="s">
        <v>634</v>
      </c>
      <c r="G111" s="7"/>
      <c r="H111" s="74" t="s">
        <v>635</v>
      </c>
      <c r="I111" s="75" t="s">
        <v>186</v>
      </c>
      <c r="J111" s="74">
        <v>723799647</v>
      </c>
      <c r="K111" s="74" t="s">
        <v>636</v>
      </c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</row>
    <row r="112" spans="1:36" ht="12.75">
      <c r="A112" s="264" t="s">
        <v>637</v>
      </c>
      <c r="B112" s="264"/>
      <c r="C112" s="264" t="s">
        <v>638</v>
      </c>
      <c r="D112" s="264" t="s">
        <v>639</v>
      </c>
      <c r="E112" s="262" t="s">
        <v>640</v>
      </c>
      <c r="F112" s="7" t="s">
        <v>641</v>
      </c>
      <c r="G112" s="7"/>
      <c r="H112" s="74" t="s">
        <v>642</v>
      </c>
      <c r="I112" s="75" t="s">
        <v>643</v>
      </c>
      <c r="J112" s="74" t="s">
        <v>644</v>
      </c>
      <c r="K112" s="74" t="s">
        <v>645</v>
      </c>
      <c r="L112" s="74"/>
      <c r="M112" s="74"/>
      <c r="N112" s="74"/>
      <c r="O112" s="74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</row>
    <row r="113" spans="1:36" ht="12.75">
      <c r="A113" s="74" t="s">
        <v>646</v>
      </c>
      <c r="B113" s="74"/>
      <c r="C113" s="74" t="s">
        <v>647</v>
      </c>
      <c r="D113" s="264" t="s">
        <v>648</v>
      </c>
      <c r="E113" s="146">
        <v>758565180</v>
      </c>
      <c r="F113" s="7" t="s">
        <v>1117</v>
      </c>
      <c r="G113" s="7"/>
      <c r="H113" s="74" t="s">
        <v>1118</v>
      </c>
      <c r="I113" s="75" t="s">
        <v>650</v>
      </c>
      <c r="J113" s="74">
        <v>723927833</v>
      </c>
      <c r="K113" s="74" t="s">
        <v>651</v>
      </c>
      <c r="L113" s="74"/>
      <c r="M113" s="74"/>
      <c r="N113" s="74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</row>
    <row r="114" spans="1:36" ht="12.75">
      <c r="A114" s="74" t="s">
        <v>652</v>
      </c>
      <c r="B114" s="74"/>
      <c r="C114" s="74" t="s">
        <v>653</v>
      </c>
      <c r="D114" s="74" t="s">
        <v>654</v>
      </c>
      <c r="E114" s="146">
        <v>714689250</v>
      </c>
      <c r="F114" s="7" t="s">
        <v>655</v>
      </c>
      <c r="G114" s="7"/>
      <c r="H114" s="74" t="s">
        <v>656</v>
      </c>
      <c r="I114" s="75" t="s">
        <v>237</v>
      </c>
      <c r="J114" s="74" t="s">
        <v>657</v>
      </c>
      <c r="K114" s="74" t="s">
        <v>658</v>
      </c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</row>
    <row r="115" spans="1:36" ht="12.75">
      <c r="A115" s="74" t="s">
        <v>659</v>
      </c>
      <c r="B115" s="74"/>
      <c r="C115" s="74" t="s">
        <v>660</v>
      </c>
      <c r="D115" s="74" t="s">
        <v>661</v>
      </c>
      <c r="E115" s="146">
        <v>758280470</v>
      </c>
      <c r="F115" s="74" t="s">
        <v>662</v>
      </c>
      <c r="G115" s="74"/>
      <c r="H115" s="74" t="s">
        <v>663</v>
      </c>
      <c r="I115" s="75" t="s">
        <v>664</v>
      </c>
      <c r="J115" s="74">
        <v>722577340</v>
      </c>
      <c r="K115" s="74" t="s">
        <v>665</v>
      </c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</row>
    <row r="116" spans="1:36" ht="12.75">
      <c r="A116" s="74" t="s">
        <v>666</v>
      </c>
      <c r="B116" s="74"/>
      <c r="C116" s="74" t="s">
        <v>667</v>
      </c>
      <c r="D116" s="74" t="s">
        <v>306</v>
      </c>
      <c r="E116" s="146">
        <v>254758667531</v>
      </c>
      <c r="F116" s="7" t="s">
        <v>668</v>
      </c>
      <c r="G116" s="7"/>
      <c r="H116" s="74" t="s">
        <v>669</v>
      </c>
      <c r="I116" s="75" t="s">
        <v>237</v>
      </c>
      <c r="J116" s="74">
        <f>254732058126</f>
        <v>254732058126</v>
      </c>
      <c r="K116" s="74" t="s">
        <v>670</v>
      </c>
      <c r="L116" s="74"/>
      <c r="M116" s="74"/>
      <c r="N116" s="74"/>
      <c r="O116" s="74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</row>
    <row r="117" spans="1:36" ht="12.75">
      <c r="A117" s="74" t="s">
        <v>671</v>
      </c>
      <c r="B117" s="74"/>
      <c r="C117" s="74" t="s">
        <v>672</v>
      </c>
      <c r="D117" s="74" t="s">
        <v>673</v>
      </c>
      <c r="E117" s="146" t="s">
        <v>674</v>
      </c>
      <c r="F117" s="7" t="s">
        <v>675</v>
      </c>
      <c r="G117" s="7"/>
      <c r="H117" s="74" t="s">
        <v>676</v>
      </c>
      <c r="I117" s="75" t="s">
        <v>677</v>
      </c>
      <c r="J117" s="74">
        <v>254727592119</v>
      </c>
      <c r="K117" s="74" t="s">
        <v>678</v>
      </c>
      <c r="L117" s="74"/>
      <c r="M117" s="74"/>
      <c r="N117" s="74"/>
      <c r="O117" s="74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</row>
    <row r="118" spans="1:36" ht="12.75">
      <c r="A118" s="169" t="s">
        <v>679</v>
      </c>
      <c r="B118" s="169"/>
      <c r="C118" s="103" t="s">
        <v>680</v>
      </c>
      <c r="D118" s="103" t="s">
        <v>680</v>
      </c>
      <c r="E118" s="194"/>
      <c r="F118" s="103" t="s">
        <v>681</v>
      </c>
      <c r="G118" s="103"/>
      <c r="H118" s="103" t="s">
        <v>682</v>
      </c>
      <c r="I118" s="104" t="s">
        <v>179</v>
      </c>
      <c r="J118" s="105">
        <v>254713487535</v>
      </c>
      <c r="K118" s="103" t="s">
        <v>180</v>
      </c>
      <c r="L118" s="74"/>
      <c r="M118" s="74"/>
      <c r="N118" s="74"/>
      <c r="O118" s="74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</row>
    <row r="119" spans="1:36" ht="12.75">
      <c r="A119" s="74" t="s">
        <v>683</v>
      </c>
      <c r="B119" s="74"/>
      <c r="C119" s="74" t="s">
        <v>684</v>
      </c>
      <c r="D119" s="74" t="s">
        <v>330</v>
      </c>
      <c r="E119" s="146">
        <v>713162836</v>
      </c>
      <c r="F119" s="7" t="s">
        <v>685</v>
      </c>
      <c r="G119" s="7"/>
      <c r="H119" s="74" t="s">
        <v>686</v>
      </c>
      <c r="I119" s="75" t="s">
        <v>687</v>
      </c>
      <c r="J119" s="74">
        <v>716278428</v>
      </c>
      <c r="K119" s="74" t="s">
        <v>688</v>
      </c>
      <c r="L119" s="74"/>
      <c r="M119" s="74"/>
      <c r="N119" s="74"/>
      <c r="O119" s="74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</row>
    <row r="120" spans="1:36" ht="15">
      <c r="A120" s="74" t="s">
        <v>689</v>
      </c>
      <c r="B120" s="74"/>
      <c r="C120" s="74" t="s">
        <v>690</v>
      </c>
      <c r="D120" s="74" t="s">
        <v>691</v>
      </c>
      <c r="E120" s="146">
        <v>111819396</v>
      </c>
      <c r="F120" s="7" t="s">
        <v>692</v>
      </c>
      <c r="G120" s="7"/>
      <c r="H120" s="74" t="s">
        <v>693</v>
      </c>
      <c r="I120" s="75" t="s">
        <v>694</v>
      </c>
      <c r="J120" s="74">
        <v>788765979</v>
      </c>
      <c r="K120" s="60" t="s">
        <v>695</v>
      </c>
      <c r="L120" s="28"/>
      <c r="M120" s="28"/>
      <c r="N120" s="28"/>
      <c r="O120" s="28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</row>
    <row r="121" spans="1:36" ht="12.75">
      <c r="A121" s="74" t="s">
        <v>696</v>
      </c>
      <c r="B121" s="74"/>
      <c r="C121" s="74" t="s">
        <v>697</v>
      </c>
      <c r="D121" s="74" t="s">
        <v>78</v>
      </c>
      <c r="E121" s="146">
        <v>743695760</v>
      </c>
      <c r="F121" s="7" t="s">
        <v>79</v>
      </c>
      <c r="G121" s="7"/>
      <c r="H121" s="74" t="s">
        <v>80</v>
      </c>
      <c r="I121" s="75" t="s">
        <v>20</v>
      </c>
      <c r="J121" s="74">
        <v>737409471</v>
      </c>
      <c r="L121" s="60"/>
      <c r="M121" s="60"/>
      <c r="N121" s="60"/>
      <c r="O121" s="60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</row>
    <row r="122" spans="1:36" ht="12.75">
      <c r="A122" s="118" t="s">
        <v>698</v>
      </c>
      <c r="B122" s="118"/>
      <c r="C122" s="118" t="s">
        <v>699</v>
      </c>
      <c r="D122" s="74" t="s">
        <v>227</v>
      </c>
      <c r="E122" s="146">
        <v>794904946</v>
      </c>
      <c r="F122" s="74" t="s">
        <v>700</v>
      </c>
      <c r="G122" s="74"/>
      <c r="H122" s="74" t="s">
        <v>450</v>
      </c>
      <c r="I122" s="75" t="s">
        <v>451</v>
      </c>
      <c r="J122" s="74">
        <v>799290741</v>
      </c>
      <c r="K122" s="60" t="s">
        <v>87</v>
      </c>
      <c r="L122" s="60"/>
      <c r="M122" s="60"/>
      <c r="N122" s="60"/>
      <c r="O122" s="60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</row>
    <row r="123" spans="1:36" ht="12.75">
      <c r="A123" s="74" t="s">
        <v>701</v>
      </c>
      <c r="B123" s="74"/>
      <c r="C123" s="74" t="s">
        <v>702</v>
      </c>
      <c r="D123" s="74" t="s">
        <v>62</v>
      </c>
      <c r="E123" s="146">
        <v>706684022</v>
      </c>
      <c r="F123" s="7" t="s">
        <v>703</v>
      </c>
      <c r="G123" s="7"/>
      <c r="H123" s="74" t="s">
        <v>704</v>
      </c>
      <c r="I123" s="75" t="s">
        <v>705</v>
      </c>
      <c r="J123" s="74">
        <v>728226333</v>
      </c>
      <c r="K123" s="74" t="s">
        <v>129</v>
      </c>
      <c r="L123" s="74"/>
      <c r="M123" s="74"/>
      <c r="N123" s="74"/>
      <c r="O123" s="74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</row>
    <row r="124" spans="1:36" ht="12.75">
      <c r="A124" s="74" t="s">
        <v>706</v>
      </c>
      <c r="B124" s="60"/>
      <c r="C124" s="60" t="s">
        <v>707</v>
      </c>
      <c r="D124" s="60" t="s">
        <v>38</v>
      </c>
      <c r="E124" s="157">
        <v>254748929946</v>
      </c>
      <c r="F124" s="1" t="s">
        <v>708</v>
      </c>
      <c r="G124" s="1"/>
      <c r="H124" s="60" t="s">
        <v>40</v>
      </c>
      <c r="I124" s="75" t="s">
        <v>179</v>
      </c>
      <c r="K124" s="74" t="s">
        <v>42</v>
      </c>
      <c r="L124" s="74"/>
      <c r="M124" s="74"/>
      <c r="N124" s="74"/>
      <c r="O124" s="74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</row>
    <row r="125" spans="1:36" ht="15">
      <c r="A125" s="74" t="s">
        <v>709</v>
      </c>
      <c r="B125" s="74"/>
      <c r="C125" s="74" t="s">
        <v>710</v>
      </c>
      <c r="D125" s="74" t="s">
        <v>115</v>
      </c>
      <c r="E125" s="146">
        <v>794353043</v>
      </c>
      <c r="F125" s="7" t="s">
        <v>711</v>
      </c>
      <c r="G125" s="7"/>
      <c r="H125" s="74" t="s">
        <v>712</v>
      </c>
      <c r="I125" s="75" t="s">
        <v>713</v>
      </c>
      <c r="J125" s="74">
        <v>727618228</v>
      </c>
      <c r="K125" s="60" t="s">
        <v>714</v>
      </c>
      <c r="L125" s="28"/>
      <c r="M125" s="28"/>
      <c r="N125" s="28"/>
      <c r="O125" s="28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</row>
    <row r="126" spans="1:36" ht="12.75">
      <c r="A126" s="74" t="s">
        <v>715</v>
      </c>
      <c r="B126" s="74"/>
      <c r="C126" s="74" t="s">
        <v>716</v>
      </c>
      <c r="D126" s="74" t="s">
        <v>717</v>
      </c>
      <c r="E126" s="146">
        <v>746800549</v>
      </c>
      <c r="F126" s="74" t="s">
        <v>718</v>
      </c>
      <c r="G126" s="74"/>
      <c r="H126" s="74" t="s">
        <v>719</v>
      </c>
      <c r="I126" s="75" t="s">
        <v>59</v>
      </c>
      <c r="J126" s="74">
        <v>717372188</v>
      </c>
      <c r="K126" s="74" t="s">
        <v>720</v>
      </c>
      <c r="L126" s="74"/>
      <c r="M126" s="74"/>
      <c r="N126" s="74"/>
      <c r="O126" s="74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</row>
    <row r="127" spans="1:36" ht="12.75">
      <c r="A127" s="74" t="s">
        <v>721</v>
      </c>
      <c r="B127" s="60"/>
      <c r="C127" s="60" t="s">
        <v>722</v>
      </c>
      <c r="D127" s="60" t="s">
        <v>723</v>
      </c>
      <c r="E127" s="157">
        <v>719852724</v>
      </c>
      <c r="F127" s="1" t="s">
        <v>724</v>
      </c>
      <c r="G127" s="1"/>
      <c r="H127" s="60" t="s">
        <v>725</v>
      </c>
      <c r="I127" s="75" t="s">
        <v>726</v>
      </c>
      <c r="J127" s="60">
        <v>720621675</v>
      </c>
      <c r="K127" s="74" t="s">
        <v>727</v>
      </c>
      <c r="L127" s="74"/>
      <c r="M127" s="74"/>
      <c r="N127" s="74"/>
      <c r="O127" s="74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</row>
    <row r="128" spans="1:36" ht="12.75">
      <c r="A128" s="74" t="s">
        <v>728</v>
      </c>
      <c r="B128" s="74"/>
      <c r="C128" s="74" t="s">
        <v>729</v>
      </c>
      <c r="D128" s="74" t="s">
        <v>227</v>
      </c>
      <c r="E128" s="146">
        <v>112523358</v>
      </c>
      <c r="F128" s="7" t="s">
        <v>730</v>
      </c>
      <c r="G128" s="7"/>
      <c r="H128" s="74" t="s">
        <v>731</v>
      </c>
      <c r="I128" s="75" t="s">
        <v>732</v>
      </c>
      <c r="J128" s="74">
        <v>722575169</v>
      </c>
      <c r="K128" s="74" t="s">
        <v>733</v>
      </c>
      <c r="L128" s="74"/>
      <c r="M128" s="74"/>
      <c r="N128" s="74"/>
      <c r="O128" s="74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</row>
    <row r="129" spans="1:36" ht="12.75">
      <c r="A129" s="74" t="s">
        <v>734</v>
      </c>
      <c r="B129" s="74"/>
      <c r="C129" s="74" t="s">
        <v>735</v>
      </c>
      <c r="D129" s="74" t="s">
        <v>736</v>
      </c>
      <c r="E129" s="146">
        <v>795683650</v>
      </c>
      <c r="F129" s="7" t="s">
        <v>737</v>
      </c>
      <c r="G129" s="7"/>
      <c r="H129" s="74" t="s">
        <v>738</v>
      </c>
      <c r="I129" s="75" t="s">
        <v>739</v>
      </c>
      <c r="J129" s="74">
        <v>709988714</v>
      </c>
      <c r="K129" s="74" t="s">
        <v>740</v>
      </c>
      <c r="L129" s="74"/>
      <c r="M129" s="74"/>
      <c r="N129" s="74"/>
      <c r="O129" s="74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</row>
    <row r="130" spans="1:36" ht="12.75">
      <c r="A130" s="7" t="s">
        <v>741</v>
      </c>
      <c r="B130" s="7"/>
      <c r="C130" s="74" t="s">
        <v>742</v>
      </c>
      <c r="D130" s="74" t="s">
        <v>389</v>
      </c>
      <c r="E130" s="146">
        <v>716875574</v>
      </c>
      <c r="F130" s="7" t="s">
        <v>743</v>
      </c>
      <c r="G130" s="7"/>
      <c r="H130" s="74" t="s">
        <v>744</v>
      </c>
      <c r="I130" s="75" t="s">
        <v>745</v>
      </c>
      <c r="J130" s="74">
        <v>796954269</v>
      </c>
      <c r="K130" s="74" t="s">
        <v>746</v>
      </c>
      <c r="L130" s="74"/>
      <c r="M130" s="74"/>
      <c r="N130" s="74"/>
      <c r="O130" s="74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</row>
    <row r="131" spans="1:36" ht="12.75">
      <c r="A131" s="74" t="s">
        <v>747</v>
      </c>
      <c r="B131" s="74"/>
      <c r="C131" s="74" t="s">
        <v>748</v>
      </c>
      <c r="D131" s="263" t="s">
        <v>749</v>
      </c>
      <c r="E131" s="194">
        <v>254111639419</v>
      </c>
      <c r="F131" s="7" t="s">
        <v>750</v>
      </c>
      <c r="G131" s="7"/>
      <c r="H131" s="74" t="s">
        <v>751</v>
      </c>
      <c r="I131" s="75" t="s">
        <v>752</v>
      </c>
      <c r="J131" s="74">
        <v>724280219</v>
      </c>
      <c r="K131" s="74"/>
      <c r="L131" s="74"/>
      <c r="M131" s="74"/>
      <c r="N131" s="74"/>
      <c r="O131" s="74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</row>
    <row r="132" spans="1:36" ht="12.75">
      <c r="A132" s="74" t="s">
        <v>753</v>
      </c>
      <c r="B132" s="74"/>
      <c r="C132" s="74" t="s">
        <v>754</v>
      </c>
      <c r="D132" s="74" t="s">
        <v>441</v>
      </c>
      <c r="E132" s="74">
        <v>759444529</v>
      </c>
      <c r="F132" s="7" t="s">
        <v>755</v>
      </c>
      <c r="G132" s="7"/>
      <c r="H132" s="74" t="s">
        <v>756</v>
      </c>
      <c r="I132" s="75" t="s">
        <v>757</v>
      </c>
      <c r="J132" s="74">
        <v>723274626</v>
      </c>
      <c r="K132" s="74" t="s">
        <v>758</v>
      </c>
      <c r="L132" s="74"/>
      <c r="M132" s="74"/>
      <c r="N132" s="74"/>
      <c r="O132" s="74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</row>
    <row r="133" spans="1:36" ht="12.75">
      <c r="A133" s="74" t="s">
        <v>759</v>
      </c>
      <c r="B133" s="74"/>
      <c r="C133" s="74" t="s">
        <v>760</v>
      </c>
      <c r="D133" s="74" t="s">
        <v>723</v>
      </c>
      <c r="E133" s="146">
        <v>110272267</v>
      </c>
      <c r="F133" s="7" t="s">
        <v>761</v>
      </c>
      <c r="G133" s="7"/>
      <c r="H133" s="74" t="s">
        <v>762</v>
      </c>
      <c r="I133" s="75" t="s">
        <v>763</v>
      </c>
      <c r="J133" s="74">
        <v>254723661676</v>
      </c>
      <c r="K133" s="74" t="s">
        <v>101</v>
      </c>
      <c r="L133" s="74"/>
      <c r="M133" s="74"/>
      <c r="N133" s="74"/>
      <c r="O133" s="74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</row>
    <row r="134" spans="1:36" ht="12.75">
      <c r="A134" s="74" t="s">
        <v>764</v>
      </c>
      <c r="B134" s="74"/>
      <c r="C134" s="74" t="s">
        <v>765</v>
      </c>
      <c r="D134" s="74" t="s">
        <v>766</v>
      </c>
      <c r="E134" s="146">
        <v>743900785</v>
      </c>
      <c r="F134" s="7" t="s">
        <v>767</v>
      </c>
      <c r="G134" s="7"/>
      <c r="H134" s="74" t="s">
        <v>768</v>
      </c>
      <c r="I134" s="75" t="s">
        <v>218</v>
      </c>
      <c r="J134" s="74">
        <v>254206536028</v>
      </c>
      <c r="K134" s="74" t="s">
        <v>769</v>
      </c>
      <c r="L134" s="74"/>
      <c r="M134" s="74"/>
      <c r="N134" s="74"/>
      <c r="O134" s="74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</row>
    <row r="135" spans="1:36" ht="12.75">
      <c r="A135" s="74" t="s">
        <v>770</v>
      </c>
      <c r="B135" s="74"/>
      <c r="C135" s="74" t="s">
        <v>771</v>
      </c>
      <c r="D135" s="74" t="s">
        <v>772</v>
      </c>
      <c r="E135" s="146">
        <v>704274534</v>
      </c>
      <c r="F135" s="9"/>
      <c r="G135" s="9"/>
      <c r="H135" s="76"/>
      <c r="I135" s="84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</row>
    <row r="136" spans="1:36" ht="12.75">
      <c r="A136" s="74" t="s">
        <v>773</v>
      </c>
      <c r="B136" s="74"/>
      <c r="C136" s="74" t="s">
        <v>774</v>
      </c>
      <c r="D136" s="74" t="s">
        <v>775</v>
      </c>
      <c r="E136" s="146">
        <v>715434987</v>
      </c>
      <c r="F136" s="7" t="s">
        <v>776</v>
      </c>
      <c r="G136" s="7"/>
      <c r="H136" s="74" t="s">
        <v>777</v>
      </c>
      <c r="I136" s="75" t="s">
        <v>778</v>
      </c>
      <c r="J136" s="74" t="s">
        <v>779</v>
      </c>
      <c r="K136" s="74" t="s">
        <v>780</v>
      </c>
      <c r="L136" s="74"/>
      <c r="M136" s="74"/>
      <c r="N136" s="74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</row>
    <row r="137" spans="1:36" ht="12.75">
      <c r="A137" s="74" t="s">
        <v>781</v>
      </c>
      <c r="B137" s="74"/>
      <c r="C137" s="74" t="s">
        <v>782</v>
      </c>
      <c r="D137" s="74" t="s">
        <v>783</v>
      </c>
      <c r="E137" s="146">
        <v>793642867</v>
      </c>
      <c r="F137" s="7" t="s">
        <v>784</v>
      </c>
      <c r="G137" s="7"/>
      <c r="H137" s="74" t="s">
        <v>785</v>
      </c>
      <c r="I137" s="75" t="s">
        <v>786</v>
      </c>
      <c r="J137" s="74">
        <v>719212730</v>
      </c>
      <c r="K137" s="74" t="s">
        <v>787</v>
      </c>
      <c r="L137" s="74"/>
      <c r="M137" s="74"/>
      <c r="N137" s="74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</row>
    <row r="138" spans="1:36" ht="12.75">
      <c r="A138" s="74" t="s">
        <v>788</v>
      </c>
      <c r="B138" s="74"/>
      <c r="C138" s="74" t="s">
        <v>789</v>
      </c>
      <c r="D138" s="74" t="s">
        <v>790</v>
      </c>
      <c r="E138" s="146">
        <v>796539303</v>
      </c>
      <c r="F138" s="7" t="s">
        <v>791</v>
      </c>
      <c r="G138" s="7"/>
      <c r="H138" s="74" t="s">
        <v>792</v>
      </c>
      <c r="I138" s="75" t="s">
        <v>793</v>
      </c>
      <c r="J138" s="76"/>
      <c r="K138" s="76"/>
      <c r="L138" s="74"/>
      <c r="M138" s="74"/>
      <c r="N138" s="74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</row>
    <row r="139" spans="1:36" ht="12.75">
      <c r="A139" s="74" t="s">
        <v>794</v>
      </c>
      <c r="B139" s="74"/>
      <c r="C139" s="74" t="s">
        <v>795</v>
      </c>
      <c r="D139" s="74" t="s">
        <v>796</v>
      </c>
      <c r="E139" s="146">
        <v>254795408323</v>
      </c>
      <c r="F139" s="7" t="s">
        <v>797</v>
      </c>
      <c r="G139" s="7"/>
      <c r="H139" s="76"/>
      <c r="I139" s="84"/>
      <c r="J139" s="76"/>
      <c r="K139" s="76"/>
      <c r="L139" s="74"/>
      <c r="M139" s="74"/>
      <c r="N139" s="74"/>
      <c r="O139" s="74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</row>
    <row r="140" spans="1:36" ht="14.25">
      <c r="A140" s="74" t="s">
        <v>798</v>
      </c>
      <c r="B140" s="74"/>
      <c r="C140" s="74" t="s">
        <v>795</v>
      </c>
      <c r="D140" s="74" t="s">
        <v>799</v>
      </c>
      <c r="E140" s="30">
        <v>795408323</v>
      </c>
      <c r="F140" s="7" t="s">
        <v>800</v>
      </c>
      <c r="G140" s="7"/>
      <c r="H140" s="74" t="s">
        <v>801</v>
      </c>
      <c r="I140" s="75" t="s">
        <v>802</v>
      </c>
      <c r="J140" s="145">
        <v>737409416</v>
      </c>
      <c r="K140" s="74" t="s">
        <v>803</v>
      </c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</row>
    <row r="141" spans="1:36" ht="12.75">
      <c r="A141" s="74" t="s">
        <v>804</v>
      </c>
      <c r="B141" s="74"/>
      <c r="C141" s="74" t="s">
        <v>805</v>
      </c>
      <c r="D141" s="74" t="s">
        <v>78</v>
      </c>
      <c r="E141" s="194">
        <f>254757734404</f>
        <v>254757734404</v>
      </c>
      <c r="F141" s="30" t="s">
        <v>806</v>
      </c>
      <c r="G141" s="30"/>
      <c r="H141" s="146" t="s">
        <v>807</v>
      </c>
      <c r="I141" s="147" t="s">
        <v>356</v>
      </c>
      <c r="J141" s="146">
        <f>254722841136</f>
        <v>254722841136</v>
      </c>
      <c r="K141" s="74" t="s">
        <v>808</v>
      </c>
      <c r="L141" s="74"/>
      <c r="M141" s="74"/>
      <c r="N141" s="74"/>
      <c r="O141" s="74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</row>
    <row r="142" spans="1:36" ht="12.75">
      <c r="A142" s="74" t="s">
        <v>809</v>
      </c>
      <c r="B142" s="74"/>
      <c r="C142" s="74" t="s">
        <v>810</v>
      </c>
      <c r="D142" s="74" t="s">
        <v>71</v>
      </c>
      <c r="E142" s="146">
        <v>716580208</v>
      </c>
      <c r="F142" s="7" t="s">
        <v>811</v>
      </c>
      <c r="G142" s="7"/>
      <c r="H142" s="74" t="s">
        <v>58</v>
      </c>
      <c r="I142" s="75" t="s">
        <v>59</v>
      </c>
      <c r="J142" s="74">
        <v>720668236</v>
      </c>
      <c r="K142" s="74" t="s">
        <v>60</v>
      </c>
      <c r="L142" s="74"/>
      <c r="M142" s="74"/>
      <c r="N142" s="74"/>
      <c r="O142" s="74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</row>
    <row r="143" spans="1:36" ht="12.75">
      <c r="A143" s="74" t="s">
        <v>812</v>
      </c>
      <c r="B143" s="74"/>
      <c r="C143" s="74" t="s">
        <v>813</v>
      </c>
      <c r="D143" s="74" t="s">
        <v>78</v>
      </c>
      <c r="E143" s="146">
        <v>254113010443</v>
      </c>
      <c r="F143" s="7" t="s">
        <v>79</v>
      </c>
      <c r="G143" s="7"/>
      <c r="H143" s="74" t="s">
        <v>80</v>
      </c>
      <c r="I143" s="75" t="s">
        <v>20</v>
      </c>
      <c r="J143" s="74">
        <v>737409471</v>
      </c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</row>
    <row r="144" spans="1:36" ht="12.75">
      <c r="A144" s="74" t="s">
        <v>814</v>
      </c>
      <c r="B144" s="74"/>
      <c r="C144" s="74" t="s">
        <v>815</v>
      </c>
      <c r="D144" s="74" t="s">
        <v>816</v>
      </c>
      <c r="E144" s="146">
        <v>768191961</v>
      </c>
      <c r="F144" s="7" t="s">
        <v>817</v>
      </c>
      <c r="G144" s="7"/>
      <c r="H144" s="74" t="s">
        <v>818</v>
      </c>
      <c r="I144" s="75" t="s">
        <v>819</v>
      </c>
      <c r="J144" s="76"/>
      <c r="K144" s="74" t="s">
        <v>820</v>
      </c>
      <c r="L144" s="74"/>
      <c r="M144" s="74"/>
      <c r="N144" s="74"/>
      <c r="O144" s="74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</row>
    <row r="145" spans="1:36" ht="12.75">
      <c r="A145" s="74" t="s">
        <v>821</v>
      </c>
      <c r="B145" s="74"/>
      <c r="C145" s="74" t="s">
        <v>822</v>
      </c>
      <c r="D145" s="74" t="s">
        <v>301</v>
      </c>
      <c r="E145" s="146">
        <v>793667896</v>
      </c>
      <c r="F145" s="7" t="s">
        <v>823</v>
      </c>
      <c r="G145" s="7"/>
      <c r="H145" s="148" t="s">
        <v>3559</v>
      </c>
      <c r="I145" s="75" t="s">
        <v>269</v>
      </c>
      <c r="J145" s="74">
        <v>254111000600</v>
      </c>
      <c r="K145" s="74" t="s">
        <v>824</v>
      </c>
      <c r="L145" s="74"/>
      <c r="M145" s="74"/>
      <c r="N145" s="74"/>
      <c r="O145" s="74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</row>
    <row r="146" spans="1:36" ht="12.75">
      <c r="A146" s="74" t="s">
        <v>825</v>
      </c>
      <c r="B146" s="74"/>
      <c r="C146" s="74" t="s">
        <v>826</v>
      </c>
      <c r="D146" s="74" t="s">
        <v>227</v>
      </c>
      <c r="E146" s="146">
        <v>113197613</v>
      </c>
      <c r="F146" s="74" t="s">
        <v>827</v>
      </c>
      <c r="G146" s="74"/>
      <c r="H146" s="74" t="s">
        <v>244</v>
      </c>
      <c r="I146" s="75" t="s">
        <v>245</v>
      </c>
      <c r="J146" s="74">
        <v>710907511</v>
      </c>
      <c r="K146" s="74" t="s">
        <v>828</v>
      </c>
      <c r="L146" s="74"/>
      <c r="M146" s="74"/>
      <c r="N146" s="74"/>
      <c r="O146" s="74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</row>
    <row r="147" spans="1:36" ht="12.75">
      <c r="A147" s="74" t="s">
        <v>829</v>
      </c>
      <c r="B147" s="74"/>
      <c r="C147" s="74" t="s">
        <v>830</v>
      </c>
      <c r="D147" s="74" t="s">
        <v>395</v>
      </c>
      <c r="E147" s="146">
        <v>740969109</v>
      </c>
      <c r="F147" s="7" t="s">
        <v>831</v>
      </c>
      <c r="G147" s="7"/>
      <c r="H147" s="74" t="s">
        <v>832</v>
      </c>
      <c r="I147" s="75" t="s">
        <v>833</v>
      </c>
      <c r="J147" s="74">
        <v>724626334</v>
      </c>
      <c r="K147" s="74" t="s">
        <v>834</v>
      </c>
      <c r="L147" s="74"/>
      <c r="M147" s="74"/>
      <c r="N147" s="74"/>
      <c r="O147" s="74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</row>
    <row r="148" spans="1:36" ht="12.75">
      <c r="A148" s="74" t="s">
        <v>835</v>
      </c>
      <c r="B148" s="74"/>
      <c r="C148" s="74" t="s">
        <v>836</v>
      </c>
      <c r="D148" s="74" t="s">
        <v>382</v>
      </c>
      <c r="E148" s="146">
        <v>746745221</v>
      </c>
      <c r="F148" s="7" t="s">
        <v>383</v>
      </c>
      <c r="G148" s="7"/>
      <c r="H148" s="7" t="s">
        <v>837</v>
      </c>
      <c r="I148" s="8" t="s">
        <v>385</v>
      </c>
      <c r="J148" s="76">
        <v>2545220104</v>
      </c>
      <c r="K148" s="74" t="s">
        <v>386</v>
      </c>
      <c r="L148" s="74"/>
      <c r="M148" s="74"/>
      <c r="N148" s="74"/>
      <c r="O148" s="74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</row>
    <row r="149" spans="1:36" ht="12.75">
      <c r="A149" s="74" t="s">
        <v>838</v>
      </c>
      <c r="B149" s="74"/>
      <c r="C149" s="74" t="s">
        <v>839</v>
      </c>
      <c r="D149" s="74" t="s">
        <v>604</v>
      </c>
      <c r="E149" s="194">
        <v>254759934818</v>
      </c>
      <c r="F149" s="7" t="s">
        <v>840</v>
      </c>
      <c r="G149" s="7"/>
      <c r="H149" s="74" t="s">
        <v>26</v>
      </c>
      <c r="I149" s="75" t="s">
        <v>223</v>
      </c>
      <c r="J149" s="74" t="s">
        <v>28</v>
      </c>
      <c r="K149" s="74" t="s">
        <v>224</v>
      </c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</row>
    <row r="150" spans="1:36" ht="12.75">
      <c r="A150" s="60" t="s">
        <v>841</v>
      </c>
      <c r="B150" s="60"/>
      <c r="C150" s="74" t="s">
        <v>842</v>
      </c>
      <c r="D150" s="74" t="s">
        <v>306</v>
      </c>
      <c r="E150" s="194">
        <v>254700344104</v>
      </c>
      <c r="F150" s="7" t="s">
        <v>843</v>
      </c>
      <c r="G150" s="7"/>
      <c r="H150" s="74" t="s">
        <v>844</v>
      </c>
      <c r="I150" s="75" t="s">
        <v>845</v>
      </c>
      <c r="J150" s="74">
        <v>721218305</v>
      </c>
      <c r="K150" s="60" t="s">
        <v>846</v>
      </c>
      <c r="L150" s="149"/>
      <c r="M150" s="149"/>
      <c r="N150" s="149"/>
      <c r="O150" s="149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</row>
    <row r="151" spans="1:36" ht="12.75">
      <c r="A151" s="263" t="s">
        <v>847</v>
      </c>
      <c r="B151" s="263"/>
      <c r="C151" s="263" t="s">
        <v>848</v>
      </c>
      <c r="D151" s="74" t="s">
        <v>849</v>
      </c>
      <c r="E151" s="146">
        <v>114107570</v>
      </c>
      <c r="F151" s="7" t="s">
        <v>850</v>
      </c>
      <c r="G151" s="7"/>
      <c r="H151" s="74" t="s">
        <v>851</v>
      </c>
      <c r="I151" s="75" t="s">
        <v>852</v>
      </c>
      <c r="J151" s="74">
        <v>719502426</v>
      </c>
      <c r="K151" s="74" t="s">
        <v>853</v>
      </c>
      <c r="L151" s="74"/>
      <c r="M151" s="74"/>
      <c r="N151" s="74"/>
      <c r="O151" s="74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</row>
    <row r="152" spans="1:36" ht="12.75">
      <c r="A152" s="74" t="s">
        <v>854</v>
      </c>
      <c r="B152" s="74"/>
      <c r="C152" s="74" t="s">
        <v>855</v>
      </c>
      <c r="D152" s="74" t="s">
        <v>856</v>
      </c>
      <c r="E152" s="146"/>
      <c r="F152" s="7" t="s">
        <v>25</v>
      </c>
      <c r="G152" s="7"/>
      <c r="H152" s="74" t="s">
        <v>857</v>
      </c>
      <c r="I152" s="75" t="s">
        <v>858</v>
      </c>
      <c r="J152" s="74">
        <v>711234567</v>
      </c>
      <c r="K152" s="74" t="s">
        <v>859</v>
      </c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</row>
    <row r="153" spans="1:36" ht="12.75">
      <c r="A153" s="74" t="s">
        <v>860</v>
      </c>
      <c r="B153" s="74"/>
      <c r="C153" s="74" t="s">
        <v>861</v>
      </c>
      <c r="D153" s="74" t="s">
        <v>71</v>
      </c>
      <c r="E153" s="146"/>
      <c r="F153" s="16" t="s">
        <v>862</v>
      </c>
      <c r="G153" s="16"/>
      <c r="H153" s="74" t="s">
        <v>863</v>
      </c>
      <c r="I153" s="75" t="s">
        <v>218</v>
      </c>
      <c r="J153" s="74">
        <v>112784560</v>
      </c>
      <c r="K153" s="74" t="s">
        <v>864</v>
      </c>
      <c r="L153" s="74"/>
      <c r="M153" s="74"/>
      <c r="N153" s="74"/>
      <c r="O153" s="74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</row>
    <row r="154" spans="1:36" ht="12.75">
      <c r="A154" s="74" t="s">
        <v>865</v>
      </c>
      <c r="B154" s="74"/>
      <c r="C154" s="74" t="s">
        <v>866</v>
      </c>
      <c r="D154" s="74" t="s">
        <v>301</v>
      </c>
      <c r="E154" s="146"/>
      <c r="F154" s="7" t="s">
        <v>867</v>
      </c>
      <c r="G154" s="7"/>
      <c r="H154" s="74" t="s">
        <v>868</v>
      </c>
      <c r="I154" s="75" t="s">
        <v>869</v>
      </c>
      <c r="J154" s="74">
        <v>711060540</v>
      </c>
      <c r="K154" s="74" t="s">
        <v>870</v>
      </c>
      <c r="L154" s="74"/>
      <c r="M154" s="74"/>
      <c r="N154" s="74"/>
      <c r="O154" s="74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</row>
    <row r="155" spans="1:36" ht="12.75">
      <c r="A155" s="74" t="s">
        <v>871</v>
      </c>
      <c r="B155" s="74"/>
      <c r="C155" s="74" t="s">
        <v>872</v>
      </c>
      <c r="D155" s="74" t="s">
        <v>873</v>
      </c>
      <c r="E155" s="146"/>
      <c r="F155" s="7" t="s">
        <v>874</v>
      </c>
      <c r="G155" s="7"/>
      <c r="H155" s="74" t="s">
        <v>875</v>
      </c>
      <c r="I155" s="75" t="s">
        <v>237</v>
      </c>
      <c r="J155" s="74">
        <v>254721611202</v>
      </c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</row>
    <row r="156" spans="1:36" ht="14.25">
      <c r="A156" s="74" t="s">
        <v>876</v>
      </c>
      <c r="B156" s="74"/>
      <c r="C156" s="74" t="s">
        <v>877</v>
      </c>
      <c r="D156" s="74" t="s">
        <v>516</v>
      </c>
      <c r="E156" s="146"/>
      <c r="F156" s="7" t="s">
        <v>342</v>
      </c>
      <c r="G156" s="7"/>
      <c r="H156" s="74" t="s">
        <v>355</v>
      </c>
      <c r="I156" s="75" t="s">
        <v>223</v>
      </c>
      <c r="J156" s="150">
        <v>710453693</v>
      </c>
      <c r="K156" s="74" t="s">
        <v>105</v>
      </c>
      <c r="L156" s="74"/>
      <c r="M156" s="74"/>
      <c r="N156" s="74"/>
      <c r="O156" s="74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</row>
    <row r="157" spans="1:36" ht="12.75">
      <c r="A157" s="74" t="s">
        <v>878</v>
      </c>
      <c r="B157" s="74"/>
      <c r="C157" s="74" t="s">
        <v>879</v>
      </c>
      <c r="D157" s="74" t="s">
        <v>880</v>
      </c>
      <c r="E157" s="194"/>
      <c r="F157" s="7" t="s">
        <v>881</v>
      </c>
      <c r="G157" s="7"/>
      <c r="H157" s="74" t="s">
        <v>669</v>
      </c>
      <c r="I157" s="75" t="s">
        <v>86</v>
      </c>
      <c r="J157" s="76">
        <f>254733903289</f>
        <v>254733903289</v>
      </c>
      <c r="K157" s="74" t="s">
        <v>787</v>
      </c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</row>
    <row r="158" spans="1:36" ht="12.75">
      <c r="A158" s="74" t="s">
        <v>882</v>
      </c>
      <c r="B158" s="74"/>
      <c r="C158" s="74" t="s">
        <v>883</v>
      </c>
      <c r="D158" s="74" t="s">
        <v>884</v>
      </c>
      <c r="E158" s="146">
        <v>759302602</v>
      </c>
      <c r="F158" s="7" t="s">
        <v>885</v>
      </c>
      <c r="G158" s="7"/>
      <c r="H158" s="74" t="s">
        <v>886</v>
      </c>
      <c r="I158" s="75" t="s">
        <v>887</v>
      </c>
      <c r="J158" s="74">
        <v>703500980</v>
      </c>
      <c r="K158" s="74" t="s">
        <v>888</v>
      </c>
      <c r="L158" s="74"/>
      <c r="M158" s="74"/>
      <c r="N158" s="74"/>
      <c r="O158" s="74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</row>
    <row r="159" spans="1:36" ht="21">
      <c r="A159" s="74" t="s">
        <v>889</v>
      </c>
      <c r="B159" s="74"/>
      <c r="C159" s="74" t="s">
        <v>890</v>
      </c>
      <c r="D159" s="74" t="s">
        <v>891</v>
      </c>
      <c r="E159" s="146">
        <v>114176885</v>
      </c>
      <c r="F159" s="7" t="s">
        <v>892</v>
      </c>
      <c r="G159" s="7"/>
      <c r="H159" s="74" t="s">
        <v>893</v>
      </c>
      <c r="I159" s="75" t="s">
        <v>237</v>
      </c>
      <c r="J159" s="74">
        <v>737941095</v>
      </c>
      <c r="K159" s="60" t="s">
        <v>894</v>
      </c>
      <c r="L159" s="151"/>
      <c r="M159" s="151"/>
      <c r="N159" s="151"/>
      <c r="O159" s="151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</row>
    <row r="160" spans="1:36" ht="12.75">
      <c r="A160" s="74" t="s">
        <v>895</v>
      </c>
      <c r="B160" s="74"/>
      <c r="C160" s="74" t="s">
        <v>896</v>
      </c>
      <c r="D160" s="74" t="s">
        <v>227</v>
      </c>
      <c r="E160" s="146">
        <v>254706313335</v>
      </c>
      <c r="F160" s="7" t="s">
        <v>897</v>
      </c>
      <c r="G160" s="7"/>
      <c r="H160" s="74" t="s">
        <v>613</v>
      </c>
      <c r="I160" s="75" t="s">
        <v>59</v>
      </c>
      <c r="J160" s="74">
        <v>736118289</v>
      </c>
      <c r="K160" s="74" t="s">
        <v>898</v>
      </c>
      <c r="L160" s="74"/>
      <c r="M160" s="74"/>
      <c r="N160" s="74"/>
      <c r="O160" s="74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</row>
    <row r="161" spans="1:36" ht="12.75">
      <c r="A161" s="74" t="s">
        <v>899</v>
      </c>
      <c r="B161" s="74"/>
      <c r="C161" s="74" t="s">
        <v>896</v>
      </c>
      <c r="D161" s="74" t="s">
        <v>227</v>
      </c>
      <c r="E161" s="194"/>
      <c r="F161" s="74" t="s">
        <v>611</v>
      </c>
      <c r="G161" s="74"/>
      <c r="H161" s="76"/>
      <c r="I161" s="84"/>
      <c r="J161" s="76"/>
      <c r="K161" s="74" t="s">
        <v>612</v>
      </c>
      <c r="L161" s="74"/>
      <c r="M161" s="74"/>
      <c r="N161" s="74"/>
      <c r="O161" s="74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</row>
    <row r="162" spans="1:36" ht="12.75">
      <c r="A162" s="103" t="s">
        <v>899</v>
      </c>
      <c r="B162" s="103"/>
      <c r="C162" s="103" t="s">
        <v>896</v>
      </c>
      <c r="D162" s="103" t="s">
        <v>227</v>
      </c>
      <c r="E162" s="194"/>
      <c r="F162" s="103" t="s">
        <v>611</v>
      </c>
      <c r="G162" s="103"/>
      <c r="H162" s="103" t="s">
        <v>613</v>
      </c>
      <c r="I162" s="84"/>
      <c r="K162" s="103" t="s">
        <v>612</v>
      </c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</row>
    <row r="163" spans="1:36" ht="12.75">
      <c r="A163" s="103" t="s">
        <v>900</v>
      </c>
      <c r="B163" s="103"/>
      <c r="C163" s="103" t="s">
        <v>901</v>
      </c>
      <c r="D163" s="103" t="s">
        <v>901</v>
      </c>
      <c r="E163" s="194"/>
      <c r="F163" s="103" t="s">
        <v>902</v>
      </c>
      <c r="G163" s="103"/>
      <c r="H163" s="103" t="s">
        <v>903</v>
      </c>
      <c r="I163" s="104" t="s">
        <v>887</v>
      </c>
      <c r="J163" s="105">
        <v>726581733</v>
      </c>
      <c r="K163" s="103" t="s">
        <v>904</v>
      </c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</row>
    <row r="164" spans="1:36" ht="12.75">
      <c r="A164" s="74" t="s">
        <v>905</v>
      </c>
      <c r="B164" s="74"/>
      <c r="C164" s="74" t="s">
        <v>906</v>
      </c>
      <c r="D164" s="74" t="s">
        <v>475</v>
      </c>
      <c r="E164" s="146">
        <v>793640387</v>
      </c>
      <c r="F164" s="120" t="s">
        <v>907</v>
      </c>
      <c r="G164" s="120"/>
      <c r="H164" s="74" t="s">
        <v>908</v>
      </c>
      <c r="I164" s="75" t="s">
        <v>909</v>
      </c>
      <c r="J164" s="74">
        <v>722561388</v>
      </c>
      <c r="K164" s="74" t="s">
        <v>910</v>
      </c>
      <c r="L164" s="60"/>
      <c r="M164" s="60"/>
      <c r="N164" s="60"/>
      <c r="O164" s="60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</row>
    <row r="165" spans="1:36" ht="12.75">
      <c r="A165" s="74" t="s">
        <v>911</v>
      </c>
      <c r="B165" s="74"/>
      <c r="C165" s="74" t="s">
        <v>912</v>
      </c>
      <c r="D165" s="74" t="s">
        <v>330</v>
      </c>
      <c r="E165" s="194"/>
      <c r="F165" s="9"/>
      <c r="G165" s="9"/>
      <c r="H165" s="76"/>
      <c r="I165" s="84"/>
      <c r="J165" s="76"/>
      <c r="K165" s="76"/>
      <c r="L165" s="74"/>
      <c r="M165" s="74"/>
      <c r="N165" s="74"/>
      <c r="O165" s="74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</row>
    <row r="166" spans="1:36" ht="12.75">
      <c r="A166" s="74" t="s">
        <v>913</v>
      </c>
      <c r="B166" s="74"/>
      <c r="C166" s="74" t="s">
        <v>914</v>
      </c>
      <c r="D166" s="74" t="s">
        <v>341</v>
      </c>
      <c r="E166" s="146">
        <v>112863597</v>
      </c>
      <c r="F166" s="7" t="s">
        <v>915</v>
      </c>
      <c r="G166" s="7"/>
      <c r="H166" s="76"/>
      <c r="I166" s="84"/>
      <c r="J166" s="76"/>
      <c r="K166" s="76"/>
      <c r="L166" s="74"/>
      <c r="M166" s="74"/>
      <c r="N166" s="74"/>
      <c r="O166" s="74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</row>
    <row r="167" spans="1:36" ht="12.75">
      <c r="A167" s="74" t="s">
        <v>918</v>
      </c>
      <c r="B167" s="74"/>
      <c r="C167" s="74" t="s">
        <v>919</v>
      </c>
      <c r="D167" s="74" t="s">
        <v>266</v>
      </c>
      <c r="E167" s="146">
        <v>254115666759</v>
      </c>
      <c r="F167" s="7" t="s">
        <v>920</v>
      </c>
      <c r="G167" s="7"/>
      <c r="H167" s="74" t="s">
        <v>921</v>
      </c>
      <c r="I167" s="75" t="s">
        <v>922</v>
      </c>
      <c r="J167" s="74" t="s">
        <v>923</v>
      </c>
      <c r="K167" s="74" t="s">
        <v>924</v>
      </c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</row>
    <row r="168" spans="1:36" ht="12.75">
      <c r="A168" s="273" t="s">
        <v>925</v>
      </c>
      <c r="B168" s="273"/>
      <c r="C168" s="74" t="s">
        <v>926</v>
      </c>
      <c r="D168" s="74" t="s">
        <v>78</v>
      </c>
      <c r="E168" s="146">
        <v>254713319696</v>
      </c>
      <c r="F168" s="7" t="s">
        <v>927</v>
      </c>
      <c r="G168" s="7"/>
      <c r="H168" s="74" t="s">
        <v>928</v>
      </c>
      <c r="I168" s="75" t="s">
        <v>929</v>
      </c>
      <c r="J168" s="74">
        <v>254704999298</v>
      </c>
      <c r="K168" s="74" t="s">
        <v>930</v>
      </c>
      <c r="L168" s="74"/>
      <c r="M168" s="74"/>
      <c r="N168" s="74"/>
      <c r="O168" s="74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</row>
    <row r="169" spans="1:36" ht="12.75">
      <c r="A169" s="74" t="s">
        <v>931</v>
      </c>
      <c r="B169" s="74"/>
      <c r="C169" s="74" t="s">
        <v>932</v>
      </c>
      <c r="D169" s="74" t="s">
        <v>227</v>
      </c>
      <c r="E169" s="157">
        <v>111906558</v>
      </c>
      <c r="F169" s="7" t="s">
        <v>342</v>
      </c>
      <c r="G169" s="7"/>
      <c r="H169" s="74" t="s">
        <v>933</v>
      </c>
      <c r="I169" s="84"/>
      <c r="J169" s="76"/>
      <c r="K169" s="76"/>
      <c r="L169" s="74"/>
      <c r="M169" s="74"/>
      <c r="N169" s="74"/>
      <c r="O169" s="74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</row>
    <row r="170" spans="1:36" ht="12.75">
      <c r="A170" s="74" t="s">
        <v>934</v>
      </c>
      <c r="B170" s="74"/>
      <c r="C170" s="74" t="s">
        <v>935</v>
      </c>
      <c r="D170" s="74" t="s">
        <v>936</v>
      </c>
      <c r="E170" s="146">
        <v>740704748</v>
      </c>
      <c r="F170" s="7" t="s">
        <v>342</v>
      </c>
      <c r="G170" s="7"/>
      <c r="H170" s="74" t="s">
        <v>937</v>
      </c>
      <c r="I170" s="75" t="s">
        <v>223</v>
      </c>
      <c r="J170" s="60">
        <v>710453693</v>
      </c>
      <c r="K170" s="74" t="s">
        <v>105</v>
      </c>
      <c r="L170" s="74"/>
      <c r="M170" s="74"/>
      <c r="N170" s="74"/>
      <c r="O170" s="74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</row>
    <row r="171" spans="1:36" ht="12.75">
      <c r="A171" s="74" t="s">
        <v>938</v>
      </c>
      <c r="B171" s="74"/>
      <c r="C171" s="74" t="s">
        <v>939</v>
      </c>
      <c r="D171" s="74" t="s">
        <v>71</v>
      </c>
      <c r="E171" s="146">
        <v>798177842</v>
      </c>
      <c r="F171" s="7" t="s">
        <v>940</v>
      </c>
      <c r="G171" s="7"/>
      <c r="H171" s="74" t="s">
        <v>941</v>
      </c>
      <c r="I171" s="75" t="s">
        <v>218</v>
      </c>
      <c r="J171" s="74">
        <v>704215496</v>
      </c>
      <c r="K171" s="74" t="s">
        <v>942</v>
      </c>
      <c r="L171" s="74"/>
      <c r="M171" s="74"/>
      <c r="N171" s="74"/>
      <c r="O171" s="74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</row>
    <row r="172" spans="1:36" ht="12.75">
      <c r="A172" s="74" t="s">
        <v>943</v>
      </c>
      <c r="B172" s="74"/>
      <c r="C172" s="74" t="s">
        <v>944</v>
      </c>
      <c r="D172" s="74" t="s">
        <v>880</v>
      </c>
      <c r="E172" s="146">
        <v>723242610</v>
      </c>
      <c r="F172" s="7" t="s">
        <v>945</v>
      </c>
      <c r="G172" s="7"/>
      <c r="H172" s="74" t="s">
        <v>946</v>
      </c>
      <c r="I172" s="75" t="s">
        <v>947</v>
      </c>
      <c r="J172" s="74">
        <v>512217987</v>
      </c>
      <c r="K172" s="74" t="s">
        <v>948</v>
      </c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</row>
    <row r="173" spans="1:36" ht="12.75">
      <c r="A173" s="74" t="s">
        <v>949</v>
      </c>
      <c r="B173" s="74"/>
      <c r="C173" s="74" t="s">
        <v>950</v>
      </c>
      <c r="D173" s="74" t="s">
        <v>951</v>
      </c>
      <c r="E173" s="146">
        <v>719524276</v>
      </c>
      <c r="F173" s="7"/>
      <c r="G173" s="7"/>
      <c r="H173" s="74" t="s">
        <v>952</v>
      </c>
      <c r="I173" s="75"/>
      <c r="J173" s="76"/>
      <c r="K173" s="76"/>
      <c r="L173" s="74"/>
      <c r="M173" s="74"/>
      <c r="N173" s="74"/>
      <c r="O173" s="74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</row>
    <row r="174" spans="1:36" ht="12.75">
      <c r="A174" s="74" t="s">
        <v>953</v>
      </c>
      <c r="B174" s="74"/>
      <c r="C174" s="74" t="s">
        <v>954</v>
      </c>
      <c r="D174" s="74" t="s">
        <v>955</v>
      </c>
      <c r="E174" s="146">
        <v>794622194</v>
      </c>
      <c r="F174" s="7" t="s">
        <v>956</v>
      </c>
      <c r="G174" s="7"/>
      <c r="H174" s="76"/>
      <c r="I174" s="84"/>
      <c r="J174" s="76"/>
      <c r="K174" s="76"/>
      <c r="L174" s="74"/>
      <c r="M174" s="74"/>
      <c r="N174" s="74"/>
      <c r="O174" s="74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</row>
    <row r="175" spans="1:36" ht="12.75">
      <c r="A175" s="74" t="s">
        <v>957</v>
      </c>
      <c r="B175" s="74"/>
      <c r="C175" s="74" t="s">
        <v>958</v>
      </c>
      <c r="D175" s="74" t="s">
        <v>959</v>
      </c>
      <c r="E175" s="146">
        <v>769898144</v>
      </c>
      <c r="F175" s="7" t="s">
        <v>342</v>
      </c>
      <c r="G175" s="7"/>
      <c r="H175" s="74" t="s">
        <v>343</v>
      </c>
      <c r="I175" s="75" t="s">
        <v>617</v>
      </c>
      <c r="J175" s="74">
        <v>714053850</v>
      </c>
      <c r="K175" s="74" t="s">
        <v>105</v>
      </c>
      <c r="L175" s="74"/>
      <c r="M175" s="74"/>
      <c r="N175" s="74"/>
      <c r="O175" s="74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</row>
    <row r="176" spans="1:36" ht="12.75">
      <c r="A176" s="74" t="s">
        <v>960</v>
      </c>
      <c r="B176" s="74"/>
      <c r="C176" s="74" t="s">
        <v>961</v>
      </c>
      <c r="D176" s="74" t="s">
        <v>508</v>
      </c>
      <c r="E176" s="146">
        <v>706102418</v>
      </c>
      <c r="F176" s="7" t="s">
        <v>962</v>
      </c>
      <c r="G176" s="7"/>
      <c r="H176" s="74" t="s">
        <v>963</v>
      </c>
      <c r="I176" s="75" t="s">
        <v>964</v>
      </c>
      <c r="J176" s="74">
        <v>724255538</v>
      </c>
      <c r="K176" s="74" t="s">
        <v>965</v>
      </c>
      <c r="L176" s="74"/>
      <c r="M176" s="74"/>
      <c r="N176" s="74"/>
      <c r="O176" s="74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</row>
    <row r="177" spans="1:36" ht="12.75">
      <c r="A177" s="274" t="s">
        <v>966</v>
      </c>
      <c r="B177" s="274"/>
      <c r="C177" s="74" t="s">
        <v>967</v>
      </c>
      <c r="D177" s="74" t="s">
        <v>183</v>
      </c>
      <c r="E177" s="146">
        <v>254748143442</v>
      </c>
      <c r="F177" s="7" t="s">
        <v>968</v>
      </c>
      <c r="G177" s="7"/>
      <c r="H177" s="74" t="s">
        <v>969</v>
      </c>
      <c r="I177" s="136" t="s">
        <v>970</v>
      </c>
      <c r="J177" s="74">
        <v>25490171131</v>
      </c>
      <c r="K177" s="74" t="s">
        <v>971</v>
      </c>
      <c r="L177" s="74"/>
      <c r="M177" s="74"/>
      <c r="N177" s="74"/>
      <c r="O177" s="74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</row>
    <row r="178" spans="1:36" ht="12.75">
      <c r="A178" s="74" t="s">
        <v>972</v>
      </c>
      <c r="B178" s="74"/>
      <c r="C178" s="74" t="s">
        <v>973</v>
      </c>
      <c r="D178" s="74" t="s">
        <v>974</v>
      </c>
      <c r="E178" s="146">
        <v>792066892</v>
      </c>
      <c r="F178" s="7" t="s">
        <v>975</v>
      </c>
      <c r="G178" s="7"/>
      <c r="H178" s="74" t="s">
        <v>976</v>
      </c>
      <c r="I178" s="75" t="s">
        <v>977</v>
      </c>
      <c r="J178" s="76">
        <f>254771370824</f>
        <v>254771370824</v>
      </c>
      <c r="K178" s="74" t="s">
        <v>978</v>
      </c>
      <c r="L178" s="74"/>
      <c r="M178" s="74"/>
      <c r="N178" s="74"/>
      <c r="O178" s="74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</row>
    <row r="179" spans="1:36" ht="12.75">
      <c r="A179" s="7" t="s">
        <v>979</v>
      </c>
      <c r="B179" s="7"/>
      <c r="C179" s="74" t="s">
        <v>980</v>
      </c>
      <c r="D179" s="74" t="s">
        <v>799</v>
      </c>
      <c r="E179" s="194">
        <v>254759408435</v>
      </c>
      <c r="F179" s="7" t="s">
        <v>981</v>
      </c>
      <c r="G179" s="7"/>
      <c r="H179" s="74" t="s">
        <v>982</v>
      </c>
      <c r="I179" s="75" t="s">
        <v>983</v>
      </c>
      <c r="J179" s="76">
        <v>254716786379</v>
      </c>
      <c r="K179" s="74" t="s">
        <v>984</v>
      </c>
      <c r="L179" s="74"/>
      <c r="M179" s="74"/>
      <c r="N179" s="74"/>
      <c r="O179" s="74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</row>
    <row r="180" spans="1:36" ht="12.75">
      <c r="A180" s="74" t="s">
        <v>985</v>
      </c>
      <c r="B180" s="74"/>
      <c r="C180" s="74" t="s">
        <v>986</v>
      </c>
      <c r="D180" s="74" t="s">
        <v>616</v>
      </c>
      <c r="E180" s="146">
        <v>741289114</v>
      </c>
      <c r="F180" s="7" t="s">
        <v>987</v>
      </c>
      <c r="G180" s="7"/>
      <c r="H180" s="74" t="s">
        <v>988</v>
      </c>
      <c r="I180" s="75" t="s">
        <v>989</v>
      </c>
      <c r="J180" s="74">
        <v>725760657</v>
      </c>
      <c r="K180" s="74" t="s">
        <v>990</v>
      </c>
      <c r="L180" s="74"/>
      <c r="M180" s="74"/>
      <c r="N180" s="74"/>
      <c r="O180" s="74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</row>
    <row r="181" spans="1:36" ht="12.75">
      <c r="A181" s="74" t="s">
        <v>991</v>
      </c>
      <c r="B181" s="74"/>
      <c r="C181" s="74" t="s">
        <v>992</v>
      </c>
      <c r="D181" s="74" t="s">
        <v>341</v>
      </c>
      <c r="E181" s="146">
        <v>706684040</v>
      </c>
      <c r="F181" s="7" t="s">
        <v>993</v>
      </c>
      <c r="G181" s="7"/>
      <c r="H181" s="74" t="s">
        <v>994</v>
      </c>
      <c r="I181" s="75" t="s">
        <v>269</v>
      </c>
      <c r="J181" s="74">
        <v>706684040</v>
      </c>
      <c r="K181" s="74" t="s">
        <v>995</v>
      </c>
      <c r="L181" s="74"/>
      <c r="M181" s="74"/>
      <c r="N181" s="74"/>
      <c r="O181" s="74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</row>
    <row r="182" spans="1:36" ht="12.75">
      <c r="A182" s="74" t="s">
        <v>996</v>
      </c>
      <c r="B182" s="74"/>
      <c r="C182" s="74" t="s">
        <v>997</v>
      </c>
      <c r="D182" s="74" t="s">
        <v>998</v>
      </c>
      <c r="E182" s="146">
        <v>714933162</v>
      </c>
      <c r="F182" s="7" t="s">
        <v>999</v>
      </c>
      <c r="G182" s="7"/>
      <c r="H182" s="74" t="s">
        <v>104</v>
      </c>
      <c r="I182" s="75" t="s">
        <v>14</v>
      </c>
      <c r="J182" s="74">
        <v>715364294</v>
      </c>
      <c r="K182" s="74" t="s">
        <v>105</v>
      </c>
      <c r="L182" s="74"/>
      <c r="M182" s="74"/>
      <c r="N182" s="74"/>
      <c r="O182" s="74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</row>
    <row r="183" spans="1:36" ht="12.75">
      <c r="A183" s="275" t="s">
        <v>1000</v>
      </c>
      <c r="B183" s="275"/>
      <c r="C183" s="264" t="s">
        <v>1001</v>
      </c>
      <c r="D183" s="264" t="s">
        <v>306</v>
      </c>
      <c r="E183" s="262">
        <v>748018182</v>
      </c>
      <c r="F183" s="7" t="s">
        <v>1002</v>
      </c>
      <c r="G183" s="7"/>
      <c r="H183" s="74" t="s">
        <v>1003</v>
      </c>
      <c r="I183" s="75" t="s">
        <v>1004</v>
      </c>
      <c r="J183" s="74" t="s">
        <v>1005</v>
      </c>
      <c r="K183" s="74" t="s">
        <v>1006</v>
      </c>
      <c r="L183" s="74"/>
      <c r="M183" s="74"/>
      <c r="N183" s="74"/>
      <c r="O183" s="74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</row>
    <row r="184" spans="1:36" ht="12.75">
      <c r="A184" s="74" t="s">
        <v>1007</v>
      </c>
      <c r="B184" s="74"/>
      <c r="C184" s="74" t="s">
        <v>1008</v>
      </c>
      <c r="D184" s="74" t="s">
        <v>341</v>
      </c>
      <c r="E184" s="146">
        <v>721745357</v>
      </c>
      <c r="F184" s="7" t="s">
        <v>1009</v>
      </c>
      <c r="G184" s="7"/>
      <c r="H184" s="74" t="s">
        <v>1009</v>
      </c>
      <c r="I184" s="75" t="s">
        <v>1010</v>
      </c>
      <c r="J184" s="74" t="s">
        <v>1011</v>
      </c>
      <c r="K184" s="74" t="s">
        <v>1011</v>
      </c>
      <c r="L184" s="74"/>
      <c r="M184" s="74"/>
      <c r="N184" s="74"/>
      <c r="O184" s="74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</row>
    <row r="185" spans="1:36" ht="12.75">
      <c r="A185" s="74" t="s">
        <v>1012</v>
      </c>
      <c r="B185" s="74"/>
      <c r="C185" s="74" t="s">
        <v>1013</v>
      </c>
      <c r="D185" s="74" t="s">
        <v>266</v>
      </c>
      <c r="E185" s="146">
        <v>723771963</v>
      </c>
      <c r="F185" s="21" t="s">
        <v>1014</v>
      </c>
      <c r="G185" s="21"/>
      <c r="H185" s="74" t="s">
        <v>1015</v>
      </c>
      <c r="I185" s="75" t="s">
        <v>964</v>
      </c>
      <c r="J185" s="74">
        <v>5320160000</v>
      </c>
      <c r="K185" s="74" t="s">
        <v>1016</v>
      </c>
      <c r="L185" s="74"/>
      <c r="M185" s="74"/>
      <c r="N185" s="74"/>
      <c r="O185" s="74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</row>
    <row r="186" spans="1:36" ht="12.75">
      <c r="A186" s="74" t="s">
        <v>1017</v>
      </c>
      <c r="B186" s="74"/>
      <c r="C186" s="74" t="s">
        <v>1018</v>
      </c>
      <c r="D186" s="74" t="s">
        <v>529</v>
      </c>
      <c r="E186" s="146">
        <v>741931126</v>
      </c>
      <c r="F186" s="7" t="s">
        <v>1019</v>
      </c>
      <c r="G186" s="7"/>
      <c r="H186" s="74" t="s">
        <v>1020</v>
      </c>
      <c r="I186" s="75" t="s">
        <v>385</v>
      </c>
      <c r="J186" s="74" t="s">
        <v>1021</v>
      </c>
      <c r="K186" s="74" t="s">
        <v>1022</v>
      </c>
      <c r="L186" s="74"/>
      <c r="M186" s="74"/>
      <c r="N186" s="74"/>
      <c r="O186" s="74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</row>
    <row r="187" spans="1:36" ht="12.75">
      <c r="A187" s="60" t="s">
        <v>1023</v>
      </c>
      <c r="B187" s="60"/>
      <c r="C187" s="60" t="s">
        <v>1024</v>
      </c>
      <c r="D187" s="60" t="s">
        <v>1025</v>
      </c>
      <c r="E187" s="146">
        <v>768551090</v>
      </c>
      <c r="F187" s="1" t="s">
        <v>1026</v>
      </c>
      <c r="G187" s="1"/>
      <c r="H187" s="60" t="s">
        <v>1027</v>
      </c>
      <c r="I187" s="156" t="s">
        <v>1028</v>
      </c>
      <c r="J187" s="157">
        <v>797860600</v>
      </c>
      <c r="K187" s="74" t="s">
        <v>1029</v>
      </c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</row>
    <row r="188" spans="1:36" ht="12.75">
      <c r="A188" s="60" t="s">
        <v>1030</v>
      </c>
      <c r="B188" s="60"/>
      <c r="C188" s="60" t="s">
        <v>1031</v>
      </c>
      <c r="D188" s="60" t="s">
        <v>83</v>
      </c>
      <c r="E188" s="146">
        <v>254700647035</v>
      </c>
      <c r="F188" s="1" t="s">
        <v>1032</v>
      </c>
      <c r="G188" s="1"/>
      <c r="H188" s="74" t="s">
        <v>104</v>
      </c>
      <c r="I188" s="75" t="s">
        <v>617</v>
      </c>
      <c r="J188" s="74">
        <v>715364294</v>
      </c>
      <c r="L188" s="60"/>
      <c r="M188" s="60"/>
      <c r="N188" s="60"/>
      <c r="O188" s="60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</row>
    <row r="189" spans="1:36" ht="12.75">
      <c r="A189" s="60" t="s">
        <v>1033</v>
      </c>
      <c r="B189" s="60"/>
      <c r="C189" s="60" t="s">
        <v>1034</v>
      </c>
      <c r="D189" s="60" t="s">
        <v>998</v>
      </c>
      <c r="E189" s="146">
        <v>115516860</v>
      </c>
      <c r="F189" s="1" t="s">
        <v>827</v>
      </c>
      <c r="G189" s="1"/>
      <c r="H189" s="74" t="s">
        <v>1035</v>
      </c>
      <c r="I189" s="75" t="s">
        <v>245</v>
      </c>
      <c r="J189" s="74">
        <v>710907511</v>
      </c>
      <c r="K189" s="74" t="s">
        <v>246</v>
      </c>
      <c r="L189" s="60"/>
      <c r="M189" s="60"/>
      <c r="N189" s="60"/>
      <c r="O189" s="60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</row>
    <row r="190" spans="1:36" ht="12.75">
      <c r="A190" s="60" t="s">
        <v>1036</v>
      </c>
      <c r="B190" s="60"/>
      <c r="C190" s="60" t="s">
        <v>1037</v>
      </c>
      <c r="D190" s="60" t="s">
        <v>1038</v>
      </c>
      <c r="E190" s="194">
        <v>254718140367</v>
      </c>
      <c r="F190" s="1" t="s">
        <v>1039</v>
      </c>
      <c r="G190" s="1"/>
      <c r="H190" s="74" t="s">
        <v>1040</v>
      </c>
      <c r="I190" s="75" t="s">
        <v>218</v>
      </c>
      <c r="J190" s="74">
        <v>721285886</v>
      </c>
      <c r="K190" s="60" t="s">
        <v>1041</v>
      </c>
      <c r="L190" s="60"/>
      <c r="M190" s="60"/>
      <c r="N190" s="60"/>
      <c r="O190" s="60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</row>
    <row r="191" spans="1:36" ht="12.75">
      <c r="A191" s="60" t="s">
        <v>1036</v>
      </c>
      <c r="B191" s="60"/>
      <c r="C191" s="60" t="s">
        <v>1042</v>
      </c>
      <c r="D191" s="60" t="s">
        <v>402</v>
      </c>
      <c r="E191" s="146">
        <v>254718140367</v>
      </c>
      <c r="F191" s="1" t="s">
        <v>1043</v>
      </c>
      <c r="G191" s="1"/>
      <c r="H191" s="60" t="s">
        <v>1044</v>
      </c>
      <c r="I191" s="88" t="s">
        <v>218</v>
      </c>
      <c r="J191" s="60">
        <v>721285886</v>
      </c>
      <c r="K191" s="60" t="s">
        <v>1041</v>
      </c>
      <c r="L191" s="60"/>
      <c r="M191" s="60"/>
      <c r="N191" s="60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</row>
    <row r="192" spans="1:36" ht="12.75">
      <c r="A192" s="60" t="s">
        <v>1045</v>
      </c>
      <c r="B192" s="60"/>
      <c r="C192" s="60" t="s">
        <v>1046</v>
      </c>
      <c r="D192" s="60" t="s">
        <v>790</v>
      </c>
      <c r="E192" s="74">
        <v>748936784</v>
      </c>
      <c r="F192" s="60" t="s">
        <v>1047</v>
      </c>
      <c r="G192" s="60"/>
      <c r="H192" s="60" t="s">
        <v>1048</v>
      </c>
      <c r="I192" s="88" t="s">
        <v>1049</v>
      </c>
      <c r="J192" s="60">
        <v>25472066232</v>
      </c>
      <c r="K192" s="74" t="s">
        <v>1050</v>
      </c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</row>
    <row r="193" spans="1:36" ht="12.75">
      <c r="A193" s="60" t="s">
        <v>1051</v>
      </c>
      <c r="B193" s="60"/>
      <c r="C193" s="60" t="s">
        <v>1052</v>
      </c>
      <c r="D193" s="60" t="s">
        <v>1053</v>
      </c>
      <c r="E193" s="146">
        <v>748883793</v>
      </c>
      <c r="F193" s="1" t="s">
        <v>1054</v>
      </c>
      <c r="G193" s="1"/>
      <c r="H193" s="60" t="s">
        <v>1055</v>
      </c>
      <c r="I193" s="88" t="s">
        <v>1056</v>
      </c>
      <c r="J193" s="60">
        <v>711794957</v>
      </c>
      <c r="K193" s="60" t="s">
        <v>1057</v>
      </c>
      <c r="L193" s="60"/>
      <c r="M193" s="60"/>
      <c r="N193" s="60"/>
      <c r="O193" s="60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</row>
    <row r="194" spans="1:36" ht="12.75">
      <c r="A194" s="60" t="s">
        <v>1058</v>
      </c>
      <c r="B194" s="60"/>
      <c r="C194" s="60" t="s">
        <v>1059</v>
      </c>
      <c r="D194" s="60" t="s">
        <v>1060</v>
      </c>
      <c r="E194" s="146">
        <v>742766340</v>
      </c>
      <c r="F194" s="7" t="s">
        <v>1061</v>
      </c>
      <c r="G194" s="7"/>
      <c r="H194" s="74" t="s">
        <v>1062</v>
      </c>
      <c r="I194" s="84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</row>
    <row r="195" spans="1:36" ht="12.75">
      <c r="A195" s="60" t="s">
        <v>1063</v>
      </c>
      <c r="B195" s="60"/>
      <c r="C195" s="60" t="s">
        <v>1064</v>
      </c>
      <c r="D195" s="60" t="s">
        <v>266</v>
      </c>
      <c r="E195" s="146">
        <v>722101609</v>
      </c>
      <c r="F195" s="1" t="s">
        <v>1065</v>
      </c>
      <c r="G195" s="1"/>
      <c r="H195" s="60" t="s">
        <v>1066</v>
      </c>
      <c r="I195" s="75" t="s">
        <v>1067</v>
      </c>
      <c r="J195" s="60">
        <v>722897169</v>
      </c>
      <c r="K195" s="74" t="s">
        <v>1068</v>
      </c>
      <c r="L195" s="74"/>
      <c r="M195" s="74"/>
      <c r="N195" s="74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</row>
    <row r="196" spans="1:36" ht="12.75">
      <c r="A196" s="74" t="s">
        <v>1069</v>
      </c>
      <c r="B196" s="74"/>
      <c r="C196" s="74" t="s">
        <v>1070</v>
      </c>
      <c r="D196" s="74" t="s">
        <v>628</v>
      </c>
      <c r="E196" s="146" t="s">
        <v>0</v>
      </c>
      <c r="F196" s="7" t="s">
        <v>1071</v>
      </c>
      <c r="G196" s="7"/>
      <c r="H196" s="74" t="s">
        <v>762</v>
      </c>
      <c r="I196" s="75" t="s">
        <v>1072</v>
      </c>
      <c r="J196" s="74">
        <v>254723661676</v>
      </c>
      <c r="K196" s="74" t="s">
        <v>101</v>
      </c>
      <c r="L196" s="74"/>
      <c r="M196" s="74"/>
      <c r="N196" s="74"/>
      <c r="O196" s="74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</row>
    <row r="197" spans="1:36" ht="12.75">
      <c r="A197" s="74" t="s">
        <v>1069</v>
      </c>
      <c r="B197" s="74"/>
      <c r="C197" s="74" t="s">
        <v>1070</v>
      </c>
      <c r="D197" s="74" t="s">
        <v>628</v>
      </c>
      <c r="E197" s="194">
        <v>254758466097</v>
      </c>
      <c r="F197" s="7" t="s">
        <v>1071</v>
      </c>
      <c r="G197" s="7"/>
      <c r="H197" s="74" t="s">
        <v>762</v>
      </c>
      <c r="I197" s="75" t="s">
        <v>1072</v>
      </c>
      <c r="J197" s="74">
        <v>254723661676</v>
      </c>
      <c r="K197" s="74" t="s">
        <v>101</v>
      </c>
      <c r="L197" s="74"/>
      <c r="M197" s="74"/>
      <c r="N197" s="74"/>
      <c r="O197" s="74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</row>
    <row r="198" spans="1:36" ht="12.75">
      <c r="A198" s="74" t="s">
        <v>1073</v>
      </c>
      <c r="B198" s="74"/>
      <c r="C198" s="74" t="s">
        <v>1074</v>
      </c>
      <c r="D198" s="74" t="s">
        <v>83</v>
      </c>
      <c r="E198" s="146">
        <v>706387759</v>
      </c>
      <c r="F198" s="7" t="s">
        <v>1075</v>
      </c>
      <c r="G198" s="7"/>
      <c r="H198" s="74" t="s">
        <v>1076</v>
      </c>
      <c r="I198" s="75" t="s">
        <v>59</v>
      </c>
      <c r="J198" s="74">
        <v>703890895</v>
      </c>
      <c r="K198" s="74" t="s">
        <v>1077</v>
      </c>
      <c r="L198" s="74"/>
      <c r="M198" s="74"/>
      <c r="N198" s="74"/>
      <c r="O198" s="74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</row>
    <row r="199" spans="1:36" ht="12.75">
      <c r="A199" s="74" t="s">
        <v>1078</v>
      </c>
      <c r="B199" s="74"/>
      <c r="C199" s="74" t="s">
        <v>1079</v>
      </c>
      <c r="D199" s="74" t="s">
        <v>1080</v>
      </c>
      <c r="E199" s="146">
        <v>714300758</v>
      </c>
      <c r="F199" s="7" t="s">
        <v>1081</v>
      </c>
      <c r="G199" s="7"/>
      <c r="H199" s="74" t="s">
        <v>1082</v>
      </c>
      <c r="I199" s="75" t="s">
        <v>237</v>
      </c>
      <c r="J199" s="74">
        <v>254202214044</v>
      </c>
      <c r="K199" s="74" t="s">
        <v>1083</v>
      </c>
      <c r="L199" s="74"/>
      <c r="M199" s="74"/>
      <c r="N199" s="74"/>
      <c r="O199" s="74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</row>
    <row r="200" spans="1:36" ht="12.75">
      <c r="A200" s="74" t="s">
        <v>1084</v>
      </c>
      <c r="B200" s="74"/>
      <c r="C200" s="74"/>
      <c r="D200" s="74"/>
      <c r="E200" s="146"/>
      <c r="F200" s="7"/>
      <c r="G200" s="7"/>
      <c r="H200" s="74"/>
      <c r="I200" s="75"/>
      <c r="J200" s="74"/>
      <c r="K200" s="74"/>
      <c r="L200" s="74"/>
      <c r="M200" s="74"/>
      <c r="N200" s="74"/>
      <c r="O200" s="74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</row>
    <row r="201" spans="1:36" ht="12.75">
      <c r="A201" s="74" t="s">
        <v>1085</v>
      </c>
      <c r="B201" s="74"/>
      <c r="C201" s="74" t="s">
        <v>1086</v>
      </c>
      <c r="D201" s="74" t="s">
        <v>198</v>
      </c>
      <c r="E201" s="146">
        <v>717117819</v>
      </c>
      <c r="F201" s="9"/>
      <c r="G201" s="9"/>
      <c r="H201" s="76"/>
      <c r="I201" s="84"/>
      <c r="J201" s="76"/>
      <c r="K201" s="76"/>
      <c r="L201" s="74"/>
      <c r="M201" s="74"/>
      <c r="N201" s="74"/>
      <c r="O201" s="74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</row>
    <row r="202" spans="1:36" ht="12.75">
      <c r="A202" s="60" t="s">
        <v>1087</v>
      </c>
      <c r="B202" s="60"/>
      <c r="C202" s="60" t="s">
        <v>1088</v>
      </c>
      <c r="D202" s="60" t="s">
        <v>56</v>
      </c>
      <c r="E202" s="146">
        <v>254792790722</v>
      </c>
      <c r="F202" s="1" t="s">
        <v>1089</v>
      </c>
      <c r="G202" s="1"/>
      <c r="H202" s="60" t="s">
        <v>1090</v>
      </c>
      <c r="I202" s="75" t="s">
        <v>1091</v>
      </c>
      <c r="J202" s="74">
        <v>254742222224</v>
      </c>
      <c r="K202" s="74" t="s">
        <v>1092</v>
      </c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</row>
    <row r="203" spans="1:36" ht="12.75">
      <c r="A203" s="60" t="s">
        <v>1093</v>
      </c>
      <c r="B203" s="60"/>
      <c r="C203" s="60" t="s">
        <v>1094</v>
      </c>
      <c r="D203" s="60" t="s">
        <v>1095</v>
      </c>
      <c r="E203" s="146" t="s">
        <v>1096</v>
      </c>
      <c r="F203" s="1" t="s">
        <v>1097</v>
      </c>
      <c r="G203" s="1"/>
      <c r="H203" s="60" t="s">
        <v>1098</v>
      </c>
      <c r="I203" s="75" t="s">
        <v>1099</v>
      </c>
      <c r="J203" s="74" t="s">
        <v>1100</v>
      </c>
      <c r="K203" s="60" t="s">
        <v>1101</v>
      </c>
      <c r="L203" s="158"/>
      <c r="M203" s="158"/>
      <c r="N203" s="158"/>
      <c r="O203" s="158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</row>
    <row r="204" spans="1:36" ht="12.75">
      <c r="A204" s="159" t="s">
        <v>1102</v>
      </c>
      <c r="B204" s="159"/>
      <c r="C204" s="60" t="s">
        <v>1103</v>
      </c>
      <c r="D204" s="60" t="s">
        <v>227</v>
      </c>
      <c r="E204" s="146">
        <v>797561978</v>
      </c>
      <c r="F204" s="1" t="s">
        <v>862</v>
      </c>
      <c r="G204" s="1"/>
      <c r="H204" s="60" t="s">
        <v>1104</v>
      </c>
      <c r="I204" s="88" t="s">
        <v>218</v>
      </c>
      <c r="J204" s="76">
        <f>112784560</f>
        <v>112784560</v>
      </c>
      <c r="K204" s="159" t="s">
        <v>864</v>
      </c>
      <c r="L204" s="158"/>
      <c r="M204" s="158"/>
      <c r="N204" s="158"/>
      <c r="O204" s="158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</row>
    <row r="205" spans="1:36" ht="12.75">
      <c r="A205" s="60" t="s">
        <v>1105</v>
      </c>
      <c r="B205" s="60"/>
      <c r="C205" s="60" t="s">
        <v>1106</v>
      </c>
      <c r="D205" s="60" t="s">
        <v>71</v>
      </c>
      <c r="E205" s="146">
        <v>705241326</v>
      </c>
      <c r="F205" s="1" t="s">
        <v>1107</v>
      </c>
      <c r="G205" s="1"/>
      <c r="H205" s="74" t="s">
        <v>355</v>
      </c>
      <c r="I205" s="88" t="s">
        <v>14</v>
      </c>
      <c r="J205" s="74">
        <v>715364294</v>
      </c>
      <c r="K205" s="60" t="s">
        <v>105</v>
      </c>
      <c r="L205" s="158"/>
      <c r="M205" s="158"/>
      <c r="N205" s="158"/>
      <c r="O205" s="158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</row>
    <row r="206" spans="1:36" ht="12.75">
      <c r="A206" s="60" t="s">
        <v>1108</v>
      </c>
      <c r="B206" s="60"/>
      <c r="C206" s="60" t="s">
        <v>1109</v>
      </c>
      <c r="D206" s="60" t="s">
        <v>83</v>
      </c>
      <c r="E206" s="157">
        <v>115256304</v>
      </c>
      <c r="F206" s="1" t="s">
        <v>1110</v>
      </c>
      <c r="G206" s="1"/>
      <c r="H206" s="60" t="s">
        <v>1111</v>
      </c>
      <c r="I206" s="88" t="s">
        <v>1112</v>
      </c>
      <c r="J206" s="60">
        <v>702450696</v>
      </c>
      <c r="K206" s="60" t="s">
        <v>1113</v>
      </c>
      <c r="L206" s="60"/>
      <c r="M206" s="60"/>
    </row>
    <row r="207" spans="1:36" ht="12.75">
      <c r="A207" s="60" t="s">
        <v>1114</v>
      </c>
      <c r="B207" s="60"/>
      <c r="C207" s="60" t="s">
        <v>1115</v>
      </c>
      <c r="D207" s="159" t="s">
        <v>1116</v>
      </c>
      <c r="E207" s="146">
        <v>790454240</v>
      </c>
      <c r="F207" s="1" t="s">
        <v>1117</v>
      </c>
      <c r="G207" s="1"/>
      <c r="H207" s="60" t="s">
        <v>1118</v>
      </c>
      <c r="I207" s="88" t="s">
        <v>650</v>
      </c>
      <c r="J207" s="74">
        <v>723927833</v>
      </c>
      <c r="K207" s="60" t="s">
        <v>651</v>
      </c>
      <c r="L207" s="158"/>
      <c r="M207" s="158"/>
      <c r="N207" s="158"/>
      <c r="O207" s="158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</row>
    <row r="208" spans="1:36" ht="12.75">
      <c r="A208" s="60" t="s">
        <v>1119</v>
      </c>
      <c r="B208" s="60"/>
      <c r="C208" s="60" t="s">
        <v>1120</v>
      </c>
      <c r="D208" s="276" t="s">
        <v>337</v>
      </c>
      <c r="E208" s="146">
        <v>702853108</v>
      </c>
      <c r="F208" s="1" t="s">
        <v>1121</v>
      </c>
      <c r="G208" s="1"/>
      <c r="H208" s="60" t="s">
        <v>1122</v>
      </c>
      <c r="I208" s="88" t="s">
        <v>1123</v>
      </c>
      <c r="J208" s="60">
        <v>797146764</v>
      </c>
      <c r="K208" s="60" t="s">
        <v>1124</v>
      </c>
      <c r="L208" s="158"/>
      <c r="M208" s="158"/>
      <c r="N208" s="158"/>
      <c r="O208" s="158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</row>
    <row r="209" spans="1:36" ht="12.75">
      <c r="A209" s="60" t="s">
        <v>1125</v>
      </c>
      <c r="B209" s="60"/>
      <c r="C209" s="60" t="s">
        <v>1126</v>
      </c>
      <c r="D209" s="60" t="s">
        <v>1127</v>
      </c>
      <c r="E209" s="194">
        <f>254762481905</f>
        <v>254762481905</v>
      </c>
      <c r="F209" s="1" t="s">
        <v>342</v>
      </c>
      <c r="G209" s="1"/>
      <c r="H209" s="60" t="s">
        <v>343</v>
      </c>
      <c r="I209" s="88" t="s">
        <v>356</v>
      </c>
      <c r="J209" s="60">
        <v>715364294</v>
      </c>
      <c r="K209" s="60" t="s">
        <v>1128</v>
      </c>
      <c r="L209" s="158"/>
      <c r="M209" s="158"/>
      <c r="N209" s="158"/>
      <c r="O209" s="158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</row>
    <row r="210" spans="1:36" ht="12.75">
      <c r="A210" s="60" t="s">
        <v>1129</v>
      </c>
      <c r="B210" s="60"/>
      <c r="C210" s="60" t="s">
        <v>1130</v>
      </c>
      <c r="D210" s="60" t="s">
        <v>1131</v>
      </c>
      <c r="E210" s="146">
        <v>708747126</v>
      </c>
      <c r="F210" s="1" t="s">
        <v>1132</v>
      </c>
      <c r="G210" s="1"/>
      <c r="H210" s="60" t="s">
        <v>1133</v>
      </c>
      <c r="I210" s="88" t="s">
        <v>223</v>
      </c>
      <c r="J210" s="60">
        <v>7202582237</v>
      </c>
      <c r="K210" s="60" t="s">
        <v>180</v>
      </c>
      <c r="L210" s="158"/>
      <c r="M210" s="158"/>
      <c r="N210" s="158"/>
      <c r="O210" s="158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</row>
    <row r="211" spans="1:36" ht="12.75">
      <c r="A211" s="60" t="s">
        <v>1134</v>
      </c>
      <c r="B211" s="60"/>
      <c r="C211" s="60" t="s">
        <v>1135</v>
      </c>
      <c r="D211" s="60" t="s">
        <v>78</v>
      </c>
      <c r="E211" s="146">
        <v>254740295246</v>
      </c>
      <c r="F211" s="1" t="s">
        <v>1136</v>
      </c>
      <c r="G211" s="1"/>
      <c r="H211" s="60" t="s">
        <v>1137</v>
      </c>
      <c r="I211" s="88" t="s">
        <v>218</v>
      </c>
      <c r="J211" s="60">
        <v>254770534969</v>
      </c>
      <c r="L211" s="158"/>
      <c r="M211" s="158"/>
      <c r="N211" s="158"/>
      <c r="O211" s="158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</row>
    <row r="212" spans="1:36" ht="12.75">
      <c r="A212" s="60" t="s">
        <v>1138</v>
      </c>
      <c r="B212" s="60"/>
      <c r="C212" s="60" t="s">
        <v>1139</v>
      </c>
      <c r="D212" s="60" t="s">
        <v>430</v>
      </c>
      <c r="E212" s="146">
        <v>254708770426</v>
      </c>
      <c r="F212" s="1" t="s">
        <v>98</v>
      </c>
      <c r="G212" s="1"/>
      <c r="H212" s="60" t="s">
        <v>99</v>
      </c>
      <c r="I212" s="88" t="s">
        <v>100</v>
      </c>
      <c r="J212" s="60">
        <v>254758722020</v>
      </c>
      <c r="K212" s="60" t="s">
        <v>101</v>
      </c>
      <c r="L212" s="158"/>
      <c r="M212" s="158"/>
      <c r="N212" s="158"/>
      <c r="O212" s="158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</row>
    <row r="213" spans="1:36" ht="12.75">
      <c r="A213" s="277" t="s">
        <v>1140</v>
      </c>
      <c r="B213" s="277"/>
      <c r="C213" s="159" t="s">
        <v>1141</v>
      </c>
      <c r="D213" s="159" t="s">
        <v>1142</v>
      </c>
      <c r="E213" s="74" t="s">
        <v>1143</v>
      </c>
      <c r="F213" s="1" t="s">
        <v>1144</v>
      </c>
      <c r="G213" s="1"/>
      <c r="H213" s="60" t="s">
        <v>1145</v>
      </c>
      <c r="I213" s="88" t="s">
        <v>1146</v>
      </c>
      <c r="J213" s="60" t="s">
        <v>1147</v>
      </c>
      <c r="K213" s="60" t="s">
        <v>1148</v>
      </c>
      <c r="L213" s="158"/>
      <c r="M213" s="158"/>
      <c r="N213" s="158"/>
      <c r="O213" s="158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</row>
    <row r="214" spans="1:36" ht="12.75">
      <c r="A214" s="60" t="s">
        <v>1149</v>
      </c>
      <c r="B214" s="60"/>
      <c r="C214" s="60" t="s">
        <v>1150</v>
      </c>
      <c r="D214" s="60" t="s">
        <v>1151</v>
      </c>
      <c r="E214" s="146">
        <v>700779642</v>
      </c>
      <c r="F214" s="1" t="s">
        <v>1152</v>
      </c>
      <c r="G214" s="1"/>
      <c r="H214" s="60" t="s">
        <v>1153</v>
      </c>
      <c r="I214" s="88" t="s">
        <v>1154</v>
      </c>
      <c r="J214" s="60">
        <v>713101289</v>
      </c>
      <c r="K214" s="60" t="s">
        <v>1155</v>
      </c>
      <c r="L214" s="162"/>
      <c r="M214" s="162"/>
      <c r="N214" s="162"/>
      <c r="O214" s="158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</row>
    <row r="215" spans="1:36" ht="12.75">
      <c r="A215" s="60" t="s">
        <v>1156</v>
      </c>
      <c r="B215" s="60"/>
      <c r="C215" s="60" t="s">
        <v>1157</v>
      </c>
      <c r="D215" s="60" t="s">
        <v>1158</v>
      </c>
      <c r="E215" s="146" t="s">
        <v>1159</v>
      </c>
      <c r="F215" s="1" t="s">
        <v>1160</v>
      </c>
      <c r="G215" s="1"/>
      <c r="H215" s="60" t="s">
        <v>80</v>
      </c>
      <c r="I215" s="88" t="s">
        <v>100</v>
      </c>
      <c r="J215" s="60" t="s">
        <v>1161</v>
      </c>
      <c r="K215" s="60" t="s">
        <v>1101</v>
      </c>
      <c r="L215" s="158"/>
      <c r="M215" s="158"/>
      <c r="N215" s="158"/>
      <c r="O215" s="158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</row>
    <row r="216" spans="1:36" ht="25.5">
      <c r="A216" s="159" t="s">
        <v>1162</v>
      </c>
      <c r="B216" s="159"/>
      <c r="C216" s="159" t="s">
        <v>1163</v>
      </c>
      <c r="D216" s="159" t="s">
        <v>1116</v>
      </c>
      <c r="E216" s="262">
        <v>115605859</v>
      </c>
      <c r="F216" s="1" t="s">
        <v>1164</v>
      </c>
      <c r="G216" s="1"/>
      <c r="H216" s="60" t="s">
        <v>1165</v>
      </c>
      <c r="I216" s="88" t="s">
        <v>1166</v>
      </c>
      <c r="J216" s="60">
        <v>717627108</v>
      </c>
      <c r="K216" s="163" t="s">
        <v>526</v>
      </c>
      <c r="L216" s="158"/>
      <c r="M216" s="158"/>
      <c r="N216" s="158"/>
      <c r="O216" s="158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</row>
    <row r="217" spans="1:36" ht="12.75">
      <c r="A217" s="60" t="s">
        <v>1167</v>
      </c>
      <c r="B217" s="60"/>
      <c r="C217" s="60" t="s">
        <v>1168</v>
      </c>
      <c r="D217" s="60" t="s">
        <v>1116</v>
      </c>
      <c r="E217" s="146">
        <v>707286414</v>
      </c>
      <c r="F217" s="1" t="s">
        <v>1169</v>
      </c>
      <c r="G217" s="1"/>
      <c r="H217" s="74" t="s">
        <v>1170</v>
      </c>
      <c r="I217" s="88" t="s">
        <v>1171</v>
      </c>
      <c r="J217" s="60">
        <v>733697998</v>
      </c>
      <c r="K217" s="60" t="s">
        <v>1172</v>
      </c>
      <c r="L217" s="158"/>
      <c r="M217" s="158"/>
      <c r="N217" s="158"/>
      <c r="O217" s="158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</row>
    <row r="218" spans="1:36" ht="12.75">
      <c r="A218" s="60" t="s">
        <v>1173</v>
      </c>
      <c r="B218" s="60"/>
      <c r="C218" s="60" t="s">
        <v>1174</v>
      </c>
      <c r="D218" s="60" t="s">
        <v>266</v>
      </c>
      <c r="E218" s="146">
        <v>721861621</v>
      </c>
      <c r="F218" s="1" t="s">
        <v>1175</v>
      </c>
      <c r="G218" s="1"/>
      <c r="H218" s="74" t="s">
        <v>1176</v>
      </c>
      <c r="I218" s="88" t="s">
        <v>1177</v>
      </c>
      <c r="J218" s="60">
        <v>254202606500</v>
      </c>
      <c r="K218" s="60" t="s">
        <v>1178</v>
      </c>
      <c r="L218" s="158"/>
      <c r="M218" s="158"/>
      <c r="N218" s="158"/>
      <c r="O218" s="158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</row>
    <row r="219" spans="1:36" ht="12.75">
      <c r="A219" s="60" t="s">
        <v>1179</v>
      </c>
      <c r="B219" s="60"/>
      <c r="C219" s="60" t="s">
        <v>1180</v>
      </c>
      <c r="D219" s="96" t="s">
        <v>227</v>
      </c>
      <c r="E219" s="194">
        <f>254728708806</f>
        <v>254728708806</v>
      </c>
      <c r="F219" s="1" t="s">
        <v>1181</v>
      </c>
      <c r="G219" s="1"/>
      <c r="H219" s="76"/>
      <c r="I219" s="88" t="s">
        <v>1166</v>
      </c>
      <c r="J219" s="60">
        <v>716600116</v>
      </c>
      <c r="K219" s="60" t="s">
        <v>1182</v>
      </c>
      <c r="L219" s="158"/>
      <c r="M219" s="158"/>
      <c r="N219" s="158"/>
      <c r="O219" s="158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</row>
    <row r="220" spans="1:36" ht="12.75">
      <c r="A220" s="74" t="s">
        <v>1183</v>
      </c>
      <c r="B220" s="74"/>
      <c r="C220" s="74" t="s">
        <v>1184</v>
      </c>
      <c r="D220" s="74" t="s">
        <v>1116</v>
      </c>
      <c r="E220" s="74">
        <v>112918838</v>
      </c>
      <c r="F220" s="7" t="s">
        <v>1185</v>
      </c>
      <c r="G220" s="7"/>
      <c r="H220" s="74" t="s">
        <v>1186</v>
      </c>
      <c r="I220" s="75" t="s">
        <v>218</v>
      </c>
      <c r="J220" s="76"/>
      <c r="K220" s="76"/>
      <c r="L220" s="74"/>
      <c r="M220" s="74"/>
      <c r="N220" s="74"/>
      <c r="O220" s="74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</row>
    <row r="221" spans="1:36" ht="12.75">
      <c r="A221" s="74" t="s">
        <v>1187</v>
      </c>
      <c r="B221" s="74"/>
      <c r="C221" s="74" t="s">
        <v>1188</v>
      </c>
      <c r="D221" s="74" t="s">
        <v>148</v>
      </c>
      <c r="E221" s="194"/>
      <c r="F221" s="9"/>
      <c r="G221" s="9"/>
      <c r="H221" s="76"/>
      <c r="I221" s="84"/>
      <c r="J221" s="76"/>
      <c r="K221" s="76"/>
      <c r="L221" s="74"/>
      <c r="M221" s="74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</row>
    <row r="222" spans="1:36" ht="12.75">
      <c r="A222" s="74" t="s">
        <v>1189</v>
      </c>
      <c r="B222" s="74"/>
      <c r="C222" s="74" t="s">
        <v>1190</v>
      </c>
      <c r="D222" s="74" t="s">
        <v>596</v>
      </c>
      <c r="E222" s="30">
        <v>769320325</v>
      </c>
      <c r="F222" s="7" t="s">
        <v>597</v>
      </c>
      <c r="G222" s="7"/>
      <c r="H222" s="74" t="s">
        <v>598</v>
      </c>
      <c r="I222" s="75" t="s">
        <v>599</v>
      </c>
      <c r="J222" s="74" t="s">
        <v>600</v>
      </c>
      <c r="K222" s="74" t="s">
        <v>601</v>
      </c>
      <c r="L222" s="74"/>
      <c r="M222" s="74"/>
      <c r="N222" s="74"/>
      <c r="O222" s="74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</row>
    <row r="223" spans="1:36" ht="12.75">
      <c r="A223" s="74" t="s">
        <v>1191</v>
      </c>
      <c r="B223" s="74"/>
      <c r="C223" s="74" t="s">
        <v>1192</v>
      </c>
      <c r="D223" s="74" t="s">
        <v>78</v>
      </c>
      <c r="E223" s="146">
        <v>729014842</v>
      </c>
      <c r="F223" s="7" t="s">
        <v>1193</v>
      </c>
      <c r="G223" s="7"/>
      <c r="H223" s="74" t="s">
        <v>1194</v>
      </c>
      <c r="I223" s="75" t="s">
        <v>1195</v>
      </c>
      <c r="J223" s="74">
        <v>730882000</v>
      </c>
      <c r="K223" s="74" t="s">
        <v>1101</v>
      </c>
      <c r="L223" s="74"/>
      <c r="M223" s="74"/>
      <c r="N223" s="74"/>
      <c r="O223" s="74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</row>
    <row r="224" spans="1:36" ht="12.75">
      <c r="A224" s="278" t="s">
        <v>1196</v>
      </c>
      <c r="B224" s="278"/>
      <c r="C224" s="74" t="s">
        <v>1197</v>
      </c>
      <c r="D224" s="74" t="s">
        <v>1142</v>
      </c>
      <c r="E224" s="146">
        <v>254737463052</v>
      </c>
      <c r="F224" s="7" t="s">
        <v>1198</v>
      </c>
      <c r="G224" s="7"/>
      <c r="H224" s="74" t="s">
        <v>1199</v>
      </c>
      <c r="I224" s="75" t="s">
        <v>237</v>
      </c>
      <c r="J224" s="74" t="s">
        <v>1200</v>
      </c>
      <c r="K224" s="74" t="s">
        <v>1201</v>
      </c>
      <c r="L224" s="74"/>
      <c r="M224" s="74"/>
      <c r="N224" s="74"/>
      <c r="O224" s="74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</row>
    <row r="225" spans="1:36" ht="12.75">
      <c r="A225" s="74" t="s">
        <v>1202</v>
      </c>
      <c r="B225" s="74"/>
      <c r="C225" s="74" t="s">
        <v>1203</v>
      </c>
      <c r="D225" s="74" t="s">
        <v>233</v>
      </c>
      <c r="E225" s="146">
        <v>254793644542</v>
      </c>
      <c r="F225" s="7" t="s">
        <v>1204</v>
      </c>
      <c r="G225" s="7"/>
      <c r="H225" s="74" t="s">
        <v>1205</v>
      </c>
      <c r="I225" s="75" t="s">
        <v>1206</v>
      </c>
      <c r="J225" s="74"/>
      <c r="K225" s="74"/>
      <c r="L225" s="74"/>
      <c r="M225" s="74"/>
      <c r="N225" s="74"/>
      <c r="O225" s="74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</row>
    <row r="226" spans="1:36" ht="12.75">
      <c r="A226" s="74" t="s">
        <v>1207</v>
      </c>
      <c r="B226" s="74"/>
      <c r="C226" s="74" t="s">
        <v>1208</v>
      </c>
      <c r="D226" s="74" t="s">
        <v>1209</v>
      </c>
      <c r="E226" s="146">
        <v>707288967</v>
      </c>
      <c r="F226" s="7" t="s">
        <v>1210</v>
      </c>
      <c r="G226" s="7"/>
      <c r="H226" s="74" t="s">
        <v>1211</v>
      </c>
      <c r="I226" s="75" t="s">
        <v>218</v>
      </c>
      <c r="J226" s="74">
        <v>254726129900</v>
      </c>
      <c r="K226" s="74" t="s">
        <v>1212</v>
      </c>
      <c r="L226" s="74"/>
      <c r="M226" s="74"/>
      <c r="N226" s="74"/>
      <c r="O226" s="74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</row>
    <row r="227" spans="1:36" ht="12.75">
      <c r="A227" s="74" t="s">
        <v>1207</v>
      </c>
      <c r="B227" s="74"/>
      <c r="C227" s="74" t="s">
        <v>1208</v>
      </c>
      <c r="D227" s="60" t="s">
        <v>1209</v>
      </c>
      <c r="E227" s="146">
        <v>707288967</v>
      </c>
      <c r="F227" s="7" t="s">
        <v>1210</v>
      </c>
      <c r="G227" s="7"/>
      <c r="H227" s="74" t="s">
        <v>1213</v>
      </c>
      <c r="I227" s="75" t="s">
        <v>218</v>
      </c>
      <c r="J227" s="74">
        <v>202728348</v>
      </c>
      <c r="K227" s="76"/>
      <c r="L227" s="74"/>
      <c r="M227" s="74"/>
      <c r="N227" s="74"/>
      <c r="O227" s="74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</row>
    <row r="228" spans="1:36" ht="12.75">
      <c r="A228" s="74" t="s">
        <v>1214</v>
      </c>
      <c r="B228" s="74"/>
      <c r="C228" s="74" t="s">
        <v>1215</v>
      </c>
      <c r="D228" s="74" t="s">
        <v>83</v>
      </c>
      <c r="E228" s="146">
        <f>254710852527</f>
        <v>254710852527</v>
      </c>
      <c r="F228" s="7" t="s">
        <v>1216</v>
      </c>
      <c r="G228" s="7"/>
      <c r="H228" s="74" t="s">
        <v>1217</v>
      </c>
      <c r="I228" s="75" t="s">
        <v>1218</v>
      </c>
      <c r="J228" s="74">
        <v>205000000</v>
      </c>
      <c r="K228" s="74" t="s">
        <v>1219</v>
      </c>
      <c r="L228" s="74"/>
      <c r="M228" s="74"/>
      <c r="N228" s="74"/>
      <c r="O228" s="74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</row>
    <row r="229" spans="1:36" ht="12.75">
      <c r="A229" s="74" t="s">
        <v>1220</v>
      </c>
      <c r="B229" s="74"/>
      <c r="C229" s="74" t="s">
        <v>1221</v>
      </c>
      <c r="D229" s="74" t="s">
        <v>1222</v>
      </c>
      <c r="E229" s="146">
        <v>700656463</v>
      </c>
      <c r="F229" s="7" t="s">
        <v>1223</v>
      </c>
      <c r="G229" s="7"/>
      <c r="H229" s="74" t="s">
        <v>1224</v>
      </c>
      <c r="I229" s="75" t="s">
        <v>1225</v>
      </c>
      <c r="J229" s="74">
        <v>746668190</v>
      </c>
      <c r="K229" s="74" t="s">
        <v>1226</v>
      </c>
      <c r="L229" s="74"/>
      <c r="M229" s="74"/>
      <c r="N229" s="74"/>
      <c r="O229" s="74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</row>
    <row r="230" spans="1:36" ht="12.75">
      <c r="A230" s="269" t="s">
        <v>1227</v>
      </c>
      <c r="B230" s="269"/>
      <c r="C230" s="264" t="s">
        <v>206</v>
      </c>
      <c r="D230" s="264" t="s">
        <v>529</v>
      </c>
      <c r="E230" s="262">
        <v>742057152</v>
      </c>
      <c r="F230" s="7" t="s">
        <v>1228</v>
      </c>
      <c r="G230" s="7"/>
      <c r="H230" s="74" t="s">
        <v>1229</v>
      </c>
      <c r="I230" s="75" t="s">
        <v>1230</v>
      </c>
      <c r="J230" s="74">
        <f>254710816305</f>
        <v>254710816305</v>
      </c>
      <c r="K230" s="74" t="s">
        <v>1231</v>
      </c>
      <c r="L230" s="74"/>
      <c r="M230" s="74"/>
      <c r="N230" s="74"/>
      <c r="O230" s="74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</row>
    <row r="231" spans="1:36" ht="12.75">
      <c r="A231" s="74" t="s">
        <v>1232</v>
      </c>
      <c r="B231" s="74"/>
      <c r="C231" s="74" t="s">
        <v>1233</v>
      </c>
      <c r="D231" s="74" t="s">
        <v>1234</v>
      </c>
      <c r="E231" s="146">
        <v>798952035</v>
      </c>
      <c r="F231" s="7" t="s">
        <v>975</v>
      </c>
      <c r="G231" s="7"/>
      <c r="H231" s="76"/>
      <c r="I231" s="84"/>
      <c r="J231" s="76"/>
      <c r="K231" s="76"/>
      <c r="L231" s="74"/>
      <c r="M231" s="74"/>
      <c r="N231" s="74"/>
      <c r="O231" s="74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</row>
    <row r="232" spans="1:36" ht="12.75">
      <c r="A232" s="74" t="s">
        <v>1235</v>
      </c>
      <c r="B232" s="74"/>
      <c r="C232" s="74" t="s">
        <v>1236</v>
      </c>
      <c r="D232" s="74" t="s">
        <v>78</v>
      </c>
      <c r="E232" s="146">
        <v>113105177</v>
      </c>
      <c r="F232" s="7" t="s">
        <v>1237</v>
      </c>
      <c r="G232" s="7"/>
      <c r="H232" s="74" t="s">
        <v>1238</v>
      </c>
      <c r="I232" s="75" t="s">
        <v>1239</v>
      </c>
      <c r="J232" s="74">
        <v>7255559329</v>
      </c>
      <c r="K232" s="74" t="s">
        <v>1240</v>
      </c>
      <c r="L232" s="74"/>
      <c r="M232" s="74"/>
      <c r="N232" s="74"/>
      <c r="O232" s="74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</row>
    <row r="233" spans="1:36" ht="12.75">
      <c r="A233" s="74" t="s">
        <v>1241</v>
      </c>
      <c r="B233" s="74"/>
      <c r="C233" s="74" t="s">
        <v>1242</v>
      </c>
      <c r="D233" s="74" t="s">
        <v>306</v>
      </c>
      <c r="E233" s="146">
        <v>797848559</v>
      </c>
      <c r="F233" s="7" t="s">
        <v>1243</v>
      </c>
      <c r="G233" s="7"/>
      <c r="H233" s="74" t="s">
        <v>1244</v>
      </c>
      <c r="I233" s="75" t="s">
        <v>1245</v>
      </c>
      <c r="J233" s="74" t="s">
        <v>1246</v>
      </c>
      <c r="K233" s="74" t="s">
        <v>1247</v>
      </c>
      <c r="L233" s="74"/>
      <c r="M233" s="74"/>
      <c r="N233" s="74"/>
      <c r="O233" s="74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</row>
    <row r="234" spans="1:36" ht="15">
      <c r="A234" s="120" t="s">
        <v>1248</v>
      </c>
      <c r="B234" s="120"/>
      <c r="C234" s="74" t="s">
        <v>1249</v>
      </c>
      <c r="D234" s="74" t="s">
        <v>78</v>
      </c>
      <c r="E234" s="146">
        <v>758060462</v>
      </c>
      <c r="F234" s="7" t="s">
        <v>1250</v>
      </c>
      <c r="G234" s="7"/>
      <c r="H234" s="74" t="s">
        <v>1251</v>
      </c>
      <c r="I234" s="75" t="s">
        <v>1252</v>
      </c>
      <c r="J234" s="60">
        <v>721520060</v>
      </c>
      <c r="K234" s="60" t="s">
        <v>1253</v>
      </c>
      <c r="L234" s="166"/>
      <c r="M234" s="166"/>
      <c r="N234" s="166"/>
      <c r="O234" s="167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</row>
    <row r="235" spans="1:36" ht="15">
      <c r="A235" s="74" t="s">
        <v>1254</v>
      </c>
      <c r="B235" s="74"/>
      <c r="C235" s="74" t="s">
        <v>1255</v>
      </c>
      <c r="D235" s="74" t="s">
        <v>1038</v>
      </c>
      <c r="E235" s="146">
        <v>707927195</v>
      </c>
      <c r="F235" s="7" t="s">
        <v>1256</v>
      </c>
      <c r="G235" s="1"/>
      <c r="H235" s="60" t="s">
        <v>1257</v>
      </c>
      <c r="I235" s="75" t="s">
        <v>100</v>
      </c>
      <c r="J235" s="60">
        <v>700144953</v>
      </c>
      <c r="K235" s="60" t="s">
        <v>1258</v>
      </c>
      <c r="L235" s="167"/>
      <c r="M235" s="167"/>
      <c r="N235" s="167"/>
      <c r="O235" s="167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</row>
    <row r="236" spans="1:36" ht="12.75">
      <c r="A236" s="74" t="s">
        <v>1259</v>
      </c>
      <c r="B236" s="74"/>
      <c r="C236" s="74" t="s">
        <v>1260</v>
      </c>
      <c r="D236" s="263" t="s">
        <v>1261</v>
      </c>
      <c r="E236" s="146">
        <v>701566448</v>
      </c>
      <c r="F236" s="7" t="s">
        <v>1262</v>
      </c>
      <c r="G236" s="7"/>
      <c r="H236" s="76"/>
      <c r="I236" s="75" t="s">
        <v>1263</v>
      </c>
      <c r="J236" s="76"/>
      <c r="K236" s="76"/>
      <c r="L236" s="74"/>
      <c r="M236" s="74"/>
      <c r="N236" s="74"/>
      <c r="O236" s="74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</row>
    <row r="237" spans="1:36" ht="12.75">
      <c r="A237" s="74" t="s">
        <v>1264</v>
      </c>
      <c r="B237" s="74"/>
      <c r="C237" s="74" t="s">
        <v>1265</v>
      </c>
      <c r="D237" s="74" t="s">
        <v>425</v>
      </c>
      <c r="E237" s="194"/>
      <c r="F237" s="74" t="s">
        <v>1266</v>
      </c>
      <c r="G237" s="74"/>
      <c r="H237" s="74" t="s">
        <v>1267</v>
      </c>
      <c r="I237" s="75" t="s">
        <v>218</v>
      </c>
      <c r="J237" s="74">
        <v>254115800123</v>
      </c>
      <c r="K237" s="76"/>
      <c r="L237" s="74"/>
      <c r="M237" s="74"/>
      <c r="N237" s="74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</row>
    <row r="238" spans="1:36" ht="12.75">
      <c r="A238" s="103" t="s">
        <v>1264</v>
      </c>
      <c r="B238" s="103"/>
      <c r="C238" s="103" t="s">
        <v>1265</v>
      </c>
      <c r="D238" s="103" t="s">
        <v>425</v>
      </c>
      <c r="E238" s="194"/>
      <c r="F238" s="169" t="s">
        <v>1266</v>
      </c>
      <c r="G238" s="169"/>
      <c r="H238" s="76"/>
      <c r="I238" s="109" t="s">
        <v>218</v>
      </c>
      <c r="J238" s="76"/>
      <c r="K238" s="103" t="s">
        <v>1267</v>
      </c>
      <c r="L238" s="74"/>
      <c r="M238" s="74"/>
      <c r="N238" s="74"/>
      <c r="O238" s="74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</row>
    <row r="239" spans="1:36" ht="12.75">
      <c r="A239" s="74" t="s">
        <v>1268</v>
      </c>
      <c r="B239" s="74"/>
      <c r="C239" s="74" t="s">
        <v>1269</v>
      </c>
      <c r="D239" s="74" t="s">
        <v>1270</v>
      </c>
      <c r="E239" s="146">
        <v>718760331</v>
      </c>
      <c r="F239" s="7" t="s">
        <v>1271</v>
      </c>
      <c r="G239" s="7"/>
      <c r="H239" s="74" t="s">
        <v>1272</v>
      </c>
      <c r="I239" s="75" t="s">
        <v>1273</v>
      </c>
      <c r="J239" s="74">
        <v>724253962</v>
      </c>
      <c r="K239" s="74" t="s">
        <v>1274</v>
      </c>
      <c r="L239" s="74"/>
      <c r="M239" s="74"/>
      <c r="N239" s="74"/>
      <c r="O239" s="74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</row>
    <row r="240" spans="1:36" ht="12.75">
      <c r="A240" s="74" t="s">
        <v>1275</v>
      </c>
      <c r="B240" s="74"/>
      <c r="C240" s="74" t="s">
        <v>1276</v>
      </c>
      <c r="D240" s="74" t="s">
        <v>24</v>
      </c>
      <c r="E240" s="146">
        <v>254114460268</v>
      </c>
      <c r="F240" s="7" t="s">
        <v>1277</v>
      </c>
      <c r="G240" s="7"/>
      <c r="H240" s="74" t="s">
        <v>1278</v>
      </c>
      <c r="I240" s="75" t="s">
        <v>983</v>
      </c>
      <c r="J240" s="74">
        <v>254740031031</v>
      </c>
      <c r="K240" s="74" t="s">
        <v>1279</v>
      </c>
      <c r="L240" s="74"/>
      <c r="M240" s="74"/>
      <c r="N240" s="74"/>
      <c r="O240" s="74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</row>
    <row r="241" spans="1:36" ht="12.75">
      <c r="A241" s="74" t="s">
        <v>1280</v>
      </c>
      <c r="B241" s="74"/>
      <c r="C241" s="74" t="s">
        <v>1281</v>
      </c>
      <c r="D241" s="74" t="s">
        <v>1282</v>
      </c>
      <c r="E241" s="146">
        <v>798667360</v>
      </c>
      <c r="F241" s="7" t="s">
        <v>1283</v>
      </c>
      <c r="G241" s="7"/>
      <c r="H241" s="74" t="s">
        <v>1284</v>
      </c>
      <c r="I241" s="75" t="s">
        <v>237</v>
      </c>
      <c r="J241" s="74">
        <v>717503797</v>
      </c>
      <c r="K241" s="74" t="s">
        <v>1285</v>
      </c>
      <c r="L241" s="74"/>
      <c r="M241" s="74"/>
      <c r="N241" s="74"/>
      <c r="O241" s="74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</row>
    <row r="242" spans="1:36" ht="12.75">
      <c r="A242" s="74" t="s">
        <v>1286</v>
      </c>
      <c r="B242" s="74"/>
      <c r="C242" s="74" t="s">
        <v>1287</v>
      </c>
      <c r="D242" s="74" t="s">
        <v>273</v>
      </c>
      <c r="E242" s="74">
        <v>758230357</v>
      </c>
      <c r="F242" s="74" t="s">
        <v>1288</v>
      </c>
      <c r="G242" s="74"/>
      <c r="H242" s="74" t="s">
        <v>1289</v>
      </c>
      <c r="I242" s="75" t="s">
        <v>1290</v>
      </c>
      <c r="J242" s="74">
        <v>700697568</v>
      </c>
      <c r="K242" s="74" t="s">
        <v>1291</v>
      </c>
      <c r="L242" s="74"/>
      <c r="M242" s="74"/>
      <c r="N242" s="74"/>
      <c r="O242" s="74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</row>
    <row r="243" spans="1:36" ht="12.75">
      <c r="A243" s="74" t="s">
        <v>1292</v>
      </c>
      <c r="B243" s="74"/>
      <c r="C243" s="74" t="s">
        <v>1293</v>
      </c>
      <c r="D243" s="74" t="s">
        <v>341</v>
      </c>
      <c r="E243" s="146">
        <v>254757966993</v>
      </c>
      <c r="F243" s="7" t="s">
        <v>1294</v>
      </c>
      <c r="G243" s="7"/>
      <c r="H243" s="74" t="s">
        <v>1295</v>
      </c>
      <c r="I243" s="75" t="s">
        <v>732</v>
      </c>
      <c r="J243" s="74">
        <v>254217550460</v>
      </c>
      <c r="K243" s="74" t="s">
        <v>1296</v>
      </c>
      <c r="L243" s="74"/>
      <c r="M243" s="74"/>
      <c r="N243" s="74"/>
      <c r="O243" s="74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</row>
    <row r="244" spans="1:36" ht="12.75">
      <c r="A244" s="74" t="s">
        <v>1297</v>
      </c>
      <c r="B244" s="74"/>
      <c r="C244" s="74" t="s">
        <v>1298</v>
      </c>
      <c r="D244" s="60" t="s">
        <v>1299</v>
      </c>
      <c r="E244" s="146">
        <v>719255861</v>
      </c>
      <c r="F244" s="7" t="s">
        <v>1300</v>
      </c>
      <c r="G244" s="7"/>
      <c r="H244" s="74" t="s">
        <v>1301</v>
      </c>
      <c r="I244" s="75" t="s">
        <v>1302</v>
      </c>
      <c r="J244" s="74">
        <v>721756811</v>
      </c>
      <c r="K244" s="74" t="s">
        <v>1303</v>
      </c>
      <c r="L244" s="74"/>
      <c r="M244" s="74"/>
      <c r="N244" s="74"/>
      <c r="O244" s="74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</row>
    <row r="245" spans="1:36" ht="12.75">
      <c r="A245" s="74" t="s">
        <v>1304</v>
      </c>
      <c r="B245" s="74"/>
      <c r="C245" s="74" t="s">
        <v>1305</v>
      </c>
      <c r="D245" s="74" t="s">
        <v>62</v>
      </c>
      <c r="E245" s="146">
        <v>769215770</v>
      </c>
      <c r="F245" s="7" t="s">
        <v>1306</v>
      </c>
      <c r="G245" s="7"/>
      <c r="H245" s="74" t="s">
        <v>1307</v>
      </c>
      <c r="I245" s="75" t="s">
        <v>1308</v>
      </c>
      <c r="J245" s="74">
        <v>700649061</v>
      </c>
      <c r="K245" s="74" t="s">
        <v>1309</v>
      </c>
      <c r="L245" s="74"/>
      <c r="M245" s="74"/>
      <c r="N245" s="74"/>
      <c r="O245" s="74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</row>
    <row r="246" spans="1:36" ht="12.75">
      <c r="A246" s="74" t="s">
        <v>1310</v>
      </c>
      <c r="B246" s="74"/>
      <c r="C246" s="74" t="s">
        <v>1311</v>
      </c>
      <c r="D246" s="74" t="s">
        <v>1312</v>
      </c>
      <c r="E246" s="146">
        <v>254705197012</v>
      </c>
      <c r="F246" s="7" t="s">
        <v>1313</v>
      </c>
      <c r="G246" s="7"/>
      <c r="H246" s="74" t="s">
        <v>1314</v>
      </c>
      <c r="I246" s="75" t="s">
        <v>1315</v>
      </c>
      <c r="J246" s="74">
        <v>254723669945</v>
      </c>
      <c r="K246" s="74" t="s">
        <v>1316</v>
      </c>
      <c r="L246" s="74"/>
      <c r="M246" s="74"/>
      <c r="N246" s="74"/>
      <c r="O246" s="74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</row>
    <row r="247" spans="1:36" ht="12.75">
      <c r="A247" s="60" t="s">
        <v>1317</v>
      </c>
      <c r="B247" s="60"/>
      <c r="C247" s="74" t="s">
        <v>1318</v>
      </c>
      <c r="D247" s="74" t="s">
        <v>183</v>
      </c>
      <c r="E247" s="146">
        <v>794566102</v>
      </c>
      <c r="F247" s="7" t="s">
        <v>987</v>
      </c>
      <c r="G247" s="7"/>
      <c r="H247" s="74" t="s">
        <v>988</v>
      </c>
      <c r="I247" s="75" t="s">
        <v>989</v>
      </c>
      <c r="J247" s="74">
        <v>725760657</v>
      </c>
      <c r="K247" s="74" t="s">
        <v>990</v>
      </c>
      <c r="L247" s="74"/>
      <c r="M247" s="74"/>
      <c r="N247" s="74"/>
      <c r="O247" s="74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</row>
    <row r="248" spans="1:36" ht="12.75">
      <c r="A248" s="74" t="s">
        <v>1319</v>
      </c>
      <c r="B248" s="74"/>
      <c r="C248" s="74" t="s">
        <v>1320</v>
      </c>
      <c r="D248" s="74" t="s">
        <v>1222</v>
      </c>
      <c r="E248" s="146">
        <v>743511353</v>
      </c>
      <c r="F248" s="7" t="s">
        <v>1321</v>
      </c>
      <c r="G248" s="7"/>
      <c r="H248" s="74" t="s">
        <v>1322</v>
      </c>
      <c r="I248" s="75" t="s">
        <v>1010</v>
      </c>
      <c r="J248" s="74">
        <v>790984292</v>
      </c>
      <c r="K248" s="60" t="s">
        <v>1011</v>
      </c>
      <c r="L248" s="170"/>
      <c r="M248" s="170"/>
      <c r="N248" s="170"/>
      <c r="O248" s="170"/>
      <c r="P248" s="74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</row>
    <row r="249" spans="1:36" ht="12.75">
      <c r="A249" s="74" t="s">
        <v>1323</v>
      </c>
      <c r="B249" s="74"/>
      <c r="C249" s="74" t="s">
        <v>1324</v>
      </c>
      <c r="D249" s="60" t="s">
        <v>1325</v>
      </c>
      <c r="E249" s="146">
        <v>112810203</v>
      </c>
      <c r="F249" s="7" t="s">
        <v>342</v>
      </c>
      <c r="G249" s="7"/>
      <c r="H249" s="74" t="s">
        <v>355</v>
      </c>
      <c r="I249" s="75" t="s">
        <v>356</v>
      </c>
      <c r="J249" s="74">
        <v>710453693</v>
      </c>
      <c r="K249" s="74" t="s">
        <v>105</v>
      </c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</row>
    <row r="250" spans="1:36" ht="12.75">
      <c r="A250" s="74" t="s">
        <v>1326</v>
      </c>
      <c r="B250" s="74"/>
      <c r="C250" s="74" t="s">
        <v>1327</v>
      </c>
      <c r="D250" s="74" t="s">
        <v>1328</v>
      </c>
      <c r="E250" s="146">
        <v>721763235</v>
      </c>
      <c r="F250" s="7" t="s">
        <v>1329</v>
      </c>
      <c r="G250" s="7"/>
      <c r="H250" s="74" t="s">
        <v>1330</v>
      </c>
      <c r="I250" s="75" t="s">
        <v>1331</v>
      </c>
      <c r="J250" s="74">
        <v>512217987</v>
      </c>
      <c r="K250" s="74" t="s">
        <v>1332</v>
      </c>
      <c r="L250" s="74"/>
      <c r="M250" s="74"/>
      <c r="N250" s="74"/>
      <c r="O250" s="74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</row>
    <row r="251" spans="1:36" ht="12.75">
      <c r="A251" s="74" t="s">
        <v>1333</v>
      </c>
      <c r="B251" s="74"/>
      <c r="C251" s="74" t="s">
        <v>1334</v>
      </c>
      <c r="D251" s="74" t="s">
        <v>880</v>
      </c>
      <c r="E251" s="146">
        <v>797677629</v>
      </c>
      <c r="F251" s="7" t="s">
        <v>342</v>
      </c>
      <c r="G251" s="7"/>
      <c r="H251" s="74" t="s">
        <v>937</v>
      </c>
      <c r="I251" s="75" t="s">
        <v>223</v>
      </c>
      <c r="J251" s="74">
        <v>710453693</v>
      </c>
      <c r="K251" s="74" t="s">
        <v>105</v>
      </c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</row>
    <row r="252" spans="1:36" ht="12.75">
      <c r="A252" s="74" t="s">
        <v>1335</v>
      </c>
      <c r="B252" s="74"/>
      <c r="C252" s="74" t="s">
        <v>1336</v>
      </c>
      <c r="D252" s="74" t="s">
        <v>1337</v>
      </c>
      <c r="E252" s="146">
        <v>796086316</v>
      </c>
      <c r="F252" s="74" t="s">
        <v>1338</v>
      </c>
      <c r="G252" s="74"/>
      <c r="H252" s="74" t="s">
        <v>1339</v>
      </c>
      <c r="I252" s="75" t="s">
        <v>1340</v>
      </c>
      <c r="J252" s="74">
        <v>790984292</v>
      </c>
      <c r="K252" s="74" t="s">
        <v>1341</v>
      </c>
      <c r="L252" s="74"/>
      <c r="M252" s="74"/>
      <c r="N252" s="74"/>
      <c r="O252" s="74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</row>
    <row r="253" spans="1:36" ht="12.75">
      <c r="A253" s="103" t="s">
        <v>1342</v>
      </c>
      <c r="B253" s="103"/>
      <c r="C253" s="103" t="s">
        <v>1343</v>
      </c>
      <c r="D253" s="279" t="s">
        <v>475</v>
      </c>
      <c r="E253" s="194"/>
      <c r="F253" s="103" t="s">
        <v>1344</v>
      </c>
      <c r="G253" s="103"/>
      <c r="H253" s="103" t="s">
        <v>1345</v>
      </c>
      <c r="I253" s="104" t="s">
        <v>218</v>
      </c>
      <c r="J253" s="76"/>
      <c r="K253" s="103" t="s">
        <v>1346</v>
      </c>
      <c r="L253" s="74"/>
      <c r="M253" s="74"/>
      <c r="N253" s="74"/>
      <c r="O253" s="74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</row>
    <row r="254" spans="1:36" ht="12.75">
      <c r="A254" s="103" t="s">
        <v>1342</v>
      </c>
      <c r="B254" s="103"/>
      <c r="C254" s="103" t="s">
        <v>1343</v>
      </c>
      <c r="D254" s="76"/>
      <c r="E254" s="194"/>
      <c r="F254" s="9"/>
      <c r="G254" s="9"/>
      <c r="H254" s="76"/>
      <c r="I254" s="84"/>
      <c r="J254" s="76"/>
      <c r="K254" s="76"/>
      <c r="L254" s="74"/>
      <c r="M254" s="74"/>
      <c r="N254" s="74"/>
      <c r="O254" s="74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</row>
    <row r="255" spans="1:36" ht="12.75">
      <c r="A255" s="74" t="s">
        <v>1347</v>
      </c>
      <c r="B255" s="74"/>
      <c r="C255" s="74" t="s">
        <v>1348</v>
      </c>
      <c r="D255" s="74" t="s">
        <v>1349</v>
      </c>
      <c r="E255" s="146">
        <v>713734602</v>
      </c>
      <c r="F255" s="7" t="s">
        <v>1350</v>
      </c>
      <c r="G255" s="7"/>
      <c r="H255" s="74" t="s">
        <v>1351</v>
      </c>
      <c r="I255" s="75" t="s">
        <v>726</v>
      </c>
      <c r="J255" s="74">
        <v>254704896831</v>
      </c>
      <c r="K255" s="173" t="s">
        <v>1352</v>
      </c>
      <c r="L255" s="74"/>
      <c r="M255" s="74"/>
      <c r="N255" s="74"/>
      <c r="O255" s="74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</row>
    <row r="256" spans="1:36" ht="12.75">
      <c r="A256" s="74" t="s">
        <v>1353</v>
      </c>
      <c r="B256" s="74"/>
      <c r="C256" s="74" t="s">
        <v>1354</v>
      </c>
      <c r="D256" s="74" t="s">
        <v>1355</v>
      </c>
      <c r="E256" s="146">
        <v>110074823</v>
      </c>
      <c r="F256" s="7" t="s">
        <v>79</v>
      </c>
      <c r="G256" s="7"/>
      <c r="H256" s="74" t="s">
        <v>1356</v>
      </c>
      <c r="I256" s="75" t="s">
        <v>1357</v>
      </c>
      <c r="J256" s="74">
        <v>737409471</v>
      </c>
      <c r="K256" s="74" t="s">
        <v>1101</v>
      </c>
      <c r="L256" s="74"/>
      <c r="M256" s="74"/>
      <c r="N256" s="74"/>
      <c r="O256" s="74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</row>
    <row r="257" spans="1:36" ht="12.75">
      <c r="A257" s="74" t="s">
        <v>1358</v>
      </c>
      <c r="B257" s="74"/>
      <c r="C257" s="74" t="s">
        <v>1359</v>
      </c>
      <c r="D257" s="74" t="s">
        <v>1360</v>
      </c>
      <c r="E257" s="146">
        <v>791858089</v>
      </c>
      <c r="F257" s="7" t="s">
        <v>1361</v>
      </c>
      <c r="G257" s="7"/>
      <c r="H257" s="74" t="s">
        <v>1362</v>
      </c>
      <c r="I257" s="75" t="s">
        <v>1363</v>
      </c>
      <c r="J257" s="74">
        <v>725393939</v>
      </c>
      <c r="K257" s="60" t="s">
        <v>1364</v>
      </c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</row>
    <row r="258" spans="1:36" ht="12.75">
      <c r="A258" s="74" t="s">
        <v>1365</v>
      </c>
      <c r="B258" s="74"/>
      <c r="C258" s="74" t="s">
        <v>1366</v>
      </c>
      <c r="D258" s="74" t="s">
        <v>1328</v>
      </c>
      <c r="E258" s="146">
        <v>711639421</v>
      </c>
      <c r="F258" s="7" t="s">
        <v>1367</v>
      </c>
      <c r="G258" s="7"/>
      <c r="H258" s="74" t="s">
        <v>1368</v>
      </c>
      <c r="I258" s="75" t="s">
        <v>1369</v>
      </c>
      <c r="J258" s="74">
        <v>702243217</v>
      </c>
      <c r="K258" s="74" t="s">
        <v>1370</v>
      </c>
      <c r="L258" s="74"/>
      <c r="M258" s="74"/>
      <c r="N258" s="74"/>
      <c r="O258" s="74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</row>
    <row r="259" spans="1:36" ht="12.75">
      <c r="A259" s="74" t="s">
        <v>1371</v>
      </c>
      <c r="B259" s="74"/>
      <c r="C259" s="74" t="s">
        <v>1372</v>
      </c>
      <c r="D259" s="74" t="s">
        <v>227</v>
      </c>
      <c r="E259" s="146">
        <v>716292448</v>
      </c>
      <c r="F259" s="7" t="s">
        <v>1373</v>
      </c>
      <c r="G259" s="7"/>
      <c r="H259" s="76"/>
      <c r="I259" s="84"/>
      <c r="J259" s="76"/>
      <c r="K259" s="76"/>
      <c r="L259" s="74"/>
      <c r="M259" s="74"/>
      <c r="N259" s="74"/>
      <c r="O259" s="74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</row>
    <row r="260" spans="1:36" ht="12.75">
      <c r="A260" s="74" t="s">
        <v>1374</v>
      </c>
      <c r="B260" s="74"/>
      <c r="C260" s="74" t="s">
        <v>1375</v>
      </c>
      <c r="D260" s="74" t="s">
        <v>1376</v>
      </c>
      <c r="E260" s="146">
        <v>792422561</v>
      </c>
      <c r="F260" s="7" t="s">
        <v>1377</v>
      </c>
      <c r="G260" s="7"/>
      <c r="H260" s="76"/>
      <c r="I260" s="84"/>
      <c r="J260" s="76"/>
      <c r="K260" s="76"/>
      <c r="L260" s="74"/>
      <c r="M260" s="74"/>
      <c r="N260" s="74"/>
      <c r="O260" s="74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</row>
    <row r="261" spans="1:36" ht="18">
      <c r="A261" s="74" t="s">
        <v>1378</v>
      </c>
      <c r="B261" s="74"/>
      <c r="C261" s="74" t="s">
        <v>1379</v>
      </c>
      <c r="D261" s="74" t="s">
        <v>475</v>
      </c>
      <c r="E261" s="146">
        <v>743367267</v>
      </c>
      <c r="F261" s="7" t="s">
        <v>1380</v>
      </c>
      <c r="G261" s="7"/>
      <c r="H261" s="74" t="s">
        <v>1381</v>
      </c>
      <c r="I261" s="75" t="s">
        <v>1382</v>
      </c>
      <c r="J261" s="74">
        <v>723583259</v>
      </c>
      <c r="K261" s="174" t="s">
        <v>224</v>
      </c>
      <c r="L261" s="74"/>
      <c r="M261" s="74"/>
      <c r="N261" s="74"/>
      <c r="O261" s="74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</row>
    <row r="262" spans="1:36" ht="12.75">
      <c r="A262" s="74" t="s">
        <v>1383</v>
      </c>
      <c r="B262" s="74"/>
      <c r="C262" s="74" t="s">
        <v>1384</v>
      </c>
      <c r="D262" s="74" t="s">
        <v>1385</v>
      </c>
      <c r="E262" s="146">
        <v>746565579</v>
      </c>
      <c r="F262" s="7" t="s">
        <v>1386</v>
      </c>
      <c r="G262" s="7"/>
      <c r="H262" s="74" t="s">
        <v>1387</v>
      </c>
      <c r="I262" s="75" t="s">
        <v>1245</v>
      </c>
      <c r="J262" s="74">
        <v>790984292</v>
      </c>
      <c r="K262" s="74" t="s">
        <v>1388</v>
      </c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</row>
    <row r="263" spans="1:36" ht="12.75">
      <c r="A263" s="74" t="s">
        <v>1389</v>
      </c>
      <c r="B263" s="74"/>
      <c r="C263" s="74" t="s">
        <v>1390</v>
      </c>
      <c r="D263" s="74" t="s">
        <v>974</v>
      </c>
      <c r="E263" s="146">
        <v>714196401</v>
      </c>
      <c r="F263" s="7" t="s">
        <v>1391</v>
      </c>
      <c r="G263" s="7"/>
      <c r="H263" s="74" t="s">
        <v>1392</v>
      </c>
      <c r="I263" s="75" t="s">
        <v>269</v>
      </c>
      <c r="J263" s="76"/>
      <c r="K263" s="76"/>
      <c r="L263" s="74"/>
      <c r="M263" s="74"/>
      <c r="N263" s="74"/>
      <c r="O263" s="74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</row>
    <row r="264" spans="1:36" ht="12.75">
      <c r="A264" s="74" t="s">
        <v>1393</v>
      </c>
      <c r="B264" s="74"/>
      <c r="C264" s="74" t="s">
        <v>1394</v>
      </c>
      <c r="D264" s="74" t="s">
        <v>891</v>
      </c>
      <c r="E264" s="146">
        <v>254742200714</v>
      </c>
      <c r="F264" s="7" t="s">
        <v>1395</v>
      </c>
      <c r="G264" s="7"/>
      <c r="H264" s="74" t="s">
        <v>1396</v>
      </c>
      <c r="I264" s="75" t="s">
        <v>186</v>
      </c>
      <c r="J264" s="74">
        <v>254723764424</v>
      </c>
      <c r="K264" s="74" t="s">
        <v>1397</v>
      </c>
      <c r="L264" s="74"/>
      <c r="M264" s="74"/>
      <c r="N264" s="74"/>
      <c r="O264" s="74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</row>
    <row r="265" spans="1:36" ht="12.75">
      <c r="A265" s="74" t="s">
        <v>1398</v>
      </c>
      <c r="B265" s="74"/>
      <c r="C265" s="74" t="s">
        <v>1399</v>
      </c>
      <c r="D265" s="74" t="s">
        <v>430</v>
      </c>
      <c r="E265" s="146">
        <v>254725978947</v>
      </c>
      <c r="F265" s="7" t="s">
        <v>98</v>
      </c>
      <c r="G265" s="7"/>
      <c r="H265" s="74" t="s">
        <v>99</v>
      </c>
      <c r="I265" s="75" t="s">
        <v>100</v>
      </c>
      <c r="J265" s="74">
        <v>25458722020</v>
      </c>
      <c r="K265" s="74" t="s">
        <v>101</v>
      </c>
      <c r="L265" s="74"/>
      <c r="M265" s="74"/>
      <c r="N265" s="74"/>
      <c r="O265" s="74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</row>
    <row r="266" spans="1:36" ht="16.5">
      <c r="A266" s="74" t="s">
        <v>1400</v>
      </c>
      <c r="B266" s="74"/>
      <c r="C266" s="74" t="s">
        <v>1401</v>
      </c>
      <c r="D266" s="280" t="s">
        <v>1234</v>
      </c>
      <c r="E266" s="146">
        <v>254704828328</v>
      </c>
      <c r="F266" s="16" t="s">
        <v>1402</v>
      </c>
      <c r="G266" s="16"/>
      <c r="H266" s="74" t="s">
        <v>1403</v>
      </c>
      <c r="I266" s="75" t="s">
        <v>193</v>
      </c>
      <c r="J266" s="38">
        <v>5320160000</v>
      </c>
      <c r="K266" s="38" t="s">
        <v>1404</v>
      </c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</row>
    <row r="267" spans="1:36" ht="14.25">
      <c r="A267" s="103" t="s">
        <v>1405</v>
      </c>
      <c r="B267" s="103"/>
      <c r="C267" s="118" t="s">
        <v>1406</v>
      </c>
      <c r="D267" s="74" t="s">
        <v>1407</v>
      </c>
      <c r="E267" s="146">
        <v>111230353</v>
      </c>
      <c r="F267" s="74" t="s">
        <v>1408</v>
      </c>
      <c r="G267" s="74"/>
      <c r="H267" s="74" t="s">
        <v>1409</v>
      </c>
      <c r="I267" s="75" t="s">
        <v>1410</v>
      </c>
      <c r="J267" s="177" t="s">
        <v>1411</v>
      </c>
      <c r="K267" s="60" t="s">
        <v>1412</v>
      </c>
      <c r="L267" s="170"/>
      <c r="M267" s="170"/>
      <c r="N267" s="170"/>
      <c r="O267" s="170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</row>
    <row r="268" spans="1:36" ht="12.75">
      <c r="A268" s="74" t="s">
        <v>1413</v>
      </c>
      <c r="B268" s="74"/>
      <c r="C268" s="74" t="s">
        <v>1414</v>
      </c>
      <c r="D268" s="74" t="s">
        <v>1415</v>
      </c>
      <c r="E268" s="146">
        <v>254769884890</v>
      </c>
      <c r="F268" s="7" t="s">
        <v>1416</v>
      </c>
      <c r="G268" s="7"/>
      <c r="H268" s="74" t="s">
        <v>1417</v>
      </c>
      <c r="I268" s="75" t="s">
        <v>237</v>
      </c>
      <c r="J268" s="74">
        <v>732514883</v>
      </c>
      <c r="K268" s="60" t="s">
        <v>1418</v>
      </c>
      <c r="L268" s="170"/>
      <c r="M268" s="170"/>
      <c r="N268" s="170"/>
      <c r="O268" s="170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</row>
    <row r="269" spans="1:36" ht="12.75">
      <c r="A269" s="74" t="s">
        <v>1419</v>
      </c>
      <c r="B269" s="74"/>
      <c r="C269" s="74" t="s">
        <v>1420</v>
      </c>
      <c r="D269" s="74" t="s">
        <v>1421</v>
      </c>
      <c r="E269" s="146">
        <v>799861595</v>
      </c>
      <c r="F269" s="146" t="s">
        <v>1422</v>
      </c>
      <c r="G269" s="146"/>
      <c r="H269" s="74" t="s">
        <v>1423</v>
      </c>
      <c r="I269" s="75" t="s">
        <v>269</v>
      </c>
      <c r="J269" s="74">
        <v>725624489</v>
      </c>
      <c r="K269" s="74" t="s">
        <v>1424</v>
      </c>
      <c r="L269" s="74"/>
      <c r="M269" s="74"/>
      <c r="N269" s="74"/>
      <c r="O269" s="74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</row>
    <row r="270" spans="1:36" ht="12.75">
      <c r="A270" s="74" t="s">
        <v>1425</v>
      </c>
      <c r="B270" s="74"/>
      <c r="C270" s="74" t="s">
        <v>1426</v>
      </c>
      <c r="D270" s="74" t="s">
        <v>301</v>
      </c>
      <c r="E270" s="146">
        <v>791334536</v>
      </c>
      <c r="F270" s="7" t="s">
        <v>1427</v>
      </c>
      <c r="G270" s="7"/>
      <c r="H270" s="74" t="s">
        <v>1428</v>
      </c>
      <c r="I270" s="75" t="s">
        <v>1429</v>
      </c>
      <c r="J270" s="111">
        <v>739465082</v>
      </c>
      <c r="K270" s="74" t="s">
        <v>1430</v>
      </c>
      <c r="L270" s="74"/>
      <c r="M270" s="74"/>
      <c r="N270" s="74"/>
      <c r="O270" s="74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</row>
    <row r="271" spans="1:36" ht="12.75">
      <c r="A271" s="74" t="s">
        <v>1431</v>
      </c>
      <c r="B271" s="74"/>
      <c r="C271" s="74" t="s">
        <v>1432</v>
      </c>
      <c r="D271" s="74" t="s">
        <v>1433</v>
      </c>
      <c r="E271" s="146">
        <v>702780880</v>
      </c>
      <c r="F271" s="7" t="s">
        <v>1434</v>
      </c>
      <c r="G271" s="7"/>
      <c r="H271" s="74" t="s">
        <v>1133</v>
      </c>
      <c r="I271" s="75" t="s">
        <v>223</v>
      </c>
      <c r="J271" s="74">
        <v>7202582237</v>
      </c>
      <c r="K271" s="74" t="s">
        <v>180</v>
      </c>
      <c r="L271" s="74"/>
      <c r="M271" s="74"/>
      <c r="N271" s="74"/>
      <c r="O271" s="74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</row>
    <row r="272" spans="1:36" ht="12.75">
      <c r="A272" s="7" t="s">
        <v>1435</v>
      </c>
      <c r="B272" s="7"/>
      <c r="C272" s="74" t="s">
        <v>1436</v>
      </c>
      <c r="D272" s="74" t="s">
        <v>1116</v>
      </c>
      <c r="E272" s="146" t="s">
        <v>1437</v>
      </c>
      <c r="F272" s="7" t="s">
        <v>1438</v>
      </c>
      <c r="G272" s="7"/>
      <c r="H272" s="76"/>
      <c r="I272" s="84"/>
      <c r="J272" s="76"/>
      <c r="K272" s="76"/>
      <c r="L272" s="74"/>
      <c r="M272" s="74"/>
      <c r="N272" s="74"/>
      <c r="O272" s="74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</row>
    <row r="273" spans="1:36" ht="12.75">
      <c r="A273" s="74" t="s">
        <v>1439</v>
      </c>
      <c r="B273" s="74"/>
      <c r="C273" s="74" t="s">
        <v>1440</v>
      </c>
      <c r="D273" s="74" t="s">
        <v>1441</v>
      </c>
      <c r="E273" s="146">
        <v>751216065</v>
      </c>
      <c r="F273" s="7" t="s">
        <v>1442</v>
      </c>
      <c r="G273" s="7"/>
      <c r="H273" s="74" t="s">
        <v>1443</v>
      </c>
      <c r="I273" s="75" t="s">
        <v>1444</v>
      </c>
      <c r="J273" s="74">
        <v>798985151</v>
      </c>
      <c r="K273" s="74" t="s">
        <v>1445</v>
      </c>
      <c r="L273" s="74"/>
      <c r="M273" s="74"/>
      <c r="N273" s="74"/>
      <c r="O273" s="74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</row>
    <row r="274" spans="1:36" ht="12.75">
      <c r="A274" s="74" t="s">
        <v>1446</v>
      </c>
      <c r="B274" s="74"/>
      <c r="C274" s="74" t="s">
        <v>1447</v>
      </c>
      <c r="D274" s="74" t="s">
        <v>1448</v>
      </c>
      <c r="E274" s="146">
        <v>797393814</v>
      </c>
      <c r="F274" s="7" t="s">
        <v>1449</v>
      </c>
      <c r="G274" s="7"/>
      <c r="H274" s="74" t="s">
        <v>1450</v>
      </c>
      <c r="I274" s="75" t="s">
        <v>1451</v>
      </c>
      <c r="J274" s="74">
        <v>757702813</v>
      </c>
      <c r="K274" s="74" t="s">
        <v>1452</v>
      </c>
      <c r="L274" s="74"/>
      <c r="M274" s="74"/>
      <c r="N274" s="74"/>
      <c r="O274" s="74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</row>
    <row r="275" spans="1:36" ht="12.75">
      <c r="A275" s="74" t="s">
        <v>1453</v>
      </c>
      <c r="B275" s="74"/>
      <c r="C275" s="74" t="s">
        <v>1454</v>
      </c>
      <c r="D275" s="74" t="s">
        <v>1222</v>
      </c>
      <c r="E275" s="146">
        <v>748613453</v>
      </c>
      <c r="F275" s="7" t="s">
        <v>1321</v>
      </c>
      <c r="G275" s="7"/>
      <c r="H275" s="74" t="s">
        <v>1455</v>
      </c>
      <c r="I275" s="75" t="s">
        <v>1010</v>
      </c>
      <c r="J275" s="74">
        <v>790984292</v>
      </c>
      <c r="K275" s="74" t="s">
        <v>1011</v>
      </c>
      <c r="L275" s="74"/>
      <c r="M275" s="74"/>
      <c r="N275" s="74"/>
      <c r="O275" s="74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</row>
    <row r="276" spans="1:36" ht="12.75">
      <c r="A276" s="74" t="s">
        <v>1456</v>
      </c>
      <c r="B276" s="74"/>
      <c r="C276" s="74" t="s">
        <v>1457</v>
      </c>
      <c r="D276" s="74" t="s">
        <v>1458</v>
      </c>
      <c r="E276" s="146">
        <v>115350710</v>
      </c>
      <c r="F276" s="7" t="s">
        <v>1459</v>
      </c>
      <c r="G276" s="7"/>
      <c r="H276" s="74" t="s">
        <v>1460</v>
      </c>
      <c r="I276" s="75" t="s">
        <v>1461</v>
      </c>
      <c r="J276" s="74">
        <v>721327905</v>
      </c>
      <c r="K276" s="74" t="s">
        <v>1462</v>
      </c>
      <c r="L276" s="74"/>
      <c r="M276" s="74"/>
      <c r="N276" s="74"/>
      <c r="O276" s="74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</row>
    <row r="277" spans="1:36" ht="12.75">
      <c r="A277" s="74" t="s">
        <v>1463</v>
      </c>
      <c r="B277" s="74"/>
      <c r="C277" s="74" t="s">
        <v>1464</v>
      </c>
      <c r="D277" s="74" t="s">
        <v>1465</v>
      </c>
      <c r="E277" s="146">
        <v>796716038</v>
      </c>
      <c r="F277" s="39" t="s">
        <v>1466</v>
      </c>
      <c r="G277" s="39"/>
      <c r="H277" s="178" t="s">
        <v>1467</v>
      </c>
      <c r="I277" s="179" t="s">
        <v>1468</v>
      </c>
      <c r="J277" s="178">
        <v>711716757</v>
      </c>
      <c r="K277" s="74" t="s">
        <v>1469</v>
      </c>
      <c r="L277" s="74"/>
      <c r="M277" s="74"/>
      <c r="N277" s="74"/>
      <c r="O277" s="74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</row>
    <row r="278" spans="1:36" ht="15">
      <c r="A278" s="74" t="s">
        <v>1470</v>
      </c>
      <c r="B278" s="74"/>
      <c r="C278" s="74" t="s">
        <v>1471</v>
      </c>
      <c r="D278" s="74" t="s">
        <v>170</v>
      </c>
      <c r="E278" s="281">
        <v>707071440</v>
      </c>
      <c r="F278" s="41" t="s">
        <v>1107</v>
      </c>
      <c r="G278" s="41"/>
      <c r="H278" s="181" t="s">
        <v>355</v>
      </c>
      <c r="I278" s="182" t="s">
        <v>1472</v>
      </c>
      <c r="J278" s="183">
        <v>710453693</v>
      </c>
      <c r="K278" s="127" t="s">
        <v>105</v>
      </c>
      <c r="L278" s="127"/>
      <c r="M278" s="127"/>
      <c r="N278" s="127"/>
      <c r="O278" s="184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</row>
    <row r="279" spans="1:36" ht="12.75">
      <c r="A279" s="96" t="s">
        <v>1473</v>
      </c>
      <c r="B279" s="96"/>
      <c r="C279" s="60" t="s">
        <v>1474</v>
      </c>
      <c r="D279" s="60" t="s">
        <v>1312</v>
      </c>
      <c r="E279" s="157">
        <f>254718569004</f>
        <v>254718569004</v>
      </c>
      <c r="F279" s="41" t="s">
        <v>1313</v>
      </c>
      <c r="G279" s="41"/>
      <c r="H279" s="181" t="s">
        <v>1314</v>
      </c>
      <c r="I279" s="182" t="s">
        <v>1315</v>
      </c>
      <c r="J279" s="185">
        <f>254723669945</f>
        <v>254723669945</v>
      </c>
      <c r="K279" s="127" t="s">
        <v>1316</v>
      </c>
      <c r="L279" s="127"/>
      <c r="M279" s="127"/>
      <c r="N279" s="127"/>
      <c r="O279" s="127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</row>
    <row r="280" spans="1:36" ht="12.75">
      <c r="A280" s="60" t="s">
        <v>1475</v>
      </c>
      <c r="B280" s="60"/>
      <c r="C280" s="60" t="s">
        <v>1476</v>
      </c>
      <c r="D280" s="60" t="s">
        <v>1477</v>
      </c>
      <c r="E280" s="60">
        <v>792959297</v>
      </c>
      <c r="F280" s="187" t="s">
        <v>1478</v>
      </c>
      <c r="G280" s="187"/>
      <c r="H280" s="187" t="s">
        <v>1479</v>
      </c>
      <c r="I280" s="188" t="s">
        <v>218</v>
      </c>
      <c r="J280" s="187">
        <v>715525242</v>
      </c>
      <c r="K280" s="74" t="s">
        <v>1480</v>
      </c>
      <c r="L280" s="74"/>
      <c r="M280" s="74"/>
      <c r="N280" s="74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</row>
    <row r="281" spans="1:36" ht="12.75">
      <c r="A281" s="103" t="s">
        <v>1475</v>
      </c>
      <c r="B281" s="103"/>
      <c r="C281" s="103" t="s">
        <v>1476</v>
      </c>
      <c r="D281" s="103" t="s">
        <v>1476</v>
      </c>
      <c r="E281" s="194"/>
      <c r="F281" s="103" t="s">
        <v>1478</v>
      </c>
      <c r="G281" s="103"/>
      <c r="H281" s="103" t="s">
        <v>1481</v>
      </c>
      <c r="I281" s="104" t="s">
        <v>218</v>
      </c>
      <c r="J281" s="105">
        <f>254715525242</f>
        <v>254715525242</v>
      </c>
      <c r="K281" s="103" t="s">
        <v>1480</v>
      </c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</row>
    <row r="282" spans="1:36" ht="12.75">
      <c r="A282" s="74" t="s">
        <v>1482</v>
      </c>
      <c r="B282" s="74"/>
      <c r="C282" s="74" t="s">
        <v>1483</v>
      </c>
      <c r="D282" s="74" t="s">
        <v>1484</v>
      </c>
      <c r="E282" s="146">
        <v>700314150</v>
      </c>
      <c r="F282" s="31" t="s">
        <v>1485</v>
      </c>
      <c r="G282" s="37"/>
      <c r="H282" s="76"/>
      <c r="I282" s="84"/>
      <c r="J282" s="76"/>
      <c r="K282" s="76"/>
      <c r="L282" s="74"/>
      <c r="M282" s="74"/>
      <c r="N282" s="74"/>
      <c r="O282" s="74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</row>
    <row r="283" spans="1:36" ht="12.75">
      <c r="A283" s="120" t="s">
        <v>1486</v>
      </c>
      <c r="B283" s="120"/>
      <c r="C283" s="120" t="s">
        <v>1487</v>
      </c>
      <c r="D283" s="120" t="s">
        <v>1488</v>
      </c>
      <c r="E283" s="146">
        <v>794424486</v>
      </c>
      <c r="F283" s="21" t="s">
        <v>1489</v>
      </c>
      <c r="G283" s="21"/>
      <c r="H283" s="120" t="s">
        <v>1490</v>
      </c>
      <c r="I283" s="136" t="s">
        <v>1491</v>
      </c>
      <c r="J283" s="120">
        <v>720938233</v>
      </c>
      <c r="K283" s="120" t="s">
        <v>1492</v>
      </c>
      <c r="L283" s="74"/>
      <c r="M283" s="74"/>
      <c r="N283" s="74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</row>
    <row r="284" spans="1:36" ht="12.75">
      <c r="A284" s="74" t="s">
        <v>1493</v>
      </c>
      <c r="B284" s="74"/>
      <c r="C284" s="74" t="s">
        <v>1494</v>
      </c>
      <c r="D284" s="74" t="s">
        <v>1495</v>
      </c>
      <c r="E284" s="146">
        <v>758463314</v>
      </c>
      <c r="F284" s="7" t="s">
        <v>1496</v>
      </c>
      <c r="G284" s="7"/>
      <c r="H284" s="74" t="s">
        <v>1497</v>
      </c>
      <c r="I284" s="75" t="s">
        <v>1498</v>
      </c>
      <c r="J284" s="74">
        <v>798753337</v>
      </c>
      <c r="K284" s="74" t="s">
        <v>1499</v>
      </c>
      <c r="L284" s="74"/>
      <c r="M284" s="74"/>
      <c r="N284" s="74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</row>
    <row r="285" spans="1:36" ht="12.75">
      <c r="A285" s="74" t="s">
        <v>1500</v>
      </c>
      <c r="B285" s="74"/>
      <c r="C285" s="74" t="s">
        <v>1501</v>
      </c>
      <c r="D285" s="74" t="s">
        <v>1502</v>
      </c>
      <c r="E285" s="146" t="s">
        <v>1503</v>
      </c>
      <c r="F285" s="7" t="s">
        <v>1504</v>
      </c>
      <c r="G285" s="7"/>
      <c r="H285" s="74" t="s">
        <v>1505</v>
      </c>
      <c r="I285" s="75" t="s">
        <v>1506</v>
      </c>
      <c r="J285" s="74" t="s">
        <v>1507</v>
      </c>
      <c r="K285" s="74" t="s">
        <v>1508</v>
      </c>
      <c r="L285" s="74"/>
      <c r="M285" s="74"/>
      <c r="N285" s="74"/>
      <c r="O285" s="74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</row>
    <row r="286" spans="1:36" ht="12.75">
      <c r="A286" s="103" t="s">
        <v>1509</v>
      </c>
      <c r="B286" s="103"/>
      <c r="C286" s="103" t="s">
        <v>1510</v>
      </c>
      <c r="D286" s="103" t="s">
        <v>1510</v>
      </c>
      <c r="E286" s="194"/>
      <c r="F286" s="103" t="s">
        <v>902</v>
      </c>
      <c r="G286" s="103"/>
      <c r="H286" s="103" t="s">
        <v>903</v>
      </c>
      <c r="I286" s="104" t="s">
        <v>59</v>
      </c>
      <c r="J286" s="105">
        <v>797786295</v>
      </c>
      <c r="K286" s="103" t="s">
        <v>904</v>
      </c>
      <c r="L286" s="74"/>
      <c r="M286" s="74"/>
      <c r="N286" s="74"/>
      <c r="O286" s="74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</row>
    <row r="287" spans="1:36" ht="12.75">
      <c r="A287" s="74" t="s">
        <v>1511</v>
      </c>
      <c r="B287" s="74"/>
      <c r="C287" s="74" t="s">
        <v>1512</v>
      </c>
      <c r="D287" s="74" t="s">
        <v>279</v>
      </c>
      <c r="E287" s="146" t="s">
        <v>1513</v>
      </c>
      <c r="F287" s="7" t="s">
        <v>1514</v>
      </c>
      <c r="G287" s="7"/>
      <c r="H287" s="74" t="s">
        <v>1515</v>
      </c>
      <c r="I287" s="75" t="s">
        <v>59</v>
      </c>
      <c r="J287" s="74" t="s">
        <v>1516</v>
      </c>
      <c r="K287" s="74" t="s">
        <v>1517</v>
      </c>
      <c r="L287" s="74"/>
      <c r="M287" s="74"/>
      <c r="N287" s="74"/>
      <c r="O287" s="74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</row>
    <row r="288" spans="1:36" ht="12.75">
      <c r="A288" s="74" t="s">
        <v>1518</v>
      </c>
      <c r="B288" s="74"/>
      <c r="C288" s="74" t="s">
        <v>1519</v>
      </c>
      <c r="D288" s="74" t="s">
        <v>373</v>
      </c>
      <c r="E288" s="146">
        <v>714053850</v>
      </c>
      <c r="F288" s="7" t="s">
        <v>342</v>
      </c>
      <c r="G288" s="7"/>
      <c r="H288" s="74" t="s">
        <v>343</v>
      </c>
      <c r="I288" s="75" t="s">
        <v>356</v>
      </c>
      <c r="J288" s="74">
        <v>714053850</v>
      </c>
      <c r="K288" s="74"/>
      <c r="L288" s="74"/>
      <c r="M288" s="74"/>
      <c r="N288" s="74"/>
      <c r="O288" s="74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</row>
    <row r="289" spans="1:36" ht="12.75">
      <c r="A289" s="74" t="s">
        <v>1520</v>
      </c>
      <c r="B289" s="74"/>
      <c r="C289" s="74" t="s">
        <v>1521</v>
      </c>
      <c r="D289" s="74" t="s">
        <v>1522</v>
      </c>
      <c r="E289" s="146">
        <v>758488543</v>
      </c>
      <c r="F289" s="7" t="s">
        <v>1523</v>
      </c>
      <c r="G289" s="7"/>
      <c r="H289" s="74" t="s">
        <v>1524</v>
      </c>
      <c r="I289" s="75" t="s">
        <v>1525</v>
      </c>
      <c r="J289" s="74">
        <v>722478289</v>
      </c>
      <c r="K289" s="74" t="s">
        <v>1526</v>
      </c>
      <c r="L289" s="74"/>
      <c r="M289" s="74"/>
      <c r="N289" s="74"/>
      <c r="O289" s="74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</row>
    <row r="290" spans="1:36" ht="12.75">
      <c r="A290" s="74" t="s">
        <v>1527</v>
      </c>
      <c r="B290" s="74"/>
      <c r="C290" s="74" t="s">
        <v>1528</v>
      </c>
      <c r="D290" s="74" t="s">
        <v>1529</v>
      </c>
      <c r="E290" s="146">
        <v>254796510872</v>
      </c>
      <c r="F290" s="7" t="s">
        <v>1530</v>
      </c>
      <c r="G290" s="7"/>
      <c r="H290" s="74" t="s">
        <v>1531</v>
      </c>
      <c r="I290" s="75" t="s">
        <v>1225</v>
      </c>
      <c r="J290" s="60" t="s">
        <v>1532</v>
      </c>
      <c r="K290" s="74" t="s">
        <v>1533</v>
      </c>
      <c r="L290" s="74"/>
      <c r="M290" s="74"/>
      <c r="N290" s="74"/>
      <c r="O290" s="74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</row>
    <row r="291" spans="1:36" ht="12.75">
      <c r="A291" s="74" t="s">
        <v>1534</v>
      </c>
      <c r="B291" s="74"/>
      <c r="C291" s="74" t="s">
        <v>1535</v>
      </c>
      <c r="D291" s="74" t="s">
        <v>951</v>
      </c>
      <c r="E291" s="146">
        <v>748200233</v>
      </c>
      <c r="F291" s="7" t="s">
        <v>1107</v>
      </c>
      <c r="G291" s="7"/>
      <c r="H291" s="74" t="s">
        <v>355</v>
      </c>
      <c r="I291" s="75" t="s">
        <v>223</v>
      </c>
      <c r="J291" s="74" t="s">
        <v>344</v>
      </c>
      <c r="K291" s="74" t="s">
        <v>105</v>
      </c>
      <c r="L291" s="74"/>
      <c r="M291" s="74"/>
      <c r="N291" s="74"/>
      <c r="O291" s="74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</row>
    <row r="292" spans="1:36" ht="12.75">
      <c r="A292" s="74" t="s">
        <v>1534</v>
      </c>
      <c r="B292" s="74"/>
      <c r="C292" s="74" t="s">
        <v>1536</v>
      </c>
      <c r="D292" s="74" t="s">
        <v>951</v>
      </c>
      <c r="E292" s="146">
        <v>254768344411</v>
      </c>
      <c r="F292" s="7" t="s">
        <v>1537</v>
      </c>
      <c r="G292" s="7"/>
      <c r="H292" s="74" t="s">
        <v>1538</v>
      </c>
      <c r="I292" s="75" t="s">
        <v>1539</v>
      </c>
      <c r="J292" s="74">
        <v>704489982</v>
      </c>
      <c r="K292" s="74" t="s">
        <v>1540</v>
      </c>
      <c r="L292" s="74"/>
      <c r="M292" s="74"/>
      <c r="N292" s="74"/>
      <c r="O292" s="74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</row>
    <row r="293" spans="1:36" ht="12.75">
      <c r="A293" s="74" t="s">
        <v>1541</v>
      </c>
      <c r="B293" s="74"/>
      <c r="C293" s="74" t="s">
        <v>1542</v>
      </c>
      <c r="D293" s="74" t="s">
        <v>38</v>
      </c>
      <c r="E293" s="30">
        <v>768162164</v>
      </c>
      <c r="F293" s="7" t="s">
        <v>132</v>
      </c>
      <c r="G293" s="7"/>
      <c r="H293" s="74" t="s">
        <v>133</v>
      </c>
      <c r="I293" s="75" t="s">
        <v>134</v>
      </c>
      <c r="J293" s="74">
        <v>788014926</v>
      </c>
      <c r="K293" s="74" t="s">
        <v>135</v>
      </c>
      <c r="L293" s="74"/>
      <c r="M293" s="74"/>
      <c r="N293" s="74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</row>
    <row r="294" spans="1:36" ht="12.75">
      <c r="A294" s="74" t="s">
        <v>1543</v>
      </c>
      <c r="B294" s="74"/>
      <c r="C294" s="74" t="s">
        <v>1544</v>
      </c>
      <c r="D294" s="74" t="s">
        <v>38</v>
      </c>
      <c r="E294" s="30">
        <v>748410770</v>
      </c>
      <c r="F294" s="7" t="s">
        <v>132</v>
      </c>
      <c r="G294" s="7"/>
      <c r="H294" s="74" t="s">
        <v>133</v>
      </c>
      <c r="I294" s="75" t="s">
        <v>134</v>
      </c>
      <c r="J294" s="74">
        <v>788014926</v>
      </c>
      <c r="K294" s="74" t="s">
        <v>135</v>
      </c>
      <c r="L294" s="74"/>
      <c r="M294" s="74"/>
      <c r="N294" s="74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</row>
    <row r="295" spans="1:36" ht="12.75">
      <c r="A295" s="74" t="s">
        <v>1545</v>
      </c>
      <c r="B295" s="74"/>
      <c r="C295" s="74" t="s">
        <v>1546</v>
      </c>
      <c r="D295" s="74" t="s">
        <v>56</v>
      </c>
      <c r="E295" s="30">
        <v>705975725</v>
      </c>
      <c r="F295" s="7" t="s">
        <v>1547</v>
      </c>
      <c r="G295" s="7"/>
      <c r="H295" s="74" t="s">
        <v>450</v>
      </c>
      <c r="I295" s="75" t="s">
        <v>451</v>
      </c>
      <c r="J295" s="74">
        <v>799290741</v>
      </c>
      <c r="K295" s="74" t="s">
        <v>87</v>
      </c>
      <c r="L295" s="74"/>
      <c r="M295" s="74"/>
      <c r="N295" s="74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</row>
    <row r="296" spans="1:36" ht="12.75">
      <c r="A296" s="74" t="s">
        <v>1548</v>
      </c>
      <c r="B296" s="74"/>
      <c r="C296" s="74" t="s">
        <v>1549</v>
      </c>
      <c r="D296" s="74" t="s">
        <v>1550</v>
      </c>
      <c r="E296" s="146">
        <v>115020736</v>
      </c>
      <c r="F296" s="7" t="s">
        <v>1551</v>
      </c>
      <c r="G296" s="7"/>
      <c r="H296" s="74" t="s">
        <v>1552</v>
      </c>
      <c r="I296" s="75" t="s">
        <v>1553</v>
      </c>
      <c r="J296" s="74" t="s">
        <v>1554</v>
      </c>
      <c r="K296" s="74" t="s">
        <v>438</v>
      </c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</row>
    <row r="297" spans="1:36" ht="12.75">
      <c r="A297" s="74" t="s">
        <v>1555</v>
      </c>
      <c r="B297" s="74"/>
      <c r="C297" s="74" t="s">
        <v>1556</v>
      </c>
      <c r="D297" s="74" t="s">
        <v>273</v>
      </c>
      <c r="E297" s="146">
        <v>790706723</v>
      </c>
      <c r="F297" s="7" t="s">
        <v>1557</v>
      </c>
      <c r="G297" s="7"/>
      <c r="H297" s="74" t="s">
        <v>1558</v>
      </c>
      <c r="I297" s="75" t="s">
        <v>1559</v>
      </c>
      <c r="J297" s="74">
        <v>748424757</v>
      </c>
      <c r="K297" s="76"/>
      <c r="L297" s="74"/>
      <c r="M297" s="74"/>
      <c r="N297" s="74"/>
      <c r="O297" s="74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</row>
    <row r="298" spans="1:36" ht="12.75">
      <c r="A298" s="74" t="s">
        <v>1560</v>
      </c>
      <c r="B298" s="74"/>
      <c r="C298" s="74" t="s">
        <v>1561</v>
      </c>
      <c r="D298" s="74" t="s">
        <v>324</v>
      </c>
      <c r="E298" s="146">
        <v>769877948</v>
      </c>
      <c r="F298" s="7" t="s">
        <v>1562</v>
      </c>
      <c r="G298" s="7"/>
      <c r="H298" s="74" t="s">
        <v>1563</v>
      </c>
      <c r="I298" s="75" t="s">
        <v>1564</v>
      </c>
      <c r="J298" s="74" t="s">
        <v>1565</v>
      </c>
      <c r="K298" s="74" t="s">
        <v>1566</v>
      </c>
      <c r="L298" s="74"/>
      <c r="M298" s="74"/>
      <c r="N298" s="74"/>
      <c r="O298" s="74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</row>
    <row r="299" spans="1:36" ht="12.75">
      <c r="A299" s="74" t="s">
        <v>1567</v>
      </c>
      <c r="B299" s="74"/>
      <c r="C299" s="74" t="s">
        <v>1568</v>
      </c>
      <c r="D299" s="74" t="s">
        <v>227</v>
      </c>
      <c r="E299" s="146">
        <v>254115669992</v>
      </c>
      <c r="F299" s="7" t="s">
        <v>1569</v>
      </c>
      <c r="G299" s="7"/>
      <c r="H299" s="74" t="s">
        <v>1570</v>
      </c>
      <c r="I299" s="75" t="s">
        <v>237</v>
      </c>
      <c r="J299" s="74">
        <v>254796135006</v>
      </c>
      <c r="K299" s="74" t="s">
        <v>1571</v>
      </c>
      <c r="L299" s="74"/>
      <c r="M299" s="74"/>
      <c r="N299" s="74"/>
      <c r="O299" s="74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</row>
    <row r="300" spans="1:36" ht="12.75">
      <c r="A300" s="74" t="s">
        <v>1572</v>
      </c>
      <c r="B300" s="74"/>
      <c r="C300" s="74" t="s">
        <v>1573</v>
      </c>
      <c r="D300" s="74" t="s">
        <v>11</v>
      </c>
      <c r="E300" s="146">
        <v>707651122</v>
      </c>
      <c r="F300" s="7" t="s">
        <v>1574</v>
      </c>
      <c r="G300" s="7"/>
      <c r="H300" s="74" t="s">
        <v>1575</v>
      </c>
      <c r="I300" s="75" t="s">
        <v>1576</v>
      </c>
      <c r="J300" s="76">
        <v>254711058000</v>
      </c>
      <c r="K300" s="74" t="s">
        <v>1577</v>
      </c>
      <c r="L300" s="173"/>
      <c r="M300" s="173"/>
      <c r="N300" s="173"/>
      <c r="O300" s="173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</row>
    <row r="301" spans="1:36" ht="12.75">
      <c r="A301" s="74" t="s">
        <v>1578</v>
      </c>
      <c r="B301" s="74"/>
      <c r="C301" s="74" t="s">
        <v>1579</v>
      </c>
      <c r="D301" s="74" t="s">
        <v>1580</v>
      </c>
      <c r="E301" s="146">
        <v>725462985</v>
      </c>
      <c r="F301" s="7" t="s">
        <v>1581</v>
      </c>
      <c r="G301" s="7"/>
      <c r="H301" s="74" t="s">
        <v>1582</v>
      </c>
      <c r="I301" s="75" t="s">
        <v>1218</v>
      </c>
      <c r="J301" s="74">
        <v>709987000</v>
      </c>
      <c r="K301" s="74" t="s">
        <v>1583</v>
      </c>
      <c r="L301" s="74"/>
      <c r="M301" s="74"/>
      <c r="N301" s="74"/>
      <c r="O301" s="74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</row>
    <row r="302" spans="1:36" ht="12.75">
      <c r="A302" s="74" t="s">
        <v>1584</v>
      </c>
      <c r="B302" s="74"/>
      <c r="C302" s="74" t="s">
        <v>1585</v>
      </c>
      <c r="D302" s="74" t="s">
        <v>799</v>
      </c>
      <c r="E302" s="146">
        <v>113627130</v>
      </c>
      <c r="F302" s="7" t="s">
        <v>962</v>
      </c>
      <c r="G302" s="7"/>
      <c r="H302" s="76"/>
      <c r="I302" s="84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</row>
    <row r="303" spans="1:36" ht="12.75">
      <c r="A303" s="74" t="s">
        <v>1586</v>
      </c>
      <c r="B303" s="74"/>
      <c r="C303" s="74" t="s">
        <v>1587</v>
      </c>
      <c r="D303" s="74" t="s">
        <v>1142</v>
      </c>
      <c r="E303" s="146">
        <v>791653975</v>
      </c>
      <c r="F303" s="7" t="s">
        <v>1588</v>
      </c>
      <c r="G303" s="7"/>
      <c r="H303" s="7" t="s">
        <v>1589</v>
      </c>
      <c r="I303" s="8" t="s">
        <v>726</v>
      </c>
      <c r="J303" s="74" t="s">
        <v>1590</v>
      </c>
      <c r="K303" s="74" t="s">
        <v>1591</v>
      </c>
      <c r="L303" s="74"/>
      <c r="M303" s="74"/>
      <c r="N303" s="74"/>
      <c r="O303" s="74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</row>
    <row r="304" spans="1:36" ht="12.75">
      <c r="A304" s="74" t="s">
        <v>1592</v>
      </c>
      <c r="B304" s="74"/>
      <c r="C304" s="74" t="s">
        <v>1593</v>
      </c>
      <c r="D304" s="74" t="s">
        <v>1594</v>
      </c>
      <c r="E304" s="146">
        <v>112824847</v>
      </c>
      <c r="F304" s="7" t="s">
        <v>800</v>
      </c>
      <c r="G304" s="7"/>
      <c r="H304" s="74" t="s">
        <v>1595</v>
      </c>
      <c r="I304" s="75" t="s">
        <v>1596</v>
      </c>
      <c r="J304" s="74">
        <v>730882000</v>
      </c>
      <c r="K304" s="74" t="s">
        <v>1597</v>
      </c>
      <c r="L304" s="74"/>
      <c r="M304" s="74"/>
      <c r="N304" s="74"/>
      <c r="O304" s="74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</row>
    <row r="305" spans="1:36" ht="12.75">
      <c r="A305" s="103" t="s">
        <v>1598</v>
      </c>
      <c r="B305" s="103"/>
      <c r="C305" s="103" t="s">
        <v>1599</v>
      </c>
      <c r="D305" s="118" t="s">
        <v>1600</v>
      </c>
      <c r="E305" s="146">
        <v>114505818</v>
      </c>
      <c r="F305" s="103" t="s">
        <v>1601</v>
      </c>
      <c r="G305" s="103"/>
      <c r="H305" s="103" t="s">
        <v>1602</v>
      </c>
      <c r="I305" s="104" t="s">
        <v>1603</v>
      </c>
      <c r="J305" s="105">
        <v>254740180940</v>
      </c>
      <c r="K305" s="103" t="s">
        <v>1604</v>
      </c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</row>
    <row r="306" spans="1:36" ht="12.75">
      <c r="A306" s="74" t="s">
        <v>1605</v>
      </c>
      <c r="B306" s="74"/>
      <c r="C306" s="74" t="s">
        <v>1606</v>
      </c>
      <c r="D306" s="74" t="s">
        <v>891</v>
      </c>
      <c r="E306" s="146">
        <v>717456963</v>
      </c>
      <c r="F306" s="7" t="s">
        <v>57</v>
      </c>
      <c r="G306" s="7"/>
      <c r="H306" s="74" t="s">
        <v>58</v>
      </c>
      <c r="I306" s="75" t="s">
        <v>59</v>
      </c>
      <c r="J306" s="74">
        <v>720668236</v>
      </c>
      <c r="K306" s="74" t="s">
        <v>60</v>
      </c>
      <c r="L306" s="74"/>
      <c r="M306" s="74"/>
      <c r="N306" s="74"/>
      <c r="O306" s="74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</row>
    <row r="307" spans="1:36" ht="12.75">
      <c r="A307" s="74" t="s">
        <v>1607</v>
      </c>
      <c r="B307" s="74"/>
      <c r="C307" s="74" t="s">
        <v>1608</v>
      </c>
      <c r="D307" s="74" t="s">
        <v>1609</v>
      </c>
      <c r="E307" s="146">
        <v>254716182160</v>
      </c>
      <c r="F307" s="7" t="s">
        <v>1610</v>
      </c>
      <c r="G307" s="7"/>
      <c r="H307" s="74" t="s">
        <v>1611</v>
      </c>
      <c r="I307" s="75" t="s">
        <v>134</v>
      </c>
      <c r="J307" s="74">
        <v>2540532016304</v>
      </c>
      <c r="K307" s="74" t="s">
        <v>1612</v>
      </c>
      <c r="L307" s="74"/>
      <c r="M307" s="74"/>
      <c r="N307" s="74"/>
      <c r="O307" s="74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</row>
    <row r="308" spans="1:36" ht="12.75">
      <c r="A308" s="74" t="s">
        <v>1613</v>
      </c>
      <c r="B308" s="74"/>
      <c r="C308" s="74" t="s">
        <v>1614</v>
      </c>
      <c r="D308" s="74" t="s">
        <v>616</v>
      </c>
      <c r="E308" s="194"/>
      <c r="F308" s="7" t="s">
        <v>1615</v>
      </c>
      <c r="G308" s="7"/>
      <c r="H308" s="76"/>
      <c r="I308" s="75" t="s">
        <v>1616</v>
      </c>
      <c r="J308" s="76"/>
      <c r="K308" s="74" t="s">
        <v>1617</v>
      </c>
      <c r="L308" s="74"/>
      <c r="M308" s="74"/>
      <c r="N308" s="74"/>
      <c r="O308" s="74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</row>
    <row r="309" spans="1:36" ht="12.75">
      <c r="A309" s="74" t="s">
        <v>1618</v>
      </c>
      <c r="B309" s="74"/>
      <c r="C309" s="74" t="s">
        <v>1619</v>
      </c>
      <c r="D309" s="74" t="s">
        <v>604</v>
      </c>
      <c r="E309" s="146">
        <v>707089859</v>
      </c>
      <c r="F309" s="7" t="s">
        <v>1620</v>
      </c>
      <c r="G309" s="7"/>
      <c r="H309" s="76"/>
      <c r="I309" s="84"/>
      <c r="L309" s="60"/>
      <c r="M309" s="60"/>
      <c r="N309" s="60"/>
      <c r="O309" s="60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</row>
    <row r="310" spans="1:36" ht="12.75">
      <c r="A310" s="74" t="s">
        <v>1621</v>
      </c>
      <c r="B310" s="74"/>
      <c r="C310" s="74" t="s">
        <v>1622</v>
      </c>
      <c r="D310" s="74" t="s">
        <v>1623</v>
      </c>
      <c r="E310" s="30">
        <v>758363881</v>
      </c>
      <c r="F310" s="7" t="s">
        <v>1624</v>
      </c>
      <c r="G310" s="7"/>
      <c r="H310" s="74" t="s">
        <v>1625</v>
      </c>
      <c r="I310" s="75" t="s">
        <v>1626</v>
      </c>
      <c r="J310" s="74">
        <v>738825940</v>
      </c>
      <c r="K310" s="74" t="s">
        <v>1627</v>
      </c>
      <c r="L310" s="74"/>
      <c r="M310" s="74"/>
      <c r="N310" s="74"/>
      <c r="O310" s="74"/>
      <c r="P310" s="74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</row>
    <row r="311" spans="1:36" ht="12.75">
      <c r="A311" s="74"/>
      <c r="B311" s="74"/>
      <c r="C311" s="74"/>
      <c r="D311" s="74"/>
      <c r="E311" s="30"/>
      <c r="F311" s="7"/>
      <c r="G311" s="7"/>
      <c r="H311" s="76"/>
      <c r="I311" s="75" t="s">
        <v>65</v>
      </c>
      <c r="J311" s="76"/>
      <c r="K311" s="76"/>
      <c r="L311" s="74"/>
      <c r="M311" s="74"/>
      <c r="N311" s="74"/>
      <c r="O311" s="74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</row>
    <row r="312" spans="1:36" ht="12.75">
      <c r="A312" s="74" t="s">
        <v>1628</v>
      </c>
      <c r="B312" s="74"/>
      <c r="C312" s="74" t="s">
        <v>1629</v>
      </c>
      <c r="D312" s="74" t="s">
        <v>1630</v>
      </c>
      <c r="E312" s="194">
        <f>254700767131</f>
        <v>254700767131</v>
      </c>
      <c r="F312" s="7" t="s">
        <v>1631</v>
      </c>
      <c r="G312" s="1"/>
      <c r="H312" s="60" t="s">
        <v>1423</v>
      </c>
      <c r="I312" s="88" t="s">
        <v>269</v>
      </c>
      <c r="J312" s="76">
        <f>254725624489</f>
        <v>254725624489</v>
      </c>
      <c r="K312" s="74" t="s">
        <v>1632</v>
      </c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</row>
    <row r="313" spans="1:36" ht="12.75">
      <c r="A313" s="74" t="s">
        <v>1633</v>
      </c>
      <c r="B313" s="74"/>
      <c r="C313" s="74" t="s">
        <v>1634</v>
      </c>
      <c r="D313" s="76"/>
      <c r="E313" s="194"/>
      <c r="F313" s="9"/>
      <c r="G313" s="9"/>
      <c r="H313" s="76"/>
      <c r="I313" s="84"/>
      <c r="L313" s="60"/>
      <c r="M313" s="60"/>
      <c r="N313" s="60"/>
      <c r="O313" s="60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</row>
    <row r="314" spans="1:36" ht="12.75">
      <c r="A314" s="74" t="s">
        <v>1635</v>
      </c>
      <c r="B314" s="74"/>
      <c r="C314" s="74" t="s">
        <v>1636</v>
      </c>
      <c r="D314" s="74" t="s">
        <v>475</v>
      </c>
      <c r="E314" s="146">
        <v>740810735</v>
      </c>
      <c r="F314" s="7" t="s">
        <v>1637</v>
      </c>
      <c r="G314" s="7"/>
      <c r="H314" s="74" t="s">
        <v>1638</v>
      </c>
      <c r="I314" s="75" t="s">
        <v>237</v>
      </c>
      <c r="J314" s="74">
        <v>722206986</v>
      </c>
      <c r="K314" s="74" t="s">
        <v>1639</v>
      </c>
      <c r="L314" s="74"/>
      <c r="M314" s="74"/>
      <c r="N314" s="74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</row>
    <row r="315" spans="1:36" ht="12.75">
      <c r="A315" s="74" t="s">
        <v>1640</v>
      </c>
      <c r="B315" s="74"/>
      <c r="C315" s="74" t="s">
        <v>1641</v>
      </c>
      <c r="D315" s="74" t="s">
        <v>501</v>
      </c>
      <c r="E315" s="146">
        <v>113426979</v>
      </c>
      <c r="F315" s="7" t="s">
        <v>1642</v>
      </c>
      <c r="G315" s="7"/>
      <c r="H315" s="74" t="s">
        <v>1643</v>
      </c>
      <c r="I315" s="75" t="s">
        <v>218</v>
      </c>
      <c r="J315" s="74">
        <v>703360107</v>
      </c>
      <c r="K315" s="74">
        <v>703360107</v>
      </c>
      <c r="L315" s="74"/>
      <c r="M315" s="74"/>
      <c r="N315" s="74"/>
      <c r="O315" s="74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</row>
    <row r="316" spans="1:36" ht="12.75">
      <c r="A316" s="74" t="s">
        <v>1644</v>
      </c>
      <c r="B316" s="74"/>
      <c r="C316" s="74" t="s">
        <v>1645</v>
      </c>
      <c r="D316" s="74" t="s">
        <v>1646</v>
      </c>
      <c r="E316" s="146">
        <v>745340588</v>
      </c>
      <c r="F316" s="7" t="s">
        <v>493</v>
      </c>
      <c r="G316" s="7"/>
      <c r="H316" s="74"/>
      <c r="I316" s="75"/>
      <c r="J316" s="74"/>
      <c r="K316" s="74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</row>
    <row r="317" spans="1:36" ht="12.75">
      <c r="A317" s="74" t="s">
        <v>1647</v>
      </c>
      <c r="B317" s="74"/>
      <c r="C317" s="74" t="s">
        <v>1648</v>
      </c>
      <c r="D317" s="74" t="s">
        <v>301</v>
      </c>
      <c r="E317" s="146">
        <v>741252060</v>
      </c>
      <c r="F317" s="7" t="s">
        <v>1649</v>
      </c>
      <c r="G317" s="7"/>
      <c r="H317" s="74" t="s">
        <v>1650</v>
      </c>
      <c r="I317" s="75" t="s">
        <v>677</v>
      </c>
      <c r="J317" s="74" t="s">
        <v>1651</v>
      </c>
      <c r="K317" s="74" t="s">
        <v>1652</v>
      </c>
      <c r="L317" s="74"/>
      <c r="M317" s="74"/>
      <c r="N317" s="74"/>
      <c r="O317" s="74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</row>
    <row r="318" spans="1:36" ht="12.75">
      <c r="A318" s="74" t="s">
        <v>1653</v>
      </c>
      <c r="B318" s="74"/>
      <c r="C318" s="74" t="s">
        <v>1654</v>
      </c>
      <c r="D318" s="74" t="s">
        <v>108</v>
      </c>
      <c r="E318" s="146">
        <v>743787768</v>
      </c>
      <c r="F318" s="7" t="s">
        <v>1655</v>
      </c>
      <c r="G318" s="7"/>
      <c r="H318" s="74" t="s">
        <v>1656</v>
      </c>
      <c r="I318" s="75" t="s">
        <v>1657</v>
      </c>
      <c r="J318" s="74">
        <v>798720923</v>
      </c>
      <c r="K318" s="74" t="s">
        <v>1658</v>
      </c>
      <c r="L318" s="74"/>
      <c r="M318" s="74"/>
      <c r="N318" s="74"/>
      <c r="O318" s="74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</row>
    <row r="319" spans="1:36" ht="12.75">
      <c r="A319" s="74" t="s">
        <v>1659</v>
      </c>
      <c r="B319" s="74"/>
      <c r="C319" s="74" t="s">
        <v>1660</v>
      </c>
      <c r="D319" s="74" t="s">
        <v>1661</v>
      </c>
      <c r="E319" s="146">
        <v>743684461</v>
      </c>
      <c r="F319" s="7" t="s">
        <v>1662</v>
      </c>
      <c r="G319" s="7"/>
      <c r="H319" s="74" t="s">
        <v>1663</v>
      </c>
      <c r="I319" s="75" t="s">
        <v>1664</v>
      </c>
      <c r="J319" s="74">
        <v>800720370</v>
      </c>
      <c r="K319" s="74" t="s">
        <v>1665</v>
      </c>
      <c r="L319" s="74"/>
      <c r="M319" s="74"/>
      <c r="N319" s="74"/>
      <c r="O319" s="74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</row>
    <row r="320" spans="1:36" ht="12.75">
      <c r="A320" s="74" t="s">
        <v>1666</v>
      </c>
      <c r="B320" s="74"/>
      <c r="C320" s="74" t="s">
        <v>1667</v>
      </c>
      <c r="D320" s="74" t="s">
        <v>749</v>
      </c>
      <c r="E320" s="146">
        <v>769681039</v>
      </c>
      <c r="F320" s="7" t="s">
        <v>1668</v>
      </c>
      <c r="G320" s="7"/>
      <c r="H320" s="74" t="s">
        <v>1669</v>
      </c>
      <c r="I320" s="75" t="s">
        <v>237</v>
      </c>
      <c r="J320" s="74">
        <v>713244444</v>
      </c>
      <c r="K320" s="74" t="s">
        <v>1670</v>
      </c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</row>
    <row r="321" spans="1:36" ht="12.75">
      <c r="A321" s="269" t="s">
        <v>1671</v>
      </c>
      <c r="B321" s="269"/>
      <c r="C321" s="264" t="s">
        <v>1672</v>
      </c>
      <c r="D321" s="98" t="s">
        <v>207</v>
      </c>
      <c r="E321" s="262">
        <v>792088927</v>
      </c>
      <c r="F321" s="7" t="s">
        <v>1673</v>
      </c>
      <c r="G321" s="7"/>
      <c r="H321" s="7" t="s">
        <v>1674</v>
      </c>
      <c r="I321" s="8" t="s">
        <v>437</v>
      </c>
      <c r="J321" s="60" t="s">
        <v>1675</v>
      </c>
      <c r="K321" s="60" t="s">
        <v>1676</v>
      </c>
      <c r="L321" s="190"/>
      <c r="M321" s="190"/>
      <c r="N321" s="190"/>
      <c r="O321" s="190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</row>
    <row r="322" spans="1:36" ht="12.75">
      <c r="A322" s="74" t="s">
        <v>1677</v>
      </c>
      <c r="B322" s="74"/>
      <c r="C322" s="74" t="s">
        <v>1678</v>
      </c>
      <c r="D322" s="74" t="s">
        <v>951</v>
      </c>
      <c r="E322" s="146">
        <v>25494595047</v>
      </c>
      <c r="F322" s="7" t="s">
        <v>1679</v>
      </c>
      <c r="G322" s="7"/>
      <c r="H322" s="74" t="s">
        <v>1680</v>
      </c>
      <c r="I322" s="75" t="s">
        <v>245</v>
      </c>
      <c r="J322" s="60">
        <v>254722501129</v>
      </c>
      <c r="K322" s="74" t="s">
        <v>1681</v>
      </c>
      <c r="L322" s="74"/>
      <c r="M322" s="74"/>
      <c r="N322" s="74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</row>
    <row r="323" spans="1:36" ht="12.75">
      <c r="A323" s="74" t="s">
        <v>1682</v>
      </c>
      <c r="B323" s="74"/>
      <c r="C323" s="74" t="s">
        <v>1683</v>
      </c>
      <c r="D323" s="74" t="s">
        <v>891</v>
      </c>
      <c r="E323" s="146">
        <v>769790972</v>
      </c>
      <c r="F323" s="7" t="s">
        <v>1684</v>
      </c>
      <c r="G323" s="7"/>
      <c r="H323" s="74" t="s">
        <v>1685</v>
      </c>
      <c r="I323" s="75" t="s">
        <v>1686</v>
      </c>
      <c r="J323" s="74">
        <v>206676999</v>
      </c>
      <c r="K323" s="74" t="s">
        <v>924</v>
      </c>
      <c r="L323" s="74"/>
      <c r="M323" s="74"/>
      <c r="N323" s="74"/>
      <c r="O323" s="74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</row>
    <row r="324" spans="1:36" ht="12.75">
      <c r="A324" s="74" t="s">
        <v>1687</v>
      </c>
      <c r="B324" s="74"/>
      <c r="C324" s="74" t="s">
        <v>1688</v>
      </c>
      <c r="D324" s="74" t="s">
        <v>1689</v>
      </c>
      <c r="E324" s="146">
        <v>793929801</v>
      </c>
      <c r="F324" s="7" t="s">
        <v>711</v>
      </c>
      <c r="G324" s="7"/>
      <c r="H324" s="74" t="s">
        <v>1690</v>
      </c>
      <c r="I324" s="75" t="s">
        <v>713</v>
      </c>
      <c r="J324" s="74">
        <v>727618228</v>
      </c>
      <c r="K324" s="74" t="s">
        <v>714</v>
      </c>
      <c r="L324" s="74"/>
      <c r="M324" s="74"/>
      <c r="N324" s="74"/>
      <c r="O324" s="74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</row>
    <row r="325" spans="1:36" ht="12.75">
      <c r="A325" s="74" t="s">
        <v>1691</v>
      </c>
      <c r="B325" s="74"/>
      <c r="C325" s="74" t="s">
        <v>1692</v>
      </c>
      <c r="D325" s="60" t="s">
        <v>78</v>
      </c>
      <c r="E325" s="146">
        <v>716371259</v>
      </c>
      <c r="F325" s="7" t="s">
        <v>1693</v>
      </c>
      <c r="G325" s="7"/>
      <c r="H325" s="7" t="s">
        <v>1694</v>
      </c>
      <c r="I325" s="75" t="s">
        <v>237</v>
      </c>
      <c r="J325" s="74" t="s">
        <v>1695</v>
      </c>
      <c r="K325" s="74" t="s">
        <v>1696</v>
      </c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</row>
    <row r="326" spans="1:36" ht="12.75">
      <c r="A326" s="264" t="s">
        <v>1697</v>
      </c>
      <c r="B326" s="264"/>
      <c r="C326" s="264" t="s">
        <v>1698</v>
      </c>
      <c r="D326" s="264" t="s">
        <v>1699</v>
      </c>
      <c r="E326" s="262">
        <v>254111777670</v>
      </c>
      <c r="F326" s="7" t="s">
        <v>1700</v>
      </c>
      <c r="G326" s="7"/>
      <c r="H326" s="74" t="s">
        <v>1701</v>
      </c>
      <c r="I326" s="75" t="s">
        <v>726</v>
      </c>
      <c r="J326" s="74">
        <v>202066042</v>
      </c>
      <c r="K326" s="74" t="s">
        <v>1702</v>
      </c>
      <c r="L326" s="74"/>
      <c r="M326" s="74"/>
      <c r="N326" s="74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</row>
    <row r="327" spans="1:36" ht="12.75">
      <c r="A327" s="74" t="s">
        <v>1703</v>
      </c>
      <c r="B327" s="74"/>
      <c r="C327" s="74" t="s">
        <v>1704</v>
      </c>
      <c r="D327" s="74" t="s">
        <v>373</v>
      </c>
      <c r="E327" s="146">
        <v>723629491</v>
      </c>
      <c r="F327" s="7" t="s">
        <v>1693</v>
      </c>
      <c r="G327" s="7"/>
      <c r="H327" s="7" t="s">
        <v>1693</v>
      </c>
      <c r="I327" s="75" t="s">
        <v>237</v>
      </c>
      <c r="J327" s="74" t="s">
        <v>1695</v>
      </c>
      <c r="K327" s="74" t="s">
        <v>1696</v>
      </c>
      <c r="L327" s="74"/>
      <c r="M327" s="74"/>
      <c r="N327" s="74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</row>
    <row r="328" spans="1:36" ht="14.25">
      <c r="A328" s="74" t="s">
        <v>1705</v>
      </c>
      <c r="B328" s="74"/>
      <c r="C328" s="74" t="s">
        <v>1706</v>
      </c>
      <c r="D328" s="74" t="s">
        <v>460</v>
      </c>
      <c r="E328" s="146">
        <v>110447025</v>
      </c>
      <c r="F328" s="7" t="s">
        <v>1707</v>
      </c>
      <c r="G328" s="7"/>
      <c r="H328" s="74" t="s">
        <v>1708</v>
      </c>
      <c r="I328" s="75" t="s">
        <v>599</v>
      </c>
      <c r="J328" s="191" t="s">
        <v>1709</v>
      </c>
      <c r="K328" s="191" t="s">
        <v>1710</v>
      </c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</row>
    <row r="329" spans="1:36" ht="12.75">
      <c r="A329" s="74" t="s">
        <v>1711</v>
      </c>
      <c r="B329" s="74"/>
      <c r="C329" s="74" t="s">
        <v>1712</v>
      </c>
      <c r="D329" s="74" t="s">
        <v>71</v>
      </c>
      <c r="E329" s="146">
        <v>793941363</v>
      </c>
      <c r="F329" s="7" t="s">
        <v>1713</v>
      </c>
      <c r="G329" s="7"/>
      <c r="H329" s="74" t="s">
        <v>1714</v>
      </c>
      <c r="I329" s="75" t="s">
        <v>1715</v>
      </c>
      <c r="J329" s="74">
        <v>703453022</v>
      </c>
      <c r="K329" s="74" t="s">
        <v>1716</v>
      </c>
      <c r="L329" s="74"/>
      <c r="M329" s="74"/>
      <c r="N329" s="74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</row>
    <row r="330" spans="1:36" ht="12.75">
      <c r="A330" s="74" t="s">
        <v>1717</v>
      </c>
      <c r="B330" s="74"/>
      <c r="C330" s="74" t="s">
        <v>1718</v>
      </c>
      <c r="D330" s="74" t="s">
        <v>1719</v>
      </c>
      <c r="E330" s="146">
        <v>745276852</v>
      </c>
      <c r="F330" s="7" t="s">
        <v>1720</v>
      </c>
      <c r="G330" s="7"/>
      <c r="H330" s="74" t="s">
        <v>1721</v>
      </c>
      <c r="I330" s="75" t="s">
        <v>218</v>
      </c>
      <c r="J330" s="74">
        <v>254203201000</v>
      </c>
      <c r="K330" s="192" t="s">
        <v>1722</v>
      </c>
      <c r="L330" s="74"/>
      <c r="M330" s="74"/>
      <c r="N330" s="74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</row>
    <row r="331" spans="1:36" ht="12.75">
      <c r="A331" s="1" t="s">
        <v>1723</v>
      </c>
      <c r="B331" s="1"/>
      <c r="C331" s="74" t="s">
        <v>1724</v>
      </c>
      <c r="D331" s="74" t="s">
        <v>616</v>
      </c>
      <c r="E331" s="146">
        <v>254741361811</v>
      </c>
      <c r="F331" s="7" t="s">
        <v>1725</v>
      </c>
      <c r="G331" s="7"/>
      <c r="H331" s="74" t="s">
        <v>1726</v>
      </c>
      <c r="I331" s="75" t="s">
        <v>599</v>
      </c>
      <c r="J331" s="74">
        <v>254727933950</v>
      </c>
      <c r="K331" s="74" t="s">
        <v>1727</v>
      </c>
      <c r="L331" s="74"/>
      <c r="M331" s="74"/>
      <c r="N331" s="74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</row>
    <row r="332" spans="1:36" ht="12.75">
      <c r="A332" s="74" t="s">
        <v>1728</v>
      </c>
      <c r="B332" s="74"/>
      <c r="C332" s="74" t="s">
        <v>1729</v>
      </c>
      <c r="D332" s="74" t="s">
        <v>71</v>
      </c>
      <c r="E332" s="146">
        <v>743054776</v>
      </c>
      <c r="F332" s="7" t="s">
        <v>1730</v>
      </c>
      <c r="G332" s="7"/>
      <c r="H332" s="74" t="s">
        <v>1731</v>
      </c>
      <c r="I332" s="75" t="s">
        <v>59</v>
      </c>
      <c r="J332" s="74">
        <v>741646412</v>
      </c>
      <c r="K332" s="74" t="s">
        <v>1732</v>
      </c>
      <c r="L332" s="74"/>
      <c r="M332" s="74"/>
      <c r="N332" s="74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</row>
    <row r="333" spans="1:36" ht="12.75">
      <c r="A333" s="74" t="s">
        <v>1733</v>
      </c>
      <c r="B333" s="74"/>
      <c r="C333" s="74" t="s">
        <v>1734</v>
      </c>
      <c r="D333" s="74" t="s">
        <v>71</v>
      </c>
      <c r="E333" s="146">
        <v>720569701</v>
      </c>
      <c r="F333" s="7" t="s">
        <v>1735</v>
      </c>
      <c r="G333" s="7"/>
      <c r="H333" s="74" t="s">
        <v>1736</v>
      </c>
      <c r="I333" s="75" t="s">
        <v>237</v>
      </c>
      <c r="J333" s="74">
        <v>725624489</v>
      </c>
      <c r="K333" s="74" t="s">
        <v>1424</v>
      </c>
      <c r="L333" s="74"/>
      <c r="M333" s="74"/>
      <c r="N333" s="74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</row>
    <row r="334" spans="1:36" ht="12.75">
      <c r="A334" s="74" t="s">
        <v>1737</v>
      </c>
      <c r="B334" s="74"/>
      <c r="C334" s="74" t="s">
        <v>1738</v>
      </c>
      <c r="D334" s="74" t="s">
        <v>454</v>
      </c>
      <c r="E334" s="157">
        <v>113961791</v>
      </c>
      <c r="F334" s="7" t="s">
        <v>1065</v>
      </c>
      <c r="G334" s="7"/>
      <c r="H334" s="74" t="s">
        <v>1739</v>
      </c>
      <c r="I334" s="75" t="s">
        <v>1067</v>
      </c>
      <c r="J334" s="74">
        <v>722897169</v>
      </c>
      <c r="K334" s="74" t="s">
        <v>1068</v>
      </c>
      <c r="L334" s="74"/>
      <c r="M334" s="74"/>
      <c r="N334" s="74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</row>
    <row r="335" spans="1:36" ht="12.75">
      <c r="A335" s="74" t="s">
        <v>1740</v>
      </c>
      <c r="B335" s="74"/>
      <c r="C335" s="74" t="s">
        <v>1741</v>
      </c>
      <c r="D335" s="74" t="s">
        <v>1742</v>
      </c>
      <c r="E335" s="146">
        <v>794790524</v>
      </c>
      <c r="F335" s="7" t="s">
        <v>1743</v>
      </c>
      <c r="G335" s="7"/>
      <c r="H335" s="74" t="s">
        <v>1744</v>
      </c>
      <c r="I335" s="75" t="s">
        <v>59</v>
      </c>
      <c r="J335" s="74">
        <v>720668236</v>
      </c>
      <c r="K335" s="74" t="s">
        <v>1745</v>
      </c>
      <c r="L335" s="74"/>
      <c r="M335" s="74"/>
      <c r="N335" s="74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</row>
    <row r="336" spans="1:36" ht="12.75">
      <c r="A336" s="74" t="s">
        <v>1746</v>
      </c>
      <c r="B336" s="74"/>
      <c r="C336" s="74" t="s">
        <v>1747</v>
      </c>
      <c r="D336" s="74" t="s">
        <v>301</v>
      </c>
      <c r="E336" s="146">
        <v>799997183</v>
      </c>
      <c r="F336" s="1" t="s">
        <v>1748</v>
      </c>
      <c r="G336" s="1"/>
      <c r="H336" s="74" t="s">
        <v>1749</v>
      </c>
      <c r="I336" s="75" t="s">
        <v>677</v>
      </c>
      <c r="J336" s="74">
        <v>725393939</v>
      </c>
      <c r="K336" s="74" t="s">
        <v>1750</v>
      </c>
      <c r="L336" s="74"/>
      <c r="M336" s="74"/>
      <c r="N336" s="74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</row>
    <row r="337" spans="1:36" ht="12.75">
      <c r="A337" s="74" t="s">
        <v>1751</v>
      </c>
      <c r="B337" s="74"/>
      <c r="C337" s="74" t="s">
        <v>1752</v>
      </c>
      <c r="D337" s="74" t="s">
        <v>1753</v>
      </c>
      <c r="E337" s="146">
        <v>115344075</v>
      </c>
      <c r="F337" s="7" t="s">
        <v>1422</v>
      </c>
      <c r="G337" s="7"/>
      <c r="H337" s="74"/>
      <c r="I337" s="75"/>
      <c r="J337" s="74"/>
      <c r="K337" s="74"/>
      <c r="L337" s="74"/>
      <c r="M337" s="74"/>
      <c r="N337" s="74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</row>
    <row r="338" spans="1:36" ht="12.75">
      <c r="A338" s="74" t="s">
        <v>1754</v>
      </c>
      <c r="B338" s="74"/>
      <c r="C338" s="74" t="s">
        <v>1755</v>
      </c>
      <c r="D338" s="74" t="s">
        <v>1756</v>
      </c>
      <c r="E338" s="146">
        <v>254114559812</v>
      </c>
      <c r="F338" s="7" t="s">
        <v>1757</v>
      </c>
      <c r="G338" s="7"/>
      <c r="H338" s="74" t="s">
        <v>1758</v>
      </c>
      <c r="I338" s="75" t="s">
        <v>1010</v>
      </c>
      <c r="J338" s="74">
        <v>722207868</v>
      </c>
      <c r="K338" s="74" t="s">
        <v>1759</v>
      </c>
      <c r="L338" s="74"/>
      <c r="M338" s="74"/>
      <c r="N338" s="74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</row>
    <row r="339" spans="1:36" ht="12.75">
      <c r="A339" s="74" t="s">
        <v>1760</v>
      </c>
      <c r="B339" s="74"/>
      <c r="C339" s="74" t="s">
        <v>1761</v>
      </c>
      <c r="D339" s="74" t="s">
        <v>341</v>
      </c>
      <c r="E339" s="146">
        <v>722956410</v>
      </c>
      <c r="F339" s="7" t="s">
        <v>1762</v>
      </c>
      <c r="G339" s="7"/>
      <c r="H339" s="74" t="s">
        <v>1763</v>
      </c>
      <c r="I339" s="75" t="s">
        <v>1764</v>
      </c>
      <c r="J339" s="60">
        <v>202688929</v>
      </c>
      <c r="K339" s="74" t="s">
        <v>1765</v>
      </c>
      <c r="L339" s="74"/>
      <c r="M339" s="74"/>
      <c r="N339" s="74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</row>
    <row r="340" spans="1:36" ht="12.75">
      <c r="A340" s="74" t="s">
        <v>1766</v>
      </c>
      <c r="B340" s="74"/>
      <c r="C340" s="74" t="s">
        <v>1767</v>
      </c>
      <c r="D340" s="74" t="s">
        <v>1441</v>
      </c>
      <c r="E340" s="194">
        <f>254708373009</f>
        <v>254708373009</v>
      </c>
      <c r="F340" s="193" t="s">
        <v>806</v>
      </c>
      <c r="G340" s="193"/>
      <c r="H340" s="146" t="s">
        <v>807</v>
      </c>
      <c r="I340" s="147" t="s">
        <v>356</v>
      </c>
      <c r="J340" s="194">
        <f>254722841136</f>
        <v>254722841136</v>
      </c>
      <c r="K340" s="74" t="s">
        <v>808</v>
      </c>
      <c r="L340" s="74"/>
      <c r="M340" s="74"/>
      <c r="N340" s="74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</row>
    <row r="341" spans="1:36" ht="12.75">
      <c r="A341" s="74" t="s">
        <v>1768</v>
      </c>
      <c r="B341" s="74"/>
      <c r="C341" s="74" t="s">
        <v>1769</v>
      </c>
      <c r="D341" s="74" t="s">
        <v>1770</v>
      </c>
      <c r="E341" s="146">
        <v>740953711</v>
      </c>
      <c r="F341" s="7" t="s">
        <v>1771</v>
      </c>
      <c r="G341" s="7"/>
      <c r="H341" s="74" t="s">
        <v>1772</v>
      </c>
      <c r="I341" s="75" t="s">
        <v>1773</v>
      </c>
      <c r="J341" s="74">
        <v>715663018</v>
      </c>
      <c r="K341" s="74" t="s">
        <v>1774</v>
      </c>
      <c r="L341" s="74"/>
      <c r="M341" s="74"/>
      <c r="N341" s="74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</row>
    <row r="342" spans="1:36" ht="12.75">
      <c r="A342" s="74" t="s">
        <v>1775</v>
      </c>
      <c r="B342" s="74"/>
      <c r="C342" s="74" t="s">
        <v>1776</v>
      </c>
      <c r="D342" s="74" t="s">
        <v>227</v>
      </c>
      <c r="E342" s="146">
        <v>745397503</v>
      </c>
      <c r="F342" s="7" t="s">
        <v>342</v>
      </c>
      <c r="G342" s="7"/>
      <c r="H342" s="74" t="s">
        <v>355</v>
      </c>
      <c r="I342" s="75" t="s">
        <v>14</v>
      </c>
      <c r="J342" s="74">
        <v>710453693</v>
      </c>
      <c r="K342" s="74" t="s">
        <v>105</v>
      </c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</row>
    <row r="343" spans="1:36" ht="12.75">
      <c r="A343" s="74" t="s">
        <v>1777</v>
      </c>
      <c r="B343" s="74"/>
      <c r="C343" s="74" t="s">
        <v>1778</v>
      </c>
      <c r="D343" s="74" t="s">
        <v>38</v>
      </c>
      <c r="E343" s="146">
        <v>712986086</v>
      </c>
      <c r="F343" s="7" t="s">
        <v>1779</v>
      </c>
      <c r="G343" s="7"/>
      <c r="H343" s="74" t="s">
        <v>1780</v>
      </c>
      <c r="I343" s="75" t="s">
        <v>1781</v>
      </c>
      <c r="J343" s="74">
        <v>798985151</v>
      </c>
      <c r="K343" s="195" t="s">
        <v>1782</v>
      </c>
      <c r="L343" s="74"/>
      <c r="M343" s="74"/>
      <c r="N343" s="74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</row>
    <row r="344" spans="1:36" ht="12.75">
      <c r="A344" s="74" t="s">
        <v>1783</v>
      </c>
      <c r="B344" s="74"/>
      <c r="C344" s="74" t="s">
        <v>1784</v>
      </c>
      <c r="D344" s="74" t="s">
        <v>198</v>
      </c>
      <c r="E344" s="146">
        <v>751778415</v>
      </c>
      <c r="F344" s="7" t="s">
        <v>243</v>
      </c>
      <c r="G344" s="7"/>
      <c r="H344" s="74" t="s">
        <v>582</v>
      </c>
      <c r="I344" s="75" t="s">
        <v>245</v>
      </c>
      <c r="J344" s="74">
        <v>710907511</v>
      </c>
      <c r="K344" s="74" t="s">
        <v>246</v>
      </c>
      <c r="L344" s="74"/>
      <c r="M344" s="74"/>
      <c r="N344" s="74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</row>
    <row r="345" spans="1:36" ht="12.75">
      <c r="A345" s="74" t="s">
        <v>1785</v>
      </c>
      <c r="B345" s="74"/>
      <c r="C345" s="74" t="s">
        <v>1786</v>
      </c>
      <c r="D345" s="74" t="s">
        <v>1328</v>
      </c>
      <c r="E345" s="146">
        <v>743871944</v>
      </c>
      <c r="F345" s="7" t="s">
        <v>1329</v>
      </c>
      <c r="G345" s="7"/>
      <c r="H345" s="74" t="s">
        <v>1330</v>
      </c>
      <c r="I345" s="75" t="s">
        <v>1331</v>
      </c>
      <c r="J345" s="74">
        <v>512217987</v>
      </c>
      <c r="K345" s="74" t="s">
        <v>1332</v>
      </c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</row>
    <row r="346" spans="1:36" ht="12.75">
      <c r="A346" s="74" t="s">
        <v>1787</v>
      </c>
      <c r="B346" s="74"/>
      <c r="C346" s="74" t="s">
        <v>1788</v>
      </c>
      <c r="D346" s="74" t="s">
        <v>460</v>
      </c>
      <c r="E346" s="146">
        <v>768069338</v>
      </c>
      <c r="F346" s="7" t="s">
        <v>1707</v>
      </c>
      <c r="G346" s="7"/>
      <c r="H346" s="74" t="s">
        <v>1789</v>
      </c>
      <c r="I346" s="75" t="s">
        <v>599</v>
      </c>
      <c r="J346" s="74">
        <v>682231156</v>
      </c>
      <c r="K346" s="74" t="s">
        <v>1710</v>
      </c>
      <c r="L346" s="74"/>
      <c r="M346" s="74"/>
      <c r="N346" s="74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</row>
    <row r="347" spans="1:36" ht="12.75">
      <c r="A347" s="98" t="s">
        <v>1790</v>
      </c>
      <c r="B347" s="98"/>
      <c r="C347" s="74" t="s">
        <v>1791</v>
      </c>
      <c r="D347" s="74" t="s">
        <v>1792</v>
      </c>
      <c r="E347" s="146">
        <v>711518265</v>
      </c>
      <c r="F347" s="7" t="s">
        <v>1107</v>
      </c>
      <c r="G347" s="7"/>
      <c r="H347" s="74" t="s">
        <v>355</v>
      </c>
      <c r="I347" s="75" t="s">
        <v>1793</v>
      </c>
      <c r="J347" s="74" t="s">
        <v>357</v>
      </c>
      <c r="K347" s="74" t="s">
        <v>105</v>
      </c>
      <c r="L347" s="74"/>
      <c r="M347" s="74"/>
      <c r="N347" s="74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</row>
    <row r="348" spans="1:36" ht="12.75">
      <c r="A348" s="74" t="s">
        <v>1794</v>
      </c>
      <c r="B348" s="74"/>
      <c r="C348" s="74" t="s">
        <v>1795</v>
      </c>
      <c r="D348" s="74" t="s">
        <v>1458</v>
      </c>
      <c r="E348" s="194">
        <f>254757691166</f>
        <v>254757691166</v>
      </c>
      <c r="F348" s="7" t="s">
        <v>1796</v>
      </c>
      <c r="G348" s="7"/>
      <c r="H348" s="74" t="s">
        <v>1797</v>
      </c>
      <c r="I348" s="75" t="s">
        <v>193</v>
      </c>
      <c r="J348" s="74">
        <v>254790550367</v>
      </c>
      <c r="K348" s="74" t="s">
        <v>1798</v>
      </c>
      <c r="L348" s="74"/>
      <c r="M348" s="74"/>
      <c r="N348" s="74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</row>
    <row r="349" spans="1:36" ht="12.75">
      <c r="A349" s="269" t="s">
        <v>1799</v>
      </c>
      <c r="B349" s="269"/>
      <c r="C349" s="264" t="s">
        <v>1800</v>
      </c>
      <c r="D349" s="264" t="s">
        <v>604</v>
      </c>
      <c r="E349" s="262">
        <v>725114024</v>
      </c>
      <c r="F349" s="7" t="s">
        <v>1801</v>
      </c>
      <c r="G349" s="7"/>
      <c r="H349" s="74" t="s">
        <v>1802</v>
      </c>
      <c r="I349" s="75" t="s">
        <v>1803</v>
      </c>
      <c r="J349" s="74" t="s">
        <v>1804</v>
      </c>
      <c r="K349" s="74" t="s">
        <v>1805</v>
      </c>
      <c r="L349" s="74"/>
      <c r="M349" s="74"/>
      <c r="N349" s="74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</row>
    <row r="350" spans="1:36" ht="14.25">
      <c r="A350" s="74" t="s">
        <v>1806</v>
      </c>
      <c r="B350" s="74"/>
      <c r="C350" s="74" t="s">
        <v>1807</v>
      </c>
      <c r="D350" s="74" t="s">
        <v>616</v>
      </c>
      <c r="E350" s="146">
        <v>717191373</v>
      </c>
      <c r="F350" s="7" t="s">
        <v>1808</v>
      </c>
      <c r="G350" s="7"/>
      <c r="H350" s="74" t="s">
        <v>1809</v>
      </c>
      <c r="I350" s="75" t="s">
        <v>1810</v>
      </c>
      <c r="J350" s="74" t="s">
        <v>1811</v>
      </c>
      <c r="K350" s="196" t="s">
        <v>1812</v>
      </c>
      <c r="L350" s="74"/>
      <c r="M350" s="74"/>
      <c r="N350" s="74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</row>
    <row r="351" spans="1:36" ht="12.75">
      <c r="A351" s="103" t="s">
        <v>1813</v>
      </c>
      <c r="B351" s="103"/>
      <c r="C351" s="103" t="s">
        <v>1814</v>
      </c>
      <c r="D351" s="108" t="s">
        <v>1814</v>
      </c>
      <c r="E351" s="194"/>
      <c r="F351" s="103" t="s">
        <v>1815</v>
      </c>
      <c r="G351" s="103"/>
      <c r="H351" s="103" t="s">
        <v>1816</v>
      </c>
      <c r="I351" s="104" t="s">
        <v>218</v>
      </c>
      <c r="J351" s="105">
        <v>254759441965</v>
      </c>
      <c r="K351" s="103" t="s">
        <v>1817</v>
      </c>
      <c r="L351" s="74"/>
      <c r="M351" s="74"/>
      <c r="N351" s="74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</row>
    <row r="352" spans="1:36" ht="12.75">
      <c r="A352" s="74" t="s">
        <v>1818</v>
      </c>
      <c r="B352" s="74"/>
      <c r="C352" s="74" t="s">
        <v>1819</v>
      </c>
      <c r="D352" s="74" t="s">
        <v>501</v>
      </c>
      <c r="E352" s="146">
        <v>702518322</v>
      </c>
      <c r="F352" s="7" t="s">
        <v>1820</v>
      </c>
      <c r="G352" s="7"/>
      <c r="H352" s="74" t="s">
        <v>1821</v>
      </c>
      <c r="I352" s="75" t="s">
        <v>65</v>
      </c>
      <c r="J352" s="74">
        <v>723679645</v>
      </c>
      <c r="K352" s="74" t="s">
        <v>1822</v>
      </c>
      <c r="L352" s="74"/>
      <c r="M352" s="74"/>
      <c r="N352" s="74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</row>
    <row r="353" spans="1:36" ht="12.75">
      <c r="A353" s="74" t="s">
        <v>1823</v>
      </c>
      <c r="B353" s="74"/>
      <c r="C353" s="74" t="s">
        <v>1824</v>
      </c>
      <c r="D353" s="74" t="s">
        <v>1825</v>
      </c>
      <c r="E353" s="146">
        <v>784388520</v>
      </c>
      <c r="F353" s="7" t="s">
        <v>1826</v>
      </c>
      <c r="G353" s="7"/>
      <c r="H353" s="76"/>
      <c r="I353" s="84"/>
      <c r="J353" s="76"/>
      <c r="K353" s="76"/>
      <c r="L353" s="74"/>
      <c r="M353" s="74"/>
      <c r="N353" s="74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</row>
    <row r="354" spans="1:36" ht="12.75">
      <c r="A354" s="74" t="s">
        <v>1827</v>
      </c>
      <c r="B354" s="74"/>
      <c r="C354" s="74" t="s">
        <v>1828</v>
      </c>
      <c r="D354" s="74" t="s">
        <v>1829</v>
      </c>
      <c r="E354" s="146">
        <v>791967866</v>
      </c>
      <c r="F354" s="198" t="s">
        <v>700</v>
      </c>
      <c r="G354" s="198"/>
      <c r="H354" s="198" t="s">
        <v>450</v>
      </c>
      <c r="I354" s="199" t="s">
        <v>451</v>
      </c>
      <c r="J354" s="200">
        <v>799290741</v>
      </c>
      <c r="K354" s="198" t="s">
        <v>87</v>
      </c>
      <c r="L354" s="74"/>
      <c r="M354" s="74"/>
      <c r="N354" s="74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</row>
    <row r="355" spans="1:36" ht="12.75">
      <c r="A355" s="282" t="s">
        <v>1830</v>
      </c>
      <c r="B355" s="282"/>
      <c r="C355" s="282" t="s">
        <v>1831</v>
      </c>
      <c r="D355" s="282" t="s">
        <v>1832</v>
      </c>
      <c r="E355" s="146">
        <v>790403331</v>
      </c>
      <c r="F355" s="7" t="s">
        <v>1833</v>
      </c>
      <c r="G355" s="7"/>
      <c r="H355" s="74" t="s">
        <v>1834</v>
      </c>
      <c r="I355" s="75" t="s">
        <v>269</v>
      </c>
      <c r="J355" s="202" t="s">
        <v>1835</v>
      </c>
      <c r="K355" s="74" t="s">
        <v>1836</v>
      </c>
      <c r="L355" s="74"/>
      <c r="M355" s="74"/>
      <c r="N355" s="74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</row>
    <row r="356" spans="1:36" ht="15">
      <c r="A356" s="74" t="s">
        <v>1837</v>
      </c>
      <c r="B356" s="74"/>
      <c r="C356" s="74" t="s">
        <v>1838</v>
      </c>
      <c r="D356" s="74" t="s">
        <v>337</v>
      </c>
      <c r="E356" s="194">
        <f>254112741656</f>
        <v>254112741656</v>
      </c>
      <c r="F356" s="7" t="s">
        <v>1839</v>
      </c>
      <c r="G356" s="7"/>
      <c r="H356" s="203" t="s">
        <v>1840</v>
      </c>
      <c r="I356" s="75" t="s">
        <v>356</v>
      </c>
      <c r="J356" s="123" t="s">
        <v>1841</v>
      </c>
      <c r="K356" s="123" t="s">
        <v>1842</v>
      </c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</row>
    <row r="357" spans="1:36" ht="12.75">
      <c r="A357" s="74" t="s">
        <v>1843</v>
      </c>
      <c r="B357" s="74"/>
      <c r="C357" s="74" t="s">
        <v>1844</v>
      </c>
      <c r="D357" s="74" t="s">
        <v>279</v>
      </c>
      <c r="E357" s="146">
        <v>254115464041</v>
      </c>
      <c r="F357" s="7" t="s">
        <v>1845</v>
      </c>
      <c r="G357" s="7"/>
      <c r="H357" s="74" t="s">
        <v>1846</v>
      </c>
      <c r="I357" s="75" t="s">
        <v>1498</v>
      </c>
      <c r="J357" s="74">
        <v>254723281150</v>
      </c>
      <c r="K357" s="74" t="s">
        <v>1847</v>
      </c>
      <c r="L357" s="74"/>
      <c r="M357" s="74"/>
      <c r="N357" s="74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</row>
    <row r="358" spans="1:36" ht="12.75">
      <c r="A358" s="283" t="s">
        <v>1848</v>
      </c>
      <c r="B358" s="283"/>
      <c r="C358" s="264" t="s">
        <v>1849</v>
      </c>
      <c r="D358" s="264" t="s">
        <v>310</v>
      </c>
      <c r="E358" s="262">
        <v>112955879</v>
      </c>
      <c r="F358" s="7" t="s">
        <v>1850</v>
      </c>
      <c r="G358" s="7"/>
      <c r="H358" s="7" t="s">
        <v>1851</v>
      </c>
      <c r="I358" s="8" t="s">
        <v>1852</v>
      </c>
      <c r="J358" s="74" t="s">
        <v>1853</v>
      </c>
      <c r="K358" s="74" t="s">
        <v>1854</v>
      </c>
      <c r="L358" s="74"/>
      <c r="M358" s="74"/>
      <c r="N358" s="74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</row>
    <row r="359" spans="1:36" ht="12.75">
      <c r="A359" s="74" t="s">
        <v>1855</v>
      </c>
      <c r="B359" s="74"/>
      <c r="C359" s="74" t="s">
        <v>1856</v>
      </c>
      <c r="D359" s="74" t="s">
        <v>242</v>
      </c>
      <c r="E359" s="146">
        <v>701318413</v>
      </c>
      <c r="F359" s="198" t="s">
        <v>700</v>
      </c>
      <c r="G359" s="198"/>
      <c r="H359" s="198" t="s">
        <v>450</v>
      </c>
      <c r="I359" s="199" t="s">
        <v>451</v>
      </c>
      <c r="J359" s="200">
        <v>799290741</v>
      </c>
      <c r="K359" s="198" t="s">
        <v>87</v>
      </c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</row>
    <row r="360" spans="1:36" ht="12.75">
      <c r="A360" s="74" t="s">
        <v>1857</v>
      </c>
      <c r="B360" s="74"/>
      <c r="C360" s="74" t="s">
        <v>1858</v>
      </c>
      <c r="D360" s="74" t="s">
        <v>1859</v>
      </c>
      <c r="E360" s="146">
        <v>706339688</v>
      </c>
      <c r="F360" s="7"/>
      <c r="G360" s="7"/>
      <c r="H360" s="76"/>
      <c r="I360" s="84"/>
      <c r="J360" s="76"/>
      <c r="K360" s="76"/>
      <c r="L360" s="74"/>
      <c r="M360" s="74"/>
      <c r="N360" s="74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</row>
    <row r="361" spans="1:36" ht="12.75">
      <c r="A361" s="74" t="s">
        <v>1860</v>
      </c>
      <c r="B361" s="74"/>
      <c r="C361" s="74" t="s">
        <v>1861</v>
      </c>
      <c r="D361" s="74" t="s">
        <v>1862</v>
      </c>
      <c r="E361" s="146">
        <v>792106242</v>
      </c>
      <c r="F361" s="7" t="s">
        <v>116</v>
      </c>
      <c r="G361" s="7"/>
      <c r="H361" s="74" t="s">
        <v>1863</v>
      </c>
      <c r="I361" s="75" t="s">
        <v>1410</v>
      </c>
      <c r="J361" s="74">
        <v>724259781</v>
      </c>
      <c r="K361" s="74" t="s">
        <v>1864</v>
      </c>
      <c r="L361" s="74"/>
      <c r="M361" s="74"/>
      <c r="N361" s="74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</row>
    <row r="362" spans="1:36" ht="12.75">
      <c r="A362" s="74" t="s">
        <v>1865</v>
      </c>
      <c r="B362" s="74"/>
      <c r="C362" s="74" t="s">
        <v>1866</v>
      </c>
      <c r="D362" s="74" t="s">
        <v>62</v>
      </c>
      <c r="E362" s="146">
        <v>769703272</v>
      </c>
      <c r="F362" s="7" t="s">
        <v>1867</v>
      </c>
      <c r="G362" s="7"/>
      <c r="H362" s="74" t="s">
        <v>1868</v>
      </c>
      <c r="I362" s="75" t="s">
        <v>218</v>
      </c>
      <c r="J362" s="74">
        <v>104040696</v>
      </c>
      <c r="K362" s="74" t="s">
        <v>1869</v>
      </c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</row>
    <row r="363" spans="1:36" ht="12.75">
      <c r="A363" s="103" t="s">
        <v>1870</v>
      </c>
      <c r="B363" s="103"/>
      <c r="C363" s="103" t="s">
        <v>616</v>
      </c>
      <c r="D363" s="103" t="s">
        <v>616</v>
      </c>
      <c r="E363" s="194"/>
      <c r="F363" s="103" t="s">
        <v>1871</v>
      </c>
      <c r="G363" s="103"/>
      <c r="H363" s="76"/>
      <c r="I363" s="104" t="s">
        <v>1872</v>
      </c>
      <c r="J363" s="103" t="s">
        <v>218</v>
      </c>
      <c r="K363" s="103"/>
      <c r="L363" s="74"/>
      <c r="M363" s="74"/>
      <c r="N363" s="74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</row>
    <row r="364" spans="1:36" ht="12.75">
      <c r="A364" s="74"/>
      <c r="B364" s="74"/>
      <c r="C364" s="74" t="s">
        <v>1873</v>
      </c>
      <c r="D364" s="74" t="s">
        <v>38</v>
      </c>
      <c r="E364" s="146">
        <v>711782814</v>
      </c>
      <c r="F364" s="7" t="s">
        <v>1874</v>
      </c>
      <c r="G364" s="7"/>
      <c r="H364" s="74" t="s">
        <v>1875</v>
      </c>
      <c r="I364" s="75" t="s">
        <v>1876</v>
      </c>
      <c r="J364" s="74">
        <v>254710901376</v>
      </c>
      <c r="K364" s="98" t="s">
        <v>1877</v>
      </c>
      <c r="L364" s="74"/>
      <c r="M364" s="74"/>
      <c r="N364" s="74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</row>
    <row r="365" spans="1:36" ht="12.75">
      <c r="A365" s="103"/>
      <c r="B365" s="103"/>
      <c r="C365" s="103" t="s">
        <v>1878</v>
      </c>
      <c r="D365" s="103" t="s">
        <v>1878</v>
      </c>
      <c r="E365" s="194"/>
      <c r="F365" s="103" t="s">
        <v>1879</v>
      </c>
      <c r="G365" s="103"/>
      <c r="H365" s="103" t="s">
        <v>1880</v>
      </c>
      <c r="I365" s="104" t="s">
        <v>1881</v>
      </c>
      <c r="J365" s="105">
        <v>254792079695</v>
      </c>
      <c r="K365" s="103" t="s">
        <v>1882</v>
      </c>
      <c r="L365" s="74"/>
      <c r="M365" s="74"/>
      <c r="N365" s="74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</row>
    <row r="366" spans="1:36" ht="12.75">
      <c r="A366" s="74"/>
      <c r="B366" s="74"/>
      <c r="C366" s="74" t="s">
        <v>1883</v>
      </c>
      <c r="D366" s="74" t="s">
        <v>1742</v>
      </c>
      <c r="E366" s="146">
        <v>254706439639</v>
      </c>
      <c r="F366" s="7" t="s">
        <v>1884</v>
      </c>
      <c r="G366" s="7"/>
      <c r="H366" s="74" t="s">
        <v>1885</v>
      </c>
      <c r="I366" s="75" t="s">
        <v>1886</v>
      </c>
      <c r="J366" s="76"/>
      <c r="K366" s="76"/>
      <c r="L366" s="74"/>
      <c r="M366" s="74"/>
      <c r="N366" s="74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</row>
    <row r="367" spans="1:36" ht="5.25" customHeight="1">
      <c r="A367" s="76"/>
      <c r="B367" s="76"/>
      <c r="C367" s="76"/>
      <c r="D367" s="76"/>
      <c r="E367" s="194"/>
      <c r="F367" s="9"/>
      <c r="G367" s="9"/>
      <c r="H367" s="76"/>
      <c r="I367" s="84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</row>
    <row r="368" spans="1:36" ht="12.75">
      <c r="A368" s="74" t="s">
        <v>1887</v>
      </c>
      <c r="B368" s="74"/>
      <c r="C368" s="74" t="s">
        <v>1888</v>
      </c>
      <c r="D368" s="74" t="s">
        <v>1889</v>
      </c>
      <c r="E368" s="146">
        <v>713024433</v>
      </c>
      <c r="F368" s="7" t="s">
        <v>1890</v>
      </c>
      <c r="G368" s="7"/>
      <c r="H368" s="74" t="s">
        <v>1891</v>
      </c>
      <c r="I368" s="75" t="s">
        <v>1410</v>
      </c>
      <c r="J368" s="74">
        <v>754900551</v>
      </c>
      <c r="K368" s="74" t="s">
        <v>1892</v>
      </c>
      <c r="L368" s="74"/>
      <c r="M368" s="74"/>
      <c r="N368" s="74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</row>
    <row r="369" spans="1:36" ht="12.75">
      <c r="A369" s="74" t="s">
        <v>1893</v>
      </c>
      <c r="B369" s="74"/>
      <c r="C369" s="74" t="s">
        <v>1894</v>
      </c>
      <c r="D369" s="74" t="s">
        <v>183</v>
      </c>
      <c r="E369" s="146">
        <v>707878739</v>
      </c>
      <c r="F369" s="7" t="s">
        <v>1895</v>
      </c>
      <c r="G369" s="7"/>
      <c r="H369" s="74" t="s">
        <v>1896</v>
      </c>
      <c r="I369" s="75" t="s">
        <v>887</v>
      </c>
      <c r="J369" s="74">
        <v>722797441</v>
      </c>
      <c r="K369" s="74" t="s">
        <v>1296</v>
      </c>
      <c r="L369" s="74"/>
      <c r="M369" s="74"/>
      <c r="N369" s="74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</row>
    <row r="370" spans="1:36" ht="12.75">
      <c r="A370" s="74" t="s">
        <v>1897</v>
      </c>
      <c r="B370" s="74"/>
      <c r="C370" s="74" t="s">
        <v>1898</v>
      </c>
      <c r="D370" s="74" t="s">
        <v>1899</v>
      </c>
      <c r="E370" s="146">
        <v>112213399</v>
      </c>
      <c r="F370" s="7" t="s">
        <v>1900</v>
      </c>
      <c r="G370" s="7"/>
      <c r="H370" s="74" t="s">
        <v>1901</v>
      </c>
      <c r="I370" s="75" t="s">
        <v>1902</v>
      </c>
      <c r="J370" s="74">
        <v>702938420</v>
      </c>
      <c r="K370" s="74" t="s">
        <v>1903</v>
      </c>
      <c r="L370" s="74"/>
      <c r="M370" s="74"/>
      <c r="N370" s="74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</row>
    <row r="371" spans="1:36" ht="12.75">
      <c r="A371" s="74" t="s">
        <v>1904</v>
      </c>
      <c r="B371" s="74"/>
      <c r="C371" s="74" t="s">
        <v>1905</v>
      </c>
      <c r="D371" s="74" t="s">
        <v>884</v>
      </c>
      <c r="E371" s="146">
        <v>716513069</v>
      </c>
      <c r="F371" s="7" t="s">
        <v>1906</v>
      </c>
      <c r="G371" s="7"/>
      <c r="H371" s="74" t="s">
        <v>1907</v>
      </c>
      <c r="I371" s="75" t="s">
        <v>1908</v>
      </c>
      <c r="J371" s="74">
        <v>716433069</v>
      </c>
      <c r="K371" s="74" t="s">
        <v>1909</v>
      </c>
      <c r="L371" s="74"/>
      <c r="M371" s="74"/>
      <c r="N371" s="74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</row>
    <row r="372" spans="1:36" ht="12.75">
      <c r="A372" s="74" t="s">
        <v>1358</v>
      </c>
      <c r="B372" s="74"/>
      <c r="C372" s="74" t="s">
        <v>1359</v>
      </c>
      <c r="D372" s="74" t="s">
        <v>1360</v>
      </c>
      <c r="E372" s="146">
        <v>791858089</v>
      </c>
      <c r="F372" s="7" t="s">
        <v>1361</v>
      </c>
      <c r="G372" s="7"/>
      <c r="H372" s="74" t="s">
        <v>1362</v>
      </c>
      <c r="I372" s="75" t="s">
        <v>1363</v>
      </c>
      <c r="J372" s="74">
        <v>725393939</v>
      </c>
      <c r="K372" s="74" t="s">
        <v>1364</v>
      </c>
      <c r="L372" s="74"/>
      <c r="M372" s="74"/>
      <c r="N372" s="74"/>
      <c r="O372" s="74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</row>
    <row r="373" spans="1:36" ht="12.75">
      <c r="A373" s="74" t="s">
        <v>117</v>
      </c>
      <c r="B373" s="74"/>
      <c r="C373" s="74" t="s">
        <v>118</v>
      </c>
      <c r="D373" s="74" t="s">
        <v>119</v>
      </c>
      <c r="E373" s="146">
        <v>796290165</v>
      </c>
      <c r="F373" s="7" t="s">
        <v>120</v>
      </c>
      <c r="G373" s="7"/>
      <c r="H373" s="74" t="s">
        <v>121</v>
      </c>
      <c r="I373" s="75" t="s">
        <v>122</v>
      </c>
      <c r="J373" s="74">
        <v>701167883</v>
      </c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</row>
    <row r="374" spans="1:36" ht="12.75">
      <c r="A374" s="74" t="s">
        <v>1235</v>
      </c>
      <c r="B374" s="74"/>
      <c r="C374" s="74" t="s">
        <v>1236</v>
      </c>
      <c r="D374" s="74" t="s">
        <v>78</v>
      </c>
      <c r="E374" s="146">
        <v>113105177</v>
      </c>
      <c r="F374" s="7" t="s">
        <v>1237</v>
      </c>
      <c r="G374" s="7"/>
      <c r="H374" s="74" t="s">
        <v>1238</v>
      </c>
      <c r="I374" s="75" t="s">
        <v>1239</v>
      </c>
      <c r="J374" s="74">
        <v>7255559329</v>
      </c>
      <c r="K374" s="74" t="s">
        <v>1240</v>
      </c>
      <c r="L374" s="74"/>
      <c r="M374" s="74"/>
      <c r="N374" s="74"/>
      <c r="O374" s="74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</row>
    <row r="375" spans="1:36" ht="12.75">
      <c r="A375" s="74" t="s">
        <v>543</v>
      </c>
      <c r="B375" s="74"/>
      <c r="C375" s="74" t="s">
        <v>544</v>
      </c>
      <c r="D375" s="74" t="s">
        <v>441</v>
      </c>
      <c r="E375" s="146">
        <v>790417880</v>
      </c>
      <c r="F375" s="7" t="s">
        <v>545</v>
      </c>
      <c r="G375" s="7"/>
      <c r="H375" s="76"/>
      <c r="I375" s="84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</row>
    <row r="376" spans="1:36" ht="12.75">
      <c r="A376" s="74" t="s">
        <v>991</v>
      </c>
      <c r="B376" s="74"/>
      <c r="C376" s="74" t="s">
        <v>992</v>
      </c>
      <c r="D376" s="74" t="s">
        <v>341</v>
      </c>
      <c r="E376" s="146">
        <v>706684040</v>
      </c>
      <c r="F376" s="7" t="s">
        <v>993</v>
      </c>
      <c r="G376" s="7"/>
      <c r="H376" s="74" t="s">
        <v>994</v>
      </c>
      <c r="I376" s="75" t="s">
        <v>269</v>
      </c>
      <c r="J376" s="74">
        <v>706684040</v>
      </c>
      <c r="K376" s="74" t="s">
        <v>995</v>
      </c>
      <c r="L376" s="74"/>
      <c r="M376" s="74"/>
      <c r="N376" s="74"/>
      <c r="O376" s="74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</row>
    <row r="377" spans="1:36" ht="21">
      <c r="A377" s="74" t="s">
        <v>1378</v>
      </c>
      <c r="B377" s="74"/>
      <c r="C377" s="74" t="s">
        <v>1379</v>
      </c>
      <c r="D377" s="74" t="s">
        <v>475</v>
      </c>
      <c r="E377" s="146">
        <v>743367267</v>
      </c>
      <c r="F377" s="7" t="s">
        <v>1380</v>
      </c>
      <c r="G377" s="7"/>
      <c r="H377" s="74" t="s">
        <v>1381</v>
      </c>
      <c r="I377" s="75" t="s">
        <v>1382</v>
      </c>
      <c r="J377" s="74">
        <v>723583259</v>
      </c>
      <c r="K377" s="205" t="s">
        <v>224</v>
      </c>
      <c r="L377" s="151"/>
      <c r="M377" s="151"/>
      <c r="N377" s="151"/>
      <c r="O377" s="151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</row>
    <row r="378" spans="1:36" ht="12.75">
      <c r="A378" s="74" t="s">
        <v>1149</v>
      </c>
      <c r="B378" s="74"/>
      <c r="C378" s="74" t="s">
        <v>1150</v>
      </c>
      <c r="D378" s="74" t="s">
        <v>1151</v>
      </c>
      <c r="E378" s="146">
        <v>700779642</v>
      </c>
      <c r="F378" s="7" t="s">
        <v>1152</v>
      </c>
      <c r="G378" s="7"/>
      <c r="H378" s="74" t="s">
        <v>1153</v>
      </c>
      <c r="I378" s="75" t="s">
        <v>1154</v>
      </c>
      <c r="J378" s="74">
        <v>713101289</v>
      </c>
      <c r="K378" s="74" t="s">
        <v>1155</v>
      </c>
      <c r="L378" s="74"/>
      <c r="M378" s="74"/>
      <c r="N378" s="74"/>
      <c r="O378" s="74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</row>
    <row r="379" spans="1:36" ht="12.75">
      <c r="A379" s="74" t="s">
        <v>443</v>
      </c>
      <c r="B379" s="74"/>
      <c r="C379" s="74" t="s">
        <v>444</v>
      </c>
      <c r="D379" s="74" t="s">
        <v>445</v>
      </c>
      <c r="E379" s="146">
        <v>725158687</v>
      </c>
      <c r="F379" s="7" t="s">
        <v>342</v>
      </c>
      <c r="G379" s="7"/>
      <c r="H379" s="74" t="s">
        <v>446</v>
      </c>
      <c r="I379" s="75" t="s">
        <v>356</v>
      </c>
      <c r="J379" s="74">
        <v>715364294</v>
      </c>
      <c r="K379" s="74" t="s">
        <v>105</v>
      </c>
      <c r="L379" s="74"/>
      <c r="M379" s="74"/>
      <c r="N379" s="74"/>
      <c r="O379" s="74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</row>
    <row r="380" spans="1:36" ht="12.75">
      <c r="A380" s="74" t="s">
        <v>913</v>
      </c>
      <c r="B380" s="74"/>
      <c r="C380" s="74" t="s">
        <v>914</v>
      </c>
      <c r="D380" s="74" t="s">
        <v>341</v>
      </c>
      <c r="E380" s="146">
        <v>112863597</v>
      </c>
      <c r="F380" s="7" t="s">
        <v>915</v>
      </c>
      <c r="G380" s="7"/>
      <c r="H380" s="76"/>
      <c r="I380" s="84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</row>
    <row r="381" spans="1:36" ht="12.75">
      <c r="A381" s="74" t="s">
        <v>1323</v>
      </c>
      <c r="B381" s="74"/>
      <c r="C381" s="74" t="s">
        <v>1324</v>
      </c>
      <c r="D381" s="74" t="s">
        <v>1325</v>
      </c>
      <c r="E381" s="146">
        <v>112810203</v>
      </c>
      <c r="F381" s="7" t="s">
        <v>342</v>
      </c>
      <c r="G381" s="7"/>
      <c r="H381" s="74" t="s">
        <v>355</v>
      </c>
      <c r="I381" s="75" t="s">
        <v>356</v>
      </c>
      <c r="J381" s="74">
        <v>715364294</v>
      </c>
      <c r="K381" s="74" t="s">
        <v>105</v>
      </c>
      <c r="L381" s="60"/>
      <c r="M381" s="60"/>
      <c r="N381" s="60"/>
      <c r="O381" s="60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</row>
    <row r="382" spans="1:36" ht="12.75">
      <c r="A382" s="74" t="s">
        <v>514</v>
      </c>
      <c r="B382" s="74"/>
      <c r="C382" s="74" t="s">
        <v>515</v>
      </c>
      <c r="D382" s="74" t="s">
        <v>516</v>
      </c>
      <c r="E382" s="146">
        <v>794570935</v>
      </c>
      <c r="F382" s="7" t="s">
        <v>517</v>
      </c>
      <c r="G382" s="7"/>
      <c r="H382" s="74" t="s">
        <v>518</v>
      </c>
      <c r="I382" s="75"/>
      <c r="J382" s="74">
        <v>724477942</v>
      </c>
      <c r="K382" s="74" t="s">
        <v>519</v>
      </c>
      <c r="L382" s="74"/>
      <c r="M382" s="74"/>
      <c r="N382" s="74"/>
      <c r="O382" s="74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</row>
    <row r="383" spans="1:36" ht="12.75">
      <c r="A383" s="74" t="s">
        <v>1910</v>
      </c>
      <c r="B383" s="74"/>
      <c r="C383" s="74" t="s">
        <v>1911</v>
      </c>
      <c r="D383" s="74" t="s">
        <v>1912</v>
      </c>
      <c r="E383" s="146">
        <v>714568431</v>
      </c>
      <c r="F383" s="7" t="s">
        <v>1913</v>
      </c>
      <c r="G383" s="7"/>
      <c r="H383" s="74" t="s">
        <v>1914</v>
      </c>
      <c r="I383" s="75" t="s">
        <v>1915</v>
      </c>
      <c r="J383" s="74">
        <v>110345166</v>
      </c>
      <c r="K383" s="74" t="s">
        <v>1916</v>
      </c>
      <c r="L383" s="74"/>
      <c r="M383" s="74"/>
      <c r="N383" s="74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</row>
    <row r="384" spans="1:36" ht="12.75">
      <c r="A384" s="284" t="s">
        <v>679</v>
      </c>
      <c r="B384" s="284"/>
      <c r="C384" s="108" t="s">
        <v>680</v>
      </c>
      <c r="D384" s="108" t="s">
        <v>1917</v>
      </c>
      <c r="E384" s="194"/>
      <c r="F384" s="108" t="s">
        <v>681</v>
      </c>
      <c r="G384" s="108"/>
      <c r="H384" s="108" t="s">
        <v>682</v>
      </c>
      <c r="I384" s="109" t="s">
        <v>179</v>
      </c>
      <c r="J384" s="110">
        <v>254713487535</v>
      </c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</row>
    <row r="385" spans="1:36" ht="12.75">
      <c r="A385" s="108" t="s">
        <v>1598</v>
      </c>
      <c r="B385" s="108"/>
      <c r="C385" s="108" t="s">
        <v>1599</v>
      </c>
      <c r="D385" s="108" t="s">
        <v>68</v>
      </c>
      <c r="E385" s="194"/>
      <c r="F385" s="108" t="s">
        <v>1601</v>
      </c>
      <c r="G385" s="108"/>
      <c r="H385" s="108" t="s">
        <v>1602</v>
      </c>
      <c r="I385" s="109" t="s">
        <v>1603</v>
      </c>
      <c r="J385" s="110">
        <v>254740180940</v>
      </c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</row>
    <row r="386" spans="1:36" ht="12.75">
      <c r="A386" s="108" t="s">
        <v>176</v>
      </c>
      <c r="B386" s="108"/>
      <c r="C386" s="108" t="s">
        <v>177</v>
      </c>
      <c r="D386" s="108" t="s">
        <v>508</v>
      </c>
      <c r="E386" s="146">
        <v>701158499</v>
      </c>
      <c r="F386" s="108" t="s">
        <v>178</v>
      </c>
      <c r="G386" s="108"/>
      <c r="H386" s="108" t="s">
        <v>26</v>
      </c>
      <c r="I386" s="109" t="s">
        <v>179</v>
      </c>
      <c r="J386" s="208">
        <v>254719686390</v>
      </c>
      <c r="K386" s="74" t="s">
        <v>180</v>
      </c>
      <c r="L386" s="74"/>
      <c r="M386" s="74"/>
      <c r="N386" s="74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</row>
    <row r="387" spans="1:36" ht="12.75">
      <c r="A387" s="108" t="s">
        <v>1813</v>
      </c>
      <c r="B387" s="108"/>
      <c r="C387" s="431" t="s">
        <v>1814</v>
      </c>
      <c r="D387" s="108" t="s">
        <v>227</v>
      </c>
      <c r="E387" s="194"/>
      <c r="F387" s="108" t="s">
        <v>1815</v>
      </c>
      <c r="G387" s="108"/>
      <c r="H387" s="108" t="s">
        <v>1816</v>
      </c>
      <c r="I387" s="109" t="s">
        <v>218</v>
      </c>
      <c r="J387" s="110">
        <v>254759441965</v>
      </c>
      <c r="K387" s="74"/>
      <c r="L387" s="74"/>
      <c r="M387" s="74"/>
      <c r="N387" s="74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</row>
    <row r="388" spans="1:36" ht="12.75">
      <c r="A388" s="108" t="s">
        <v>1475</v>
      </c>
      <c r="B388" s="108"/>
      <c r="C388" s="432"/>
      <c r="D388" s="108" t="s">
        <v>301</v>
      </c>
      <c r="E388" s="194"/>
      <c r="F388" s="108" t="s">
        <v>1478</v>
      </c>
      <c r="G388" s="108"/>
      <c r="H388" s="108" t="s">
        <v>1481</v>
      </c>
      <c r="I388" s="109" t="s">
        <v>218</v>
      </c>
      <c r="J388" s="110">
        <f>254715525242</f>
        <v>254715525242</v>
      </c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</row>
    <row r="389" spans="1:36" ht="12.75">
      <c r="A389" s="108" t="s">
        <v>1509</v>
      </c>
      <c r="B389" s="108"/>
      <c r="C389" s="432"/>
      <c r="D389" s="108" t="s">
        <v>155</v>
      </c>
      <c r="E389" s="194"/>
      <c r="F389" s="108" t="s">
        <v>902</v>
      </c>
      <c r="G389" s="108"/>
      <c r="H389" s="108" t="s">
        <v>903</v>
      </c>
      <c r="I389" s="109" t="s">
        <v>59</v>
      </c>
      <c r="J389" s="110">
        <v>797786295</v>
      </c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</row>
    <row r="390" spans="1:36" ht="12.75">
      <c r="A390" s="108" t="s">
        <v>1918</v>
      </c>
      <c r="B390" s="108"/>
      <c r="C390" s="432"/>
      <c r="D390" s="108" t="s">
        <v>155</v>
      </c>
      <c r="E390" s="194"/>
      <c r="F390" s="108" t="s">
        <v>1879</v>
      </c>
      <c r="G390" s="108"/>
      <c r="H390" s="108" t="s">
        <v>1880</v>
      </c>
      <c r="I390" s="109" t="s">
        <v>1881</v>
      </c>
      <c r="J390" s="110">
        <v>254792079695</v>
      </c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</row>
    <row r="391" spans="1:36" ht="12.75">
      <c r="A391" s="108" t="s">
        <v>900</v>
      </c>
      <c r="B391" s="108"/>
      <c r="C391" s="432"/>
      <c r="D391" s="108" t="s">
        <v>1919</v>
      </c>
      <c r="E391" s="194"/>
      <c r="F391" s="108" t="s">
        <v>902</v>
      </c>
      <c r="G391" s="108"/>
      <c r="H391" s="108" t="s">
        <v>903</v>
      </c>
      <c r="I391" s="109" t="s">
        <v>887</v>
      </c>
      <c r="J391" s="110">
        <v>726581733</v>
      </c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</row>
    <row r="392" spans="1:36" ht="14.25">
      <c r="A392" s="74" t="s">
        <v>1920</v>
      </c>
      <c r="B392" s="74"/>
      <c r="C392" s="433"/>
      <c r="D392" s="74" t="s">
        <v>227</v>
      </c>
      <c r="E392" s="146">
        <v>111640040</v>
      </c>
      <c r="F392" s="7" t="s">
        <v>342</v>
      </c>
      <c r="G392" s="7"/>
      <c r="H392" s="74" t="s">
        <v>343</v>
      </c>
      <c r="I392" s="75" t="s">
        <v>179</v>
      </c>
      <c r="J392" s="74" t="s">
        <v>1921</v>
      </c>
      <c r="K392" s="209" t="s">
        <v>105</v>
      </c>
      <c r="L392" s="210"/>
      <c r="M392" s="210"/>
      <c r="N392" s="210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</row>
    <row r="393" spans="1:36" ht="12.75">
      <c r="A393" s="74" t="s">
        <v>1922</v>
      </c>
      <c r="B393" s="74"/>
      <c r="C393" s="74" t="s">
        <v>1923</v>
      </c>
      <c r="D393" s="74" t="s">
        <v>1924</v>
      </c>
      <c r="E393" s="146">
        <v>796303691</v>
      </c>
      <c r="F393" s="7" t="s">
        <v>1925</v>
      </c>
      <c r="G393" s="7"/>
      <c r="H393" s="74" t="s">
        <v>1926</v>
      </c>
      <c r="I393" s="75" t="s">
        <v>599</v>
      </c>
      <c r="J393" s="74">
        <v>722205756</v>
      </c>
      <c r="K393" s="74" t="s">
        <v>1927</v>
      </c>
      <c r="L393" s="74"/>
      <c r="M393" s="74"/>
      <c r="N393" s="74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</row>
    <row r="394" spans="1:36" ht="12.75">
      <c r="A394" s="7" t="s">
        <v>1928</v>
      </c>
      <c r="B394" s="7"/>
      <c r="C394" s="74" t="s">
        <v>1929</v>
      </c>
      <c r="D394" s="108" t="s">
        <v>155</v>
      </c>
      <c r="E394" s="7">
        <v>798311741</v>
      </c>
      <c r="F394" s="69" t="s">
        <v>1930</v>
      </c>
      <c r="G394" s="69"/>
      <c r="H394" s="74" t="s">
        <v>1931</v>
      </c>
      <c r="I394" s="75" t="s">
        <v>65</v>
      </c>
      <c r="J394" s="74" t="s">
        <v>1932</v>
      </c>
      <c r="K394" s="74" t="s">
        <v>1933</v>
      </c>
      <c r="L394" s="74"/>
      <c r="M394" s="74"/>
      <c r="N394" s="74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</row>
    <row r="395" spans="1:36" ht="12.75">
      <c r="A395" s="74" t="s">
        <v>1934</v>
      </c>
      <c r="B395" s="74"/>
      <c r="C395" s="74" t="s">
        <v>1935</v>
      </c>
      <c r="D395" s="74" t="s">
        <v>1924</v>
      </c>
      <c r="E395" s="146">
        <v>757877780</v>
      </c>
      <c r="F395" s="7" t="s">
        <v>1936</v>
      </c>
      <c r="G395" s="7"/>
      <c r="H395" s="74" t="s">
        <v>1926</v>
      </c>
      <c r="I395" s="75" t="s">
        <v>599</v>
      </c>
      <c r="J395" s="74">
        <v>722205756</v>
      </c>
      <c r="K395" s="74" t="s">
        <v>1927</v>
      </c>
      <c r="L395" s="74"/>
      <c r="M395" s="74"/>
      <c r="N395" s="74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</row>
    <row r="396" spans="1:36" ht="12.75">
      <c r="A396" s="74" t="s">
        <v>821</v>
      </c>
      <c r="B396" s="74"/>
      <c r="C396" s="74" t="s">
        <v>822</v>
      </c>
      <c r="D396" s="74" t="s">
        <v>301</v>
      </c>
      <c r="E396" s="146">
        <v>793667896</v>
      </c>
      <c r="F396" s="7" t="s">
        <v>823</v>
      </c>
      <c r="G396" s="7"/>
      <c r="H396" s="148" t="s">
        <v>3560</v>
      </c>
      <c r="I396" s="75" t="s">
        <v>269</v>
      </c>
      <c r="J396" s="74" t="s">
        <v>1937</v>
      </c>
      <c r="K396" s="74" t="s">
        <v>824</v>
      </c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</row>
    <row r="397" spans="1:36" ht="12.75">
      <c r="A397" s="74" t="s">
        <v>1938</v>
      </c>
      <c r="B397" s="74"/>
      <c r="C397" s="74" t="s">
        <v>16</v>
      </c>
      <c r="D397" s="74" t="s">
        <v>17</v>
      </c>
      <c r="E397" s="146">
        <v>757182774</v>
      </c>
      <c r="F397" s="7" t="s">
        <v>18</v>
      </c>
      <c r="G397" s="7"/>
      <c r="H397" s="74" t="s">
        <v>19</v>
      </c>
      <c r="I397" s="84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</row>
    <row r="398" spans="1:36" ht="12.75">
      <c r="A398" s="74" t="s">
        <v>1705</v>
      </c>
      <c r="B398" s="74"/>
      <c r="C398" s="74" t="s">
        <v>1706</v>
      </c>
      <c r="D398" s="74" t="s">
        <v>460</v>
      </c>
      <c r="E398" s="146">
        <v>110447025</v>
      </c>
      <c r="F398" s="7" t="s">
        <v>1707</v>
      </c>
      <c r="G398" s="7"/>
      <c r="H398" s="74" t="s">
        <v>1708</v>
      </c>
      <c r="I398" s="75" t="s">
        <v>1939</v>
      </c>
      <c r="J398" s="74">
        <v>703794054</v>
      </c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</row>
    <row r="399" spans="1:36" ht="12.75">
      <c r="A399" s="74" t="s">
        <v>1439</v>
      </c>
      <c r="B399" s="74"/>
      <c r="C399" s="74" t="s">
        <v>1440</v>
      </c>
      <c r="D399" s="74" t="s">
        <v>1441</v>
      </c>
      <c r="E399" s="146">
        <v>751216065</v>
      </c>
      <c r="F399" s="7" t="s">
        <v>1442</v>
      </c>
      <c r="G399" s="7"/>
      <c r="H399" s="74" t="s">
        <v>1443</v>
      </c>
      <c r="I399" s="75" t="s">
        <v>1940</v>
      </c>
      <c r="J399" s="74">
        <v>1110566855</v>
      </c>
      <c r="K399" s="74" t="s">
        <v>1941</v>
      </c>
      <c r="L399" s="74"/>
      <c r="M399" s="74"/>
      <c r="N399" s="74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</row>
    <row r="400" spans="1:36" ht="12.75">
      <c r="A400" s="74" t="s">
        <v>1093</v>
      </c>
      <c r="B400" s="74"/>
      <c r="C400" s="74" t="s">
        <v>1094</v>
      </c>
      <c r="D400" s="74" t="s">
        <v>1095</v>
      </c>
      <c r="E400" s="146" t="s">
        <v>1096</v>
      </c>
      <c r="F400" s="7" t="s">
        <v>1097</v>
      </c>
      <c r="G400" s="7"/>
      <c r="H400" s="74" t="s">
        <v>1098</v>
      </c>
      <c r="I400" s="75" t="s">
        <v>218</v>
      </c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</row>
    <row r="401" spans="1:36" ht="12.75">
      <c r="A401" s="74" t="s">
        <v>1383</v>
      </c>
      <c r="B401" s="74"/>
      <c r="C401" s="74" t="s">
        <v>1384</v>
      </c>
      <c r="D401" s="74" t="s">
        <v>1385</v>
      </c>
      <c r="E401" s="146">
        <v>746565579</v>
      </c>
      <c r="F401" s="7" t="s">
        <v>1386</v>
      </c>
      <c r="G401" s="7"/>
      <c r="H401" s="74" t="s">
        <v>1387</v>
      </c>
      <c r="I401" s="75" t="s">
        <v>218</v>
      </c>
      <c r="J401" s="74">
        <v>204408989</v>
      </c>
      <c r="K401" s="74" t="s">
        <v>1942</v>
      </c>
      <c r="L401" s="74"/>
      <c r="M401" s="74"/>
      <c r="N401" s="74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</row>
    <row r="402" spans="1:36" ht="12.75">
      <c r="A402" s="7" t="s">
        <v>1943</v>
      </c>
      <c r="B402" s="7"/>
      <c r="C402" s="74" t="s">
        <v>1944</v>
      </c>
      <c r="D402" s="74" t="s">
        <v>108</v>
      </c>
      <c r="E402" s="146">
        <v>715640703</v>
      </c>
      <c r="F402" s="7" t="s">
        <v>1945</v>
      </c>
      <c r="G402" s="7"/>
      <c r="H402" s="74" t="s">
        <v>1946</v>
      </c>
      <c r="I402" s="75" t="s">
        <v>1947</v>
      </c>
      <c r="J402" s="74">
        <v>725393939</v>
      </c>
      <c r="K402" s="74" t="s">
        <v>1750</v>
      </c>
      <c r="L402" s="74"/>
      <c r="M402" s="74"/>
      <c r="N402" s="74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</row>
    <row r="403" spans="1:36" ht="12.75">
      <c r="A403" s="7" t="s">
        <v>1948</v>
      </c>
      <c r="B403" s="7"/>
      <c r="C403" s="74" t="s">
        <v>1949</v>
      </c>
      <c r="D403" s="74" t="s">
        <v>242</v>
      </c>
      <c r="E403" s="146">
        <v>746812575</v>
      </c>
      <c r="F403" s="7" t="s">
        <v>1950</v>
      </c>
      <c r="G403" s="7"/>
      <c r="H403" s="74" t="s">
        <v>1951</v>
      </c>
      <c r="I403" s="75" t="s">
        <v>218</v>
      </c>
      <c r="J403" s="74">
        <v>799861987</v>
      </c>
      <c r="K403" s="74" t="s">
        <v>1952</v>
      </c>
      <c r="L403" s="74"/>
      <c r="M403" s="74"/>
      <c r="N403" s="74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</row>
    <row r="404" spans="1:36" ht="12.75">
      <c r="A404" s="74" t="s">
        <v>1953</v>
      </c>
      <c r="B404" s="74"/>
      <c r="C404" s="74" t="s">
        <v>1954</v>
      </c>
      <c r="D404" s="74" t="s">
        <v>1038</v>
      </c>
      <c r="E404" s="146">
        <v>790498380</v>
      </c>
      <c r="F404" s="75" t="s">
        <v>1955</v>
      </c>
      <c r="G404" s="75"/>
      <c r="H404" s="74" t="s">
        <v>1956</v>
      </c>
      <c r="I404" s="60" t="s">
        <v>134</v>
      </c>
      <c r="J404" s="60">
        <v>788014926</v>
      </c>
      <c r="K404" s="173" t="s">
        <v>135</v>
      </c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</row>
    <row r="405" spans="1:36" ht="12.75">
      <c r="A405" s="74" t="s">
        <v>1957</v>
      </c>
      <c r="B405" s="74"/>
      <c r="C405" s="74" t="s">
        <v>1958</v>
      </c>
      <c r="D405" s="74" t="s">
        <v>1829</v>
      </c>
      <c r="E405" s="146">
        <v>111950947</v>
      </c>
      <c r="F405" s="7" t="s">
        <v>1959</v>
      </c>
      <c r="G405" s="7"/>
      <c r="H405" s="74" t="s">
        <v>1960</v>
      </c>
      <c r="I405" s="75" t="s">
        <v>218</v>
      </c>
      <c r="J405" s="212">
        <f>254757095700</f>
        <v>254757095700</v>
      </c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</row>
    <row r="406" spans="1:36" ht="12.75">
      <c r="A406" s="273" t="s">
        <v>1961</v>
      </c>
      <c r="B406" s="273"/>
      <c r="C406" s="74" t="s">
        <v>1962</v>
      </c>
      <c r="D406" s="74" t="s">
        <v>108</v>
      </c>
      <c r="E406" s="146">
        <v>729128465</v>
      </c>
      <c r="F406" s="7" t="s">
        <v>1963</v>
      </c>
      <c r="G406" s="7"/>
      <c r="H406" s="74" t="s">
        <v>1964</v>
      </c>
      <c r="I406" s="75" t="s">
        <v>218</v>
      </c>
      <c r="J406" s="74" t="s">
        <v>1965</v>
      </c>
      <c r="K406" s="74" t="s">
        <v>1966</v>
      </c>
      <c r="L406" s="74"/>
      <c r="M406" s="74"/>
      <c r="N406" s="74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</row>
    <row r="407" spans="1:36" ht="12.75">
      <c r="A407" s="74" t="s">
        <v>1967</v>
      </c>
      <c r="B407" s="74"/>
      <c r="C407" s="74" t="s">
        <v>1968</v>
      </c>
      <c r="D407" s="285" t="s">
        <v>508</v>
      </c>
      <c r="E407" s="146">
        <v>110471855</v>
      </c>
      <c r="F407" s="7" t="s">
        <v>1969</v>
      </c>
      <c r="G407" s="7"/>
      <c r="H407" s="74" t="s">
        <v>1970</v>
      </c>
      <c r="I407" s="75" t="s">
        <v>1971</v>
      </c>
      <c r="J407" s="74">
        <v>723137930</v>
      </c>
      <c r="K407" s="74" t="s">
        <v>1972</v>
      </c>
      <c r="L407" s="74"/>
      <c r="M407" s="74"/>
      <c r="N407" s="74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</row>
    <row r="408" spans="1:36" ht="12.75">
      <c r="A408" s="74" t="s">
        <v>1973</v>
      </c>
      <c r="B408" s="74"/>
      <c r="C408" s="74" t="s">
        <v>1974</v>
      </c>
      <c r="D408" s="60" t="s">
        <v>508</v>
      </c>
      <c r="E408" s="146">
        <v>717214255</v>
      </c>
      <c r="F408" s="7" t="s">
        <v>1975</v>
      </c>
      <c r="G408" s="7"/>
      <c r="H408" s="74" t="s">
        <v>1976</v>
      </c>
      <c r="I408" s="75" t="s">
        <v>1686</v>
      </c>
      <c r="J408" s="74">
        <v>712585874</v>
      </c>
      <c r="K408" s="74" t="s">
        <v>1977</v>
      </c>
      <c r="L408" s="74"/>
      <c r="M408" s="74"/>
      <c r="N408" s="74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</row>
    <row r="409" spans="1:36" ht="15.75" customHeight="1">
      <c r="A409" s="74" t="s">
        <v>1978</v>
      </c>
      <c r="B409" s="74"/>
      <c r="C409" s="74" t="s">
        <v>1979</v>
      </c>
      <c r="D409" s="96" t="s">
        <v>1980</v>
      </c>
      <c r="E409" s="146">
        <v>748247150</v>
      </c>
      <c r="F409" s="7" t="s">
        <v>1981</v>
      </c>
      <c r="G409" s="7"/>
      <c r="H409" s="74" t="s">
        <v>1982</v>
      </c>
      <c r="I409" s="75" t="s">
        <v>916</v>
      </c>
      <c r="J409" s="74">
        <v>727564582</v>
      </c>
      <c r="K409" s="148" t="s">
        <v>3561</v>
      </c>
      <c r="L409" s="173"/>
      <c r="M409" s="173"/>
      <c r="N409" s="173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</row>
    <row r="410" spans="1:36" ht="12.75">
      <c r="A410" s="74" t="s">
        <v>1984</v>
      </c>
      <c r="B410" s="74"/>
      <c r="C410" s="74" t="s">
        <v>1985</v>
      </c>
      <c r="D410" s="273" t="s">
        <v>395</v>
      </c>
      <c r="E410" s="146">
        <v>759270210</v>
      </c>
      <c r="F410" s="7" t="s">
        <v>1986</v>
      </c>
      <c r="G410" s="7"/>
      <c r="H410" s="74" t="s">
        <v>1987</v>
      </c>
      <c r="I410" s="75" t="s">
        <v>100</v>
      </c>
      <c r="J410" s="74">
        <v>771067992</v>
      </c>
      <c r="K410" s="74" t="s">
        <v>1988</v>
      </c>
      <c r="L410" s="74"/>
      <c r="M410" s="74"/>
      <c r="N410" s="74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</row>
    <row r="411" spans="1:36" ht="15">
      <c r="A411" s="74" t="s">
        <v>1989</v>
      </c>
      <c r="B411" s="74"/>
      <c r="C411" s="74" t="s">
        <v>1990</v>
      </c>
      <c r="D411" s="273" t="s">
        <v>1991</v>
      </c>
      <c r="E411" s="146">
        <v>113795338</v>
      </c>
      <c r="F411" s="20" t="s">
        <v>1992</v>
      </c>
      <c r="G411" s="20"/>
      <c r="H411" s="74" t="s">
        <v>1993</v>
      </c>
      <c r="I411" s="75" t="s">
        <v>1994</v>
      </c>
      <c r="J411" s="74">
        <v>202660859</v>
      </c>
      <c r="K411" s="74" t="s">
        <v>1995</v>
      </c>
      <c r="L411" s="74"/>
      <c r="M411" s="74"/>
      <c r="N411" s="74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</row>
    <row r="412" spans="1:36" ht="12.75">
      <c r="A412" s="74" t="s">
        <v>1996</v>
      </c>
      <c r="B412" s="74"/>
      <c r="C412" s="74" t="s">
        <v>1997</v>
      </c>
      <c r="D412" s="286" t="s">
        <v>1998</v>
      </c>
      <c r="E412" s="146">
        <v>115730595</v>
      </c>
      <c r="F412" s="7" t="s">
        <v>1999</v>
      </c>
      <c r="G412" s="7"/>
      <c r="H412" s="74" t="s">
        <v>2000</v>
      </c>
      <c r="I412" s="75" t="s">
        <v>2001</v>
      </c>
      <c r="J412" s="74">
        <v>754900551</v>
      </c>
      <c r="K412" s="74" t="s">
        <v>1892</v>
      </c>
      <c r="L412" s="74"/>
      <c r="M412" s="74"/>
      <c r="N412" s="74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</row>
    <row r="413" spans="1:36" ht="12.75">
      <c r="A413" s="74" t="s">
        <v>2002</v>
      </c>
      <c r="B413" s="74"/>
      <c r="C413" s="74" t="s">
        <v>2003</v>
      </c>
      <c r="D413" s="74" t="s">
        <v>341</v>
      </c>
      <c r="E413" s="146">
        <v>114133708</v>
      </c>
      <c r="F413" s="7" t="s">
        <v>2004</v>
      </c>
      <c r="G413" s="7"/>
      <c r="H413" s="74" t="s">
        <v>2005</v>
      </c>
      <c r="I413" s="75" t="s">
        <v>504</v>
      </c>
      <c r="J413" s="74">
        <v>743809434</v>
      </c>
      <c r="K413" s="74" t="s">
        <v>2006</v>
      </c>
      <c r="L413" s="74"/>
      <c r="M413" s="74"/>
      <c r="N413" s="74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</row>
    <row r="414" spans="1:36" ht="12.75">
      <c r="A414" s="74" t="s">
        <v>2007</v>
      </c>
      <c r="B414" s="74"/>
      <c r="C414" s="74" t="s">
        <v>2008</v>
      </c>
      <c r="D414" s="74" t="s">
        <v>2009</v>
      </c>
      <c r="E414" s="146">
        <v>703925256</v>
      </c>
      <c r="F414" s="7" t="s">
        <v>2010</v>
      </c>
      <c r="G414" s="7"/>
      <c r="H414" s="74" t="s">
        <v>2011</v>
      </c>
      <c r="I414" s="75" t="s">
        <v>1429</v>
      </c>
      <c r="J414" s="74">
        <v>754900551</v>
      </c>
      <c r="K414" s="74" t="s">
        <v>1892</v>
      </c>
      <c r="L414" s="74"/>
      <c r="M414" s="74"/>
      <c r="N414" s="74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</row>
    <row r="415" spans="1:36" ht="12.75">
      <c r="A415" s="74" t="s">
        <v>2012</v>
      </c>
      <c r="B415" s="74"/>
      <c r="C415" s="74" t="s">
        <v>2013</v>
      </c>
      <c r="D415" s="74" t="s">
        <v>2014</v>
      </c>
      <c r="E415" s="146">
        <v>799574404</v>
      </c>
      <c r="F415" s="7" t="s">
        <v>2015</v>
      </c>
      <c r="G415" s="7"/>
      <c r="H415" s="74" t="s">
        <v>2016</v>
      </c>
      <c r="I415" s="75" t="s">
        <v>2017</v>
      </c>
      <c r="J415" s="74">
        <v>730241000</v>
      </c>
      <c r="K415" s="74" t="s">
        <v>2018</v>
      </c>
      <c r="L415" s="74"/>
      <c r="M415" s="74"/>
      <c r="N415" s="74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</row>
    <row r="416" spans="1:36" ht="12.75">
      <c r="A416" s="74" t="s">
        <v>2019</v>
      </c>
      <c r="B416" s="74"/>
      <c r="C416" s="74" t="s">
        <v>2020</v>
      </c>
      <c r="D416" s="74" t="s">
        <v>2014</v>
      </c>
      <c r="E416" s="146">
        <v>745594951</v>
      </c>
      <c r="F416" s="7" t="s">
        <v>2021</v>
      </c>
      <c r="G416" s="7"/>
      <c r="H416" s="74" t="s">
        <v>2022</v>
      </c>
      <c r="I416" s="75" t="s">
        <v>1793</v>
      </c>
      <c r="J416" s="74">
        <v>725766905</v>
      </c>
      <c r="K416" s="74" t="s">
        <v>2023</v>
      </c>
      <c r="L416" s="74"/>
      <c r="M416" s="74"/>
      <c r="N416" s="74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</row>
    <row r="417" spans="1:36" ht="12.75">
      <c r="A417" s="74" t="s">
        <v>2024</v>
      </c>
      <c r="B417" s="74"/>
      <c r="C417" s="74" t="s">
        <v>2025</v>
      </c>
      <c r="D417" s="74" t="s">
        <v>341</v>
      </c>
      <c r="E417" s="146">
        <v>112585915</v>
      </c>
      <c r="F417" s="7" t="s">
        <v>342</v>
      </c>
      <c r="G417" s="7"/>
      <c r="H417" s="74" t="s">
        <v>2026</v>
      </c>
      <c r="I417" s="75"/>
      <c r="J417" s="74">
        <v>715364294</v>
      </c>
      <c r="K417" s="74" t="s">
        <v>2027</v>
      </c>
      <c r="L417" s="74"/>
      <c r="M417" s="74"/>
      <c r="N417" s="74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</row>
    <row r="418" spans="1:36" ht="12.75">
      <c r="A418" s="74" t="s">
        <v>2028</v>
      </c>
      <c r="B418" s="74"/>
      <c r="C418" s="74" t="s">
        <v>2029</v>
      </c>
      <c r="D418" s="74" t="s">
        <v>227</v>
      </c>
      <c r="E418" s="146">
        <v>741475935</v>
      </c>
      <c r="F418" s="7" t="s">
        <v>2030</v>
      </c>
      <c r="G418" s="7"/>
      <c r="H418" s="74" t="s">
        <v>2031</v>
      </c>
      <c r="I418" s="75" t="s">
        <v>65</v>
      </c>
      <c r="J418" s="74">
        <v>723457647</v>
      </c>
      <c r="K418" s="74" t="s">
        <v>2032</v>
      </c>
      <c r="L418" s="74"/>
      <c r="M418" s="74"/>
      <c r="N418" s="74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</row>
    <row r="419" spans="1:36" ht="12.75">
      <c r="A419" s="96" t="s">
        <v>2033</v>
      </c>
      <c r="B419" s="96"/>
      <c r="C419" s="96" t="s">
        <v>2034</v>
      </c>
      <c r="D419" s="74" t="s">
        <v>227</v>
      </c>
      <c r="E419" s="146">
        <v>719319834</v>
      </c>
      <c r="F419" s="7" t="s">
        <v>1132</v>
      </c>
      <c r="G419" s="7"/>
      <c r="H419" s="74" t="s">
        <v>2035</v>
      </c>
      <c r="I419" s="75" t="s">
        <v>858</v>
      </c>
      <c r="J419" s="74">
        <v>7202582237</v>
      </c>
      <c r="K419" s="74" t="s">
        <v>180</v>
      </c>
      <c r="L419" s="74"/>
      <c r="M419" s="74"/>
      <c r="N419" s="74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</row>
    <row r="420" spans="1:36" ht="12.75">
      <c r="A420" s="74" t="s">
        <v>2036</v>
      </c>
      <c r="B420" s="74"/>
      <c r="C420" s="74" t="s">
        <v>2037</v>
      </c>
      <c r="D420" s="74" t="s">
        <v>2038</v>
      </c>
      <c r="E420" s="146">
        <v>704542249</v>
      </c>
      <c r="F420" s="7" t="s">
        <v>2039</v>
      </c>
      <c r="G420" s="7"/>
      <c r="H420" s="74" t="s">
        <v>613</v>
      </c>
      <c r="I420" s="75" t="s">
        <v>59</v>
      </c>
      <c r="J420" s="76"/>
      <c r="K420" s="74" t="s">
        <v>612</v>
      </c>
      <c r="L420" s="74"/>
      <c r="M420" s="74"/>
      <c r="N420" s="74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</row>
    <row r="421" spans="1:36" ht="12.75">
      <c r="A421" s="74" t="s">
        <v>2040</v>
      </c>
      <c r="B421" s="74"/>
      <c r="C421" s="74" t="s">
        <v>2041</v>
      </c>
      <c r="D421" s="74" t="s">
        <v>227</v>
      </c>
      <c r="E421" s="146">
        <v>703498941</v>
      </c>
      <c r="F421" s="7" t="s">
        <v>1107</v>
      </c>
      <c r="G421" s="7"/>
      <c r="H421" s="74" t="s">
        <v>2042</v>
      </c>
      <c r="I421" s="75" t="s">
        <v>14</v>
      </c>
      <c r="J421" s="76">
        <f>254710453693</f>
        <v>254710453693</v>
      </c>
      <c r="K421" s="74" t="s">
        <v>105</v>
      </c>
      <c r="L421" s="74"/>
      <c r="M421" s="74"/>
      <c r="N421" s="74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</row>
    <row r="422" spans="1:36" ht="12.75">
      <c r="A422" s="74" t="s">
        <v>2043</v>
      </c>
      <c r="B422" s="74"/>
      <c r="C422" s="74" t="s">
        <v>2044</v>
      </c>
      <c r="D422" s="74" t="s">
        <v>2045</v>
      </c>
      <c r="E422" s="146">
        <v>722520011</v>
      </c>
      <c r="F422" s="7" t="s">
        <v>2046</v>
      </c>
      <c r="G422" s="7"/>
      <c r="H422" s="74" t="s">
        <v>2047</v>
      </c>
      <c r="I422" s="75" t="s">
        <v>218</v>
      </c>
      <c r="J422" s="74">
        <v>254702938420</v>
      </c>
      <c r="K422" s="74" t="s">
        <v>1903</v>
      </c>
      <c r="L422" s="74"/>
      <c r="M422" s="74"/>
      <c r="N422" s="74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</row>
    <row r="423" spans="1:36" ht="12.75">
      <c r="A423" s="74" t="s">
        <v>2048</v>
      </c>
      <c r="B423" s="74"/>
      <c r="C423" s="74" t="s">
        <v>2049</v>
      </c>
      <c r="D423" s="74" t="s">
        <v>83</v>
      </c>
      <c r="E423" s="146">
        <v>769377947</v>
      </c>
      <c r="F423" s="7" t="s">
        <v>2050</v>
      </c>
      <c r="G423" s="7"/>
      <c r="H423" s="74" t="s">
        <v>2051</v>
      </c>
      <c r="I423" s="75" t="s">
        <v>964</v>
      </c>
      <c r="J423" s="74">
        <v>788232004</v>
      </c>
      <c r="K423" s="74" t="s">
        <v>2052</v>
      </c>
      <c r="L423" s="74"/>
      <c r="M423" s="74"/>
      <c r="N423" s="74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</row>
    <row r="424" spans="1:36" ht="12.75">
      <c r="A424" s="74" t="s">
        <v>2053</v>
      </c>
      <c r="B424" s="74"/>
      <c r="C424" s="74" t="s">
        <v>2054</v>
      </c>
      <c r="D424" s="74" t="s">
        <v>1661</v>
      </c>
      <c r="E424" s="146">
        <v>715142837</v>
      </c>
      <c r="F424" s="7" t="s">
        <v>2055</v>
      </c>
      <c r="G424" s="7"/>
      <c r="H424" s="74" t="s">
        <v>2056</v>
      </c>
      <c r="I424" s="75" t="s">
        <v>237</v>
      </c>
      <c r="J424" s="74">
        <v>799008086</v>
      </c>
      <c r="K424" s="74" t="s">
        <v>2057</v>
      </c>
      <c r="L424" s="74"/>
      <c r="M424" s="74"/>
      <c r="N424" s="74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</row>
    <row r="425" spans="1:36" ht="12.75">
      <c r="A425" s="74" t="s">
        <v>2058</v>
      </c>
      <c r="B425" s="74"/>
      <c r="C425" s="74" t="s">
        <v>2059</v>
      </c>
      <c r="D425" s="74" t="s">
        <v>1421</v>
      </c>
      <c r="E425" s="146">
        <v>746580837</v>
      </c>
      <c r="F425" s="7" t="s">
        <v>2060</v>
      </c>
      <c r="G425" s="7"/>
      <c r="H425" s="74" t="s">
        <v>2061</v>
      </c>
      <c r="I425" s="75" t="s">
        <v>2062</v>
      </c>
      <c r="J425" s="74">
        <v>774136619</v>
      </c>
      <c r="K425" s="192" t="s">
        <v>2063</v>
      </c>
      <c r="L425" s="74"/>
      <c r="M425" s="74"/>
      <c r="N425" s="74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</row>
    <row r="426" spans="1:36" ht="12.75">
      <c r="A426" s="74" t="s">
        <v>2064</v>
      </c>
      <c r="B426" s="74"/>
      <c r="C426" s="74" t="s">
        <v>2065</v>
      </c>
      <c r="D426" s="74" t="s">
        <v>673</v>
      </c>
      <c r="E426" s="146">
        <v>757116692</v>
      </c>
      <c r="F426" s="7" t="s">
        <v>2066</v>
      </c>
      <c r="G426" s="7"/>
      <c r="H426" s="74" t="s">
        <v>2067</v>
      </c>
      <c r="I426" s="75" t="s">
        <v>269</v>
      </c>
      <c r="J426" s="74">
        <v>704142508</v>
      </c>
      <c r="K426" s="74" t="s">
        <v>2068</v>
      </c>
      <c r="L426" s="74"/>
      <c r="M426" s="74"/>
      <c r="N426" s="74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</row>
    <row r="427" spans="1:36" ht="12.75">
      <c r="A427" s="74" t="s">
        <v>2069</v>
      </c>
      <c r="B427" s="74"/>
      <c r="C427" s="74" t="s">
        <v>2070</v>
      </c>
      <c r="D427" s="74" t="s">
        <v>2071</v>
      </c>
      <c r="E427" s="146">
        <v>741872405</v>
      </c>
      <c r="F427" s="7" t="s">
        <v>493</v>
      </c>
      <c r="G427" s="7"/>
      <c r="H427" s="74" t="s">
        <v>2072</v>
      </c>
      <c r="I427" s="75" t="s">
        <v>2073</v>
      </c>
      <c r="J427" s="74">
        <v>254112807337</v>
      </c>
      <c r="K427" s="74" t="s">
        <v>496</v>
      </c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</row>
    <row r="428" spans="1:36" ht="12.75">
      <c r="A428" s="74" t="s">
        <v>2074</v>
      </c>
      <c r="B428" s="74"/>
      <c r="C428" s="74" t="s">
        <v>2075</v>
      </c>
      <c r="D428" s="74" t="s">
        <v>242</v>
      </c>
      <c r="E428" s="146">
        <v>790950213</v>
      </c>
      <c r="F428" s="7" t="s">
        <v>2076</v>
      </c>
      <c r="G428" s="7"/>
      <c r="H428" s="74" t="s">
        <v>2077</v>
      </c>
      <c r="I428" s="75" t="s">
        <v>59</v>
      </c>
      <c r="J428" s="74">
        <v>784611527</v>
      </c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</row>
    <row r="429" spans="1:36" ht="12.75">
      <c r="A429" s="74" t="s">
        <v>2078</v>
      </c>
      <c r="B429" s="74"/>
      <c r="C429" s="74" t="s">
        <v>2079</v>
      </c>
      <c r="D429" s="74" t="s">
        <v>616</v>
      </c>
      <c r="E429" s="146">
        <v>768525666</v>
      </c>
      <c r="F429" s="7" t="s">
        <v>2080</v>
      </c>
      <c r="G429" s="7"/>
      <c r="H429" s="74" t="s">
        <v>2081</v>
      </c>
      <c r="I429" s="75" t="s">
        <v>65</v>
      </c>
      <c r="J429" s="74">
        <v>713530619</v>
      </c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</row>
    <row r="430" spans="1:36" ht="12.75">
      <c r="A430" s="74" t="s">
        <v>2082</v>
      </c>
      <c r="B430" s="74"/>
      <c r="C430" s="74" t="s">
        <v>2083</v>
      </c>
      <c r="D430" s="74" t="s">
        <v>1328</v>
      </c>
      <c r="E430" s="146">
        <v>758558128</v>
      </c>
      <c r="F430" s="7" t="s">
        <v>2084</v>
      </c>
      <c r="G430" s="7"/>
      <c r="H430" s="74" t="s">
        <v>2085</v>
      </c>
      <c r="I430" s="75" t="s">
        <v>2086</v>
      </c>
      <c r="J430" s="74">
        <v>718794957</v>
      </c>
      <c r="K430" s="74" t="s">
        <v>2087</v>
      </c>
      <c r="L430" s="74"/>
      <c r="M430" s="74"/>
      <c r="N430" s="74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</row>
    <row r="431" spans="1:36" ht="12.75">
      <c r="A431" s="74" t="s">
        <v>2088</v>
      </c>
      <c r="B431" s="74"/>
      <c r="C431" s="74" t="s">
        <v>2089</v>
      </c>
      <c r="D431" s="74" t="s">
        <v>330</v>
      </c>
      <c r="E431" s="146">
        <v>720014663</v>
      </c>
      <c r="F431" s="7" t="s">
        <v>2090</v>
      </c>
      <c r="G431" s="7"/>
      <c r="H431" s="74" t="s">
        <v>2091</v>
      </c>
      <c r="I431" s="75" t="s">
        <v>2092</v>
      </c>
      <c r="J431" s="74">
        <v>720014663</v>
      </c>
      <c r="K431" s="74" t="s">
        <v>2093</v>
      </c>
      <c r="L431" s="74"/>
      <c r="M431" s="74"/>
      <c r="N431" s="74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</row>
    <row r="432" spans="1:36" ht="12.75">
      <c r="A432" s="74" t="s">
        <v>2094</v>
      </c>
      <c r="B432" s="74"/>
      <c r="C432" s="74" t="s">
        <v>2095</v>
      </c>
      <c r="D432" s="74" t="s">
        <v>884</v>
      </c>
      <c r="E432" s="146">
        <v>791276734</v>
      </c>
      <c r="F432" s="7" t="s">
        <v>2096</v>
      </c>
      <c r="G432" s="7"/>
      <c r="H432" s="74" t="s">
        <v>2097</v>
      </c>
      <c r="I432" s="75" t="s">
        <v>2073</v>
      </c>
      <c r="J432" s="76"/>
      <c r="K432" s="74" t="s">
        <v>2098</v>
      </c>
      <c r="L432" s="74"/>
      <c r="M432" s="74"/>
      <c r="N432" s="74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</row>
    <row r="433" spans="1:36" ht="12.75">
      <c r="A433" s="74" t="s">
        <v>2099</v>
      </c>
      <c r="B433" s="74"/>
      <c r="C433" s="74" t="s">
        <v>2100</v>
      </c>
      <c r="D433" s="74" t="s">
        <v>1421</v>
      </c>
      <c r="E433" s="146">
        <v>769534461</v>
      </c>
      <c r="F433" s="7" t="s">
        <v>2101</v>
      </c>
      <c r="G433" s="7"/>
      <c r="H433" s="74" t="s">
        <v>2102</v>
      </c>
      <c r="I433" s="75" t="s">
        <v>218</v>
      </c>
      <c r="J433" s="74">
        <v>717353774</v>
      </c>
      <c r="K433" s="74" t="s">
        <v>2103</v>
      </c>
      <c r="L433" s="74"/>
      <c r="M433" s="74"/>
      <c r="N433" s="74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</row>
    <row r="434" spans="1:36" ht="12.75">
      <c r="A434" s="74" t="s">
        <v>2104</v>
      </c>
      <c r="B434" s="74"/>
      <c r="C434" s="74" t="s">
        <v>2105</v>
      </c>
      <c r="D434" s="74" t="s">
        <v>148</v>
      </c>
      <c r="E434" s="146">
        <v>729614999</v>
      </c>
      <c r="F434" s="7" t="s">
        <v>2106</v>
      </c>
      <c r="G434" s="7"/>
      <c r="H434" s="74" t="s">
        <v>2107</v>
      </c>
      <c r="I434" s="75" t="s">
        <v>2108</v>
      </c>
      <c r="J434" s="74">
        <v>725633154</v>
      </c>
      <c r="K434" s="74" t="s">
        <v>2109</v>
      </c>
      <c r="L434" s="74"/>
      <c r="M434" s="74"/>
      <c r="N434" s="74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</row>
    <row r="435" spans="1:36" ht="12.75">
      <c r="A435" s="74" t="s">
        <v>2110</v>
      </c>
      <c r="B435" s="74"/>
      <c r="C435" s="74" t="s">
        <v>2111</v>
      </c>
      <c r="D435" s="74" t="s">
        <v>2112</v>
      </c>
      <c r="E435" s="30">
        <v>799984377</v>
      </c>
      <c r="F435" s="7" t="s">
        <v>2113</v>
      </c>
      <c r="G435" s="7"/>
      <c r="H435" s="76"/>
      <c r="I435" s="75" t="s">
        <v>2114</v>
      </c>
      <c r="J435" s="74">
        <v>745624264</v>
      </c>
      <c r="K435" s="74" t="s">
        <v>2115</v>
      </c>
      <c r="L435" s="74"/>
      <c r="M435" s="74"/>
      <c r="N435" s="74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</row>
    <row r="436" spans="1:36" ht="12.75">
      <c r="A436" s="74" t="s">
        <v>2116</v>
      </c>
      <c r="B436" s="74"/>
      <c r="C436" s="74" t="s">
        <v>2117</v>
      </c>
      <c r="D436" s="74" t="s">
        <v>501</v>
      </c>
      <c r="E436" s="146">
        <v>710712800</v>
      </c>
      <c r="F436" s="7" t="s">
        <v>2118</v>
      </c>
      <c r="G436" s="7"/>
      <c r="H436" s="74" t="s">
        <v>2119</v>
      </c>
      <c r="I436" s="75" t="s">
        <v>2120</v>
      </c>
      <c r="J436" s="74">
        <v>768261851</v>
      </c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</row>
    <row r="437" spans="1:36" ht="12.75">
      <c r="A437" s="74" t="s">
        <v>2121</v>
      </c>
      <c r="B437" s="74"/>
      <c r="C437" s="74" t="s">
        <v>2122</v>
      </c>
      <c r="D437" s="74" t="s">
        <v>201</v>
      </c>
      <c r="E437" s="146">
        <v>701879131</v>
      </c>
      <c r="F437" s="7" t="s">
        <v>2123</v>
      </c>
      <c r="G437" s="7"/>
      <c r="H437" s="74" t="s">
        <v>2124</v>
      </c>
      <c r="I437" s="75" t="s">
        <v>134</v>
      </c>
      <c r="J437" s="74">
        <v>790068947</v>
      </c>
      <c r="K437" s="74" t="s">
        <v>2125</v>
      </c>
      <c r="L437" s="74"/>
      <c r="M437" s="74"/>
      <c r="N437" s="74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</row>
    <row r="438" spans="1:36" ht="12.75">
      <c r="A438" s="74" t="s">
        <v>2126</v>
      </c>
      <c r="B438" s="74"/>
      <c r="C438" s="74" t="s">
        <v>2127</v>
      </c>
      <c r="D438" s="74" t="s">
        <v>2128</v>
      </c>
      <c r="E438" s="146">
        <v>768799034</v>
      </c>
      <c r="F438" s="7" t="s">
        <v>2129</v>
      </c>
      <c r="G438" s="7"/>
      <c r="H438" s="74" t="s">
        <v>2130</v>
      </c>
      <c r="I438" s="75" t="s">
        <v>223</v>
      </c>
      <c r="J438" s="74">
        <v>733851201</v>
      </c>
      <c r="K438" s="74" t="s">
        <v>2131</v>
      </c>
      <c r="L438" s="74"/>
      <c r="M438" s="74"/>
      <c r="N438" s="74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</row>
    <row r="439" spans="1:36" ht="12.75">
      <c r="A439" s="274" t="s">
        <v>2132</v>
      </c>
      <c r="B439" s="274"/>
      <c r="C439" s="74" t="s">
        <v>1544</v>
      </c>
      <c r="D439" s="74" t="s">
        <v>2112</v>
      </c>
      <c r="E439" s="146">
        <v>748410770</v>
      </c>
      <c r="F439" s="7" t="s">
        <v>1547</v>
      </c>
      <c r="G439" s="7"/>
      <c r="H439" s="74" t="s">
        <v>85</v>
      </c>
      <c r="I439" s="75" t="s">
        <v>451</v>
      </c>
      <c r="J439" s="74">
        <v>799290741</v>
      </c>
      <c r="K439" s="74" t="s">
        <v>87</v>
      </c>
      <c r="L439" s="74"/>
      <c r="M439" s="74"/>
      <c r="N439" s="74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</row>
    <row r="440" spans="1:36" ht="12.75">
      <c r="A440" s="74" t="s">
        <v>2133</v>
      </c>
      <c r="B440" s="74"/>
      <c r="C440" s="74" t="s">
        <v>2134</v>
      </c>
      <c r="D440" s="74" t="s">
        <v>2112</v>
      </c>
      <c r="E440" s="60">
        <v>742584259</v>
      </c>
      <c r="F440" s="7" t="s">
        <v>2135</v>
      </c>
      <c r="G440" s="7"/>
      <c r="H440" s="74" t="s">
        <v>2136</v>
      </c>
      <c r="I440" s="75" t="s">
        <v>2137</v>
      </c>
      <c r="J440" s="146">
        <v>742584259</v>
      </c>
      <c r="K440" s="74" t="s">
        <v>2138</v>
      </c>
      <c r="L440" s="74"/>
      <c r="M440" s="74"/>
      <c r="N440" s="74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</row>
    <row r="441" spans="1:36" ht="12.75">
      <c r="A441" s="74" t="s">
        <v>943</v>
      </c>
      <c r="B441" s="74"/>
      <c r="C441" s="74" t="s">
        <v>944</v>
      </c>
      <c r="D441" s="74" t="s">
        <v>880</v>
      </c>
      <c r="E441" s="146">
        <v>723242610</v>
      </c>
      <c r="F441" s="7" t="s">
        <v>945</v>
      </c>
      <c r="G441" s="7"/>
      <c r="H441" s="74"/>
      <c r="I441" s="75"/>
      <c r="J441" s="74"/>
      <c r="K441" s="74"/>
      <c r="L441" s="74"/>
      <c r="M441" s="74"/>
      <c r="N441" s="74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</row>
    <row r="442" spans="1:36" ht="12.75">
      <c r="A442" s="74" t="s">
        <v>1823</v>
      </c>
      <c r="B442" s="74"/>
      <c r="C442" s="74" t="s">
        <v>1824</v>
      </c>
      <c r="D442" s="74" t="s">
        <v>880</v>
      </c>
      <c r="E442" s="146">
        <v>784388520</v>
      </c>
      <c r="F442" s="7" t="s">
        <v>1826</v>
      </c>
      <c r="G442" s="7"/>
      <c r="H442" s="74" t="s">
        <v>2139</v>
      </c>
      <c r="I442" s="75" t="s">
        <v>218</v>
      </c>
      <c r="J442" s="74">
        <v>204408989</v>
      </c>
      <c r="K442" s="74" t="s">
        <v>1942</v>
      </c>
      <c r="L442" s="74"/>
      <c r="M442" s="74"/>
      <c r="N442" s="74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</row>
    <row r="443" spans="1:36" ht="12.75">
      <c r="A443" s="74" t="s">
        <v>1572</v>
      </c>
      <c r="B443" s="74"/>
      <c r="C443" s="74" t="s">
        <v>1573</v>
      </c>
      <c r="D443" s="74" t="s">
        <v>11</v>
      </c>
      <c r="E443" s="146">
        <v>707651122</v>
      </c>
      <c r="F443" s="7" t="s">
        <v>1574</v>
      </c>
      <c r="G443" s="7"/>
      <c r="H443" s="74" t="s">
        <v>2140</v>
      </c>
      <c r="I443" s="75" t="s">
        <v>2141</v>
      </c>
      <c r="J443" s="74">
        <v>112807337</v>
      </c>
      <c r="K443" s="74" t="s">
        <v>496</v>
      </c>
      <c r="L443" s="74"/>
      <c r="M443" s="74"/>
      <c r="N443" s="74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</row>
    <row r="444" spans="1:36" ht="12.75">
      <c r="A444" s="74" t="s">
        <v>563</v>
      </c>
      <c r="B444" s="74"/>
      <c r="C444" s="74" t="s">
        <v>564</v>
      </c>
      <c r="D444" s="74" t="s">
        <v>565</v>
      </c>
      <c r="E444" s="146">
        <v>720711717</v>
      </c>
      <c r="F444" s="7" t="s">
        <v>566</v>
      </c>
      <c r="G444" s="7"/>
      <c r="H444" s="74" t="s">
        <v>613</v>
      </c>
      <c r="I444" s="84"/>
      <c r="J444" s="74">
        <v>737118289</v>
      </c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</row>
    <row r="445" spans="1:36" ht="12.75">
      <c r="A445" s="60" t="s">
        <v>146</v>
      </c>
      <c r="B445" s="60"/>
      <c r="C445" s="74" t="s">
        <v>147</v>
      </c>
      <c r="D445" s="74" t="s">
        <v>148</v>
      </c>
      <c r="E445" s="146">
        <v>759960969</v>
      </c>
      <c r="F445" s="7" t="s">
        <v>149</v>
      </c>
      <c r="G445" s="7"/>
      <c r="H445" s="76"/>
      <c r="I445" s="75" t="s">
        <v>2142</v>
      </c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</row>
    <row r="446" spans="1:36" ht="12.75">
      <c r="A446" s="74" t="s">
        <v>2143</v>
      </c>
      <c r="B446" s="74"/>
      <c r="C446" s="74" t="s">
        <v>2144</v>
      </c>
      <c r="D446" s="74" t="s">
        <v>242</v>
      </c>
      <c r="E446" s="146">
        <v>742382815</v>
      </c>
      <c r="F446" s="7" t="s">
        <v>2145</v>
      </c>
      <c r="G446" s="7"/>
      <c r="H446" s="74" t="s">
        <v>2146</v>
      </c>
      <c r="I446" s="75" t="s">
        <v>1764</v>
      </c>
      <c r="J446" s="74">
        <v>742382815</v>
      </c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</row>
    <row r="447" spans="1:36" ht="12.75">
      <c r="A447" s="74" t="s">
        <v>2147</v>
      </c>
      <c r="B447" s="74"/>
      <c r="C447" s="74" t="s">
        <v>2148</v>
      </c>
      <c r="D447" s="74" t="s">
        <v>2149</v>
      </c>
      <c r="E447" s="194">
        <f>254762436784</f>
        <v>254762436784</v>
      </c>
      <c r="F447" s="7" t="s">
        <v>2150</v>
      </c>
      <c r="G447" s="7"/>
      <c r="H447" s="74" t="s">
        <v>2151</v>
      </c>
      <c r="I447" s="75" t="s">
        <v>237</v>
      </c>
      <c r="J447" s="74">
        <v>254111121100</v>
      </c>
      <c r="K447" s="74" t="s">
        <v>2152</v>
      </c>
      <c r="L447" s="74"/>
      <c r="M447" s="74"/>
      <c r="N447" s="74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</row>
    <row r="448" spans="1:36" ht="12.75">
      <c r="A448" s="74" t="s">
        <v>2153</v>
      </c>
      <c r="B448" s="74"/>
      <c r="C448" s="74" t="s">
        <v>2154</v>
      </c>
      <c r="D448" s="76" t="s">
        <v>227</v>
      </c>
      <c r="E448" s="194">
        <v>254706313335</v>
      </c>
      <c r="F448" s="9" t="s">
        <v>897</v>
      </c>
      <c r="G448" s="9"/>
      <c r="H448" s="76" t="s">
        <v>613</v>
      </c>
      <c r="I448" s="84" t="s">
        <v>59</v>
      </c>
      <c r="J448" s="76">
        <v>736118289</v>
      </c>
      <c r="K448" s="76" t="s">
        <v>898</v>
      </c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</row>
    <row r="449" spans="1:36" ht="12.75">
      <c r="A449" s="74" t="s">
        <v>2155</v>
      </c>
      <c r="B449" s="74"/>
      <c r="C449" s="74" t="s">
        <v>2156</v>
      </c>
      <c r="D449" s="74" t="s">
        <v>2157</v>
      </c>
      <c r="E449" s="146">
        <v>114790874</v>
      </c>
      <c r="F449" s="9"/>
      <c r="G449" s="9"/>
      <c r="H449" s="76"/>
      <c r="I449" s="84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</row>
    <row r="450" spans="1:36" ht="12.75">
      <c r="A450" s="74" t="s">
        <v>2158</v>
      </c>
      <c r="B450" s="74"/>
      <c r="C450" s="74" t="s">
        <v>2159</v>
      </c>
      <c r="D450" s="74" t="s">
        <v>227</v>
      </c>
      <c r="E450" s="146">
        <v>741048174</v>
      </c>
      <c r="F450" s="7" t="s">
        <v>2160</v>
      </c>
      <c r="G450" s="7"/>
      <c r="H450" s="74" t="s">
        <v>2161</v>
      </c>
      <c r="I450" s="75" t="s">
        <v>2162</v>
      </c>
      <c r="J450" s="74">
        <v>712649366</v>
      </c>
      <c r="K450" s="74" t="s">
        <v>2006</v>
      </c>
      <c r="L450" s="74"/>
      <c r="M450" s="74"/>
      <c r="N450" s="74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</row>
    <row r="451" spans="1:36" ht="12.75">
      <c r="A451" s="74" t="s">
        <v>2163</v>
      </c>
      <c r="B451" s="74"/>
      <c r="C451" s="74" t="s">
        <v>2164</v>
      </c>
      <c r="D451" s="74" t="s">
        <v>227</v>
      </c>
      <c r="E451" s="146">
        <v>759253723</v>
      </c>
      <c r="F451" s="7" t="s">
        <v>2165</v>
      </c>
      <c r="G451" s="7"/>
      <c r="H451" s="74" t="s">
        <v>2166</v>
      </c>
      <c r="I451" s="84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</row>
    <row r="452" spans="1:36" ht="12.75">
      <c r="A452" s="74" t="s">
        <v>2167</v>
      </c>
      <c r="B452" s="74"/>
      <c r="C452" s="74" t="s">
        <v>2168</v>
      </c>
      <c r="D452" s="74" t="s">
        <v>2169</v>
      </c>
      <c r="E452" s="146">
        <v>707774064</v>
      </c>
      <c r="F452" s="7" t="s">
        <v>2170</v>
      </c>
      <c r="G452" s="7"/>
      <c r="H452" s="74" t="s">
        <v>2171</v>
      </c>
      <c r="I452" s="75" t="s">
        <v>59</v>
      </c>
      <c r="J452" s="74">
        <v>703353680</v>
      </c>
      <c r="K452" s="74" t="s">
        <v>2172</v>
      </c>
      <c r="L452" s="74"/>
      <c r="M452" s="74"/>
      <c r="N452" s="74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</row>
    <row r="453" spans="1:36" ht="12.75">
      <c r="A453" s="74" t="s">
        <v>2173</v>
      </c>
      <c r="B453" s="74"/>
      <c r="C453" s="74" t="s">
        <v>2174</v>
      </c>
      <c r="D453" s="74" t="s">
        <v>891</v>
      </c>
      <c r="E453" s="146">
        <v>759992528</v>
      </c>
      <c r="F453" s="7" t="s">
        <v>2175</v>
      </c>
      <c r="G453" s="7"/>
      <c r="H453" s="74" t="s">
        <v>1133</v>
      </c>
      <c r="I453" s="75" t="s">
        <v>2176</v>
      </c>
      <c r="J453" s="74">
        <v>7202582237</v>
      </c>
      <c r="K453" s="74" t="s">
        <v>180</v>
      </c>
      <c r="L453" s="74"/>
      <c r="M453" s="74"/>
      <c r="N453" s="74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</row>
    <row r="454" spans="1:36" ht="12.75">
      <c r="A454" s="74" t="s">
        <v>2177</v>
      </c>
      <c r="B454" s="74"/>
      <c r="C454" s="74" t="s">
        <v>2178</v>
      </c>
      <c r="D454" s="74" t="s">
        <v>2179</v>
      </c>
      <c r="E454" s="146">
        <v>794645593</v>
      </c>
      <c r="F454" s="7" t="s">
        <v>2180</v>
      </c>
      <c r="G454" s="7"/>
      <c r="H454" s="74" t="s">
        <v>2181</v>
      </c>
      <c r="I454" s="75" t="s">
        <v>2176</v>
      </c>
      <c r="J454" s="74">
        <v>729794917</v>
      </c>
      <c r="K454" s="74" t="s">
        <v>180</v>
      </c>
      <c r="L454" s="74"/>
      <c r="M454" s="74"/>
      <c r="N454" s="74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</row>
    <row r="455" spans="1:36" ht="12.75">
      <c r="A455" s="74" t="s">
        <v>2182</v>
      </c>
      <c r="B455" s="74"/>
      <c r="C455" s="74" t="s">
        <v>2183</v>
      </c>
      <c r="D455" s="74" t="s">
        <v>2184</v>
      </c>
      <c r="E455" s="194">
        <v>254704116291</v>
      </c>
      <c r="F455" s="7" t="s">
        <v>2185</v>
      </c>
      <c r="G455" s="7"/>
      <c r="H455" s="74" t="s">
        <v>2186</v>
      </c>
      <c r="I455" s="75" t="s">
        <v>59</v>
      </c>
      <c r="J455" s="74">
        <v>105906508</v>
      </c>
      <c r="K455" s="74" t="s">
        <v>2187</v>
      </c>
      <c r="L455" s="74"/>
      <c r="M455" s="74"/>
      <c r="N455" s="74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</row>
    <row r="456" spans="1:36" ht="12.75">
      <c r="A456" s="74" t="s">
        <v>2188</v>
      </c>
      <c r="B456" s="74"/>
      <c r="C456" s="74" t="s">
        <v>2189</v>
      </c>
      <c r="D456" s="74" t="s">
        <v>38</v>
      </c>
      <c r="E456" s="146">
        <v>788097323</v>
      </c>
      <c r="F456" s="7" t="s">
        <v>2190</v>
      </c>
      <c r="G456" s="7"/>
      <c r="H456" s="74" t="s">
        <v>2191</v>
      </c>
      <c r="I456" s="75" t="s">
        <v>2108</v>
      </c>
      <c r="J456" s="74">
        <v>725633154</v>
      </c>
      <c r="K456" s="74" t="s">
        <v>2109</v>
      </c>
      <c r="L456" s="74"/>
      <c r="M456" s="74"/>
      <c r="N456" s="74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</row>
    <row r="457" spans="1:36" ht="12.75">
      <c r="A457" s="74" t="s">
        <v>2192</v>
      </c>
      <c r="B457" s="74"/>
      <c r="C457" s="74" t="s">
        <v>2193</v>
      </c>
      <c r="D457" s="74" t="s">
        <v>242</v>
      </c>
      <c r="E457" s="146">
        <v>794248235</v>
      </c>
      <c r="F457" s="7" t="s">
        <v>2194</v>
      </c>
      <c r="G457" s="7"/>
      <c r="H457" s="74" t="s">
        <v>2195</v>
      </c>
      <c r="I457" s="75" t="s">
        <v>237</v>
      </c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</row>
    <row r="458" spans="1:36" ht="12.75">
      <c r="A458" s="74" t="s">
        <v>2196</v>
      </c>
      <c r="B458" s="74"/>
      <c r="C458" s="74" t="s">
        <v>2197</v>
      </c>
      <c r="D458" s="74" t="s">
        <v>2198</v>
      </c>
      <c r="E458" s="146">
        <v>758006089</v>
      </c>
      <c r="F458" s="7" t="s">
        <v>2199</v>
      </c>
      <c r="G458" s="7"/>
      <c r="H458" s="76"/>
      <c r="I458" s="84"/>
      <c r="J458" s="74">
        <v>203754904</v>
      </c>
      <c r="K458" s="74" t="s">
        <v>2200</v>
      </c>
      <c r="L458" s="74"/>
      <c r="M458" s="74"/>
      <c r="N458" s="74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</row>
    <row r="459" spans="1:36" ht="15">
      <c r="A459" s="74" t="s">
        <v>2201</v>
      </c>
      <c r="B459" s="74"/>
      <c r="C459" s="74" t="s">
        <v>2202</v>
      </c>
      <c r="D459" s="74" t="s">
        <v>2203</v>
      </c>
      <c r="E459" s="146">
        <v>793812903</v>
      </c>
      <c r="F459" s="7" t="s">
        <v>2204</v>
      </c>
      <c r="G459" s="7"/>
      <c r="H459" s="74" t="s">
        <v>2205</v>
      </c>
      <c r="I459" s="75" t="s">
        <v>14</v>
      </c>
      <c r="J459" s="74">
        <v>711291127</v>
      </c>
      <c r="K459" s="216" t="s">
        <v>2206</v>
      </c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</row>
    <row r="460" spans="1:36" ht="12.75">
      <c r="A460" s="74" t="s">
        <v>2207</v>
      </c>
      <c r="B460" s="74"/>
      <c r="C460" s="74" t="s">
        <v>2208</v>
      </c>
      <c r="D460" s="74" t="s">
        <v>2209</v>
      </c>
      <c r="E460" s="146">
        <v>714978525</v>
      </c>
      <c r="F460" s="7" t="s">
        <v>2210</v>
      </c>
      <c r="G460" s="7"/>
      <c r="H460" s="74" t="s">
        <v>2211</v>
      </c>
      <c r="I460" s="75" t="s">
        <v>59</v>
      </c>
      <c r="J460" s="76">
        <v>254786789411</v>
      </c>
      <c r="K460" s="74" t="s">
        <v>2212</v>
      </c>
      <c r="L460" s="74"/>
      <c r="M460" s="74"/>
      <c r="N460" s="74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</row>
    <row r="461" spans="1:36" ht="12.75">
      <c r="A461" s="74" t="s">
        <v>2213</v>
      </c>
      <c r="B461" s="74"/>
      <c r="C461" s="74" t="s">
        <v>2214</v>
      </c>
      <c r="D461" s="74" t="s">
        <v>2209</v>
      </c>
      <c r="E461" s="146">
        <v>794473791</v>
      </c>
      <c r="F461" s="7" t="s">
        <v>2215</v>
      </c>
      <c r="G461" s="7"/>
      <c r="H461" s="74" t="s">
        <v>941</v>
      </c>
      <c r="I461" s="75" t="s">
        <v>218</v>
      </c>
      <c r="J461" s="74">
        <v>704215496</v>
      </c>
      <c r="K461" s="74" t="s">
        <v>2216</v>
      </c>
      <c r="L461" s="74"/>
      <c r="M461" s="74"/>
      <c r="N461" s="74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</row>
    <row r="462" spans="1:36" ht="12.75">
      <c r="A462" s="74" t="s">
        <v>2217</v>
      </c>
      <c r="B462" s="74"/>
      <c r="C462" s="74" t="s">
        <v>2218</v>
      </c>
      <c r="D462" s="74" t="s">
        <v>1742</v>
      </c>
      <c r="E462" s="146">
        <v>722312356</v>
      </c>
      <c r="F462" s="7" t="s">
        <v>2219</v>
      </c>
      <c r="G462" s="7"/>
      <c r="H462" s="74" t="s">
        <v>2220</v>
      </c>
      <c r="I462" s="75" t="s">
        <v>763</v>
      </c>
      <c r="J462" s="74">
        <v>254723661676</v>
      </c>
      <c r="K462" s="74" t="s">
        <v>2221</v>
      </c>
      <c r="L462" s="74"/>
      <c r="M462" s="74"/>
      <c r="N462" s="74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</row>
    <row r="463" spans="1:36" ht="12.75">
      <c r="A463" s="74" t="s">
        <v>2222</v>
      </c>
      <c r="B463" s="74"/>
      <c r="C463" s="74" t="s">
        <v>2223</v>
      </c>
      <c r="D463" s="74" t="s">
        <v>2224</v>
      </c>
      <c r="E463" s="287" t="s">
        <v>2225</v>
      </c>
      <c r="F463" s="7" t="s">
        <v>2226</v>
      </c>
      <c r="G463" s="7"/>
      <c r="H463" s="74" t="s">
        <v>2227</v>
      </c>
      <c r="I463" s="75" t="s">
        <v>2228</v>
      </c>
      <c r="J463" s="218" t="s">
        <v>2229</v>
      </c>
      <c r="K463" s="74" t="s">
        <v>2230</v>
      </c>
      <c r="L463" s="74"/>
      <c r="M463" s="74"/>
      <c r="N463" s="74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</row>
    <row r="464" spans="1:36" ht="12.75">
      <c r="A464" s="74"/>
      <c r="B464" s="74"/>
      <c r="C464" s="74" t="s">
        <v>2231</v>
      </c>
      <c r="D464" s="74" t="s">
        <v>1998</v>
      </c>
      <c r="E464" s="146">
        <v>741466571</v>
      </c>
      <c r="F464" s="7" t="s">
        <v>2232</v>
      </c>
      <c r="G464" s="7"/>
      <c r="H464" s="74" t="s">
        <v>2233</v>
      </c>
      <c r="I464" s="75" t="s">
        <v>2234</v>
      </c>
      <c r="J464" s="74">
        <v>711933933</v>
      </c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</row>
    <row r="465" spans="1:36" ht="12.75">
      <c r="A465" s="74"/>
      <c r="B465" s="74"/>
      <c r="C465" s="74" t="s">
        <v>2235</v>
      </c>
      <c r="D465" s="74" t="s">
        <v>565</v>
      </c>
      <c r="E465" s="146">
        <v>794178092</v>
      </c>
      <c r="F465" s="7" t="s">
        <v>2236</v>
      </c>
      <c r="G465" s="7"/>
      <c r="H465" s="74" t="s">
        <v>2237</v>
      </c>
      <c r="I465" s="75" t="s">
        <v>763</v>
      </c>
      <c r="J465" s="74" t="s">
        <v>2238</v>
      </c>
      <c r="K465" s="74" t="s">
        <v>2239</v>
      </c>
      <c r="L465" s="74"/>
      <c r="M465" s="74"/>
      <c r="N465" s="74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</row>
    <row r="466" spans="1:36" ht="12.75">
      <c r="A466" s="74"/>
      <c r="B466" s="74"/>
      <c r="C466" s="74" t="s">
        <v>2240</v>
      </c>
      <c r="D466" s="74" t="s">
        <v>565</v>
      </c>
      <c r="E466" s="146">
        <v>111913060</v>
      </c>
      <c r="F466" s="7" t="s">
        <v>2241</v>
      </c>
      <c r="G466" s="7"/>
      <c r="H466" s="74" t="s">
        <v>2242</v>
      </c>
      <c r="I466" s="75" t="s">
        <v>1429</v>
      </c>
      <c r="J466" s="74">
        <v>724099887</v>
      </c>
      <c r="K466" s="74" t="s">
        <v>2243</v>
      </c>
      <c r="L466" s="74"/>
      <c r="M466" s="74"/>
      <c r="N466" s="74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</row>
    <row r="467" spans="1:36" ht="12.75">
      <c r="A467" s="74"/>
      <c r="B467" s="74"/>
      <c r="C467" s="74" t="s">
        <v>2244</v>
      </c>
      <c r="D467" s="74" t="s">
        <v>2245</v>
      </c>
      <c r="E467" s="146">
        <v>712466663</v>
      </c>
      <c r="F467" s="7" t="s">
        <v>2246</v>
      </c>
      <c r="G467" s="7"/>
      <c r="H467" s="74" t="s">
        <v>1505</v>
      </c>
      <c r="I467" s="75" t="s">
        <v>2247</v>
      </c>
      <c r="J467" s="74" t="s">
        <v>2248</v>
      </c>
      <c r="K467" s="74" t="s">
        <v>2249</v>
      </c>
      <c r="L467" s="74"/>
      <c r="M467" s="74"/>
      <c r="N467" s="74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</row>
    <row r="468" spans="1:36" ht="12.75">
      <c r="A468" s="74" t="s">
        <v>2250</v>
      </c>
      <c r="B468" s="60"/>
      <c r="C468" s="96" t="s">
        <v>2251</v>
      </c>
      <c r="D468" s="74" t="s">
        <v>2252</v>
      </c>
      <c r="E468" s="146">
        <v>706942220</v>
      </c>
      <c r="F468" s="7" t="s">
        <v>2253</v>
      </c>
      <c r="G468" s="7"/>
      <c r="H468" s="74" t="s">
        <v>2254</v>
      </c>
      <c r="I468" s="75" t="s">
        <v>1218</v>
      </c>
      <c r="J468" s="74">
        <v>103593933</v>
      </c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</row>
    <row r="469" spans="1:36" ht="12.75">
      <c r="A469" s="74" t="s">
        <v>2255</v>
      </c>
      <c r="B469" s="74"/>
      <c r="C469" s="74"/>
      <c r="D469" s="74" t="s">
        <v>289</v>
      </c>
      <c r="E469" s="146">
        <v>713156080</v>
      </c>
      <c r="F469" s="7" t="s">
        <v>2256</v>
      </c>
      <c r="G469" s="7"/>
      <c r="H469" s="74" t="s">
        <v>2257</v>
      </c>
      <c r="I469" s="75" t="s">
        <v>887</v>
      </c>
      <c r="J469" s="76">
        <v>254786789411</v>
      </c>
      <c r="K469" s="74" t="s">
        <v>2212</v>
      </c>
      <c r="L469" s="74"/>
      <c r="M469" s="74"/>
      <c r="N469" s="74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</row>
    <row r="470" spans="1:36" ht="12.75">
      <c r="A470" s="74" t="s">
        <v>2258</v>
      </c>
      <c r="B470" s="74"/>
      <c r="C470" s="74" t="s">
        <v>2259</v>
      </c>
      <c r="D470" s="74" t="s">
        <v>2260</v>
      </c>
      <c r="E470" s="146">
        <v>718068912</v>
      </c>
      <c r="F470" s="7" t="s">
        <v>2261</v>
      </c>
      <c r="G470" s="7"/>
      <c r="H470" s="74" t="s">
        <v>2262</v>
      </c>
      <c r="I470" s="75" t="s">
        <v>1218</v>
      </c>
      <c r="J470" s="74">
        <v>710311361</v>
      </c>
      <c r="K470" s="74" t="s">
        <v>2263</v>
      </c>
      <c r="L470" s="74"/>
      <c r="M470" s="74"/>
      <c r="N470" s="74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</row>
    <row r="471" spans="1:36" ht="14.25">
      <c r="A471" s="74" t="s">
        <v>2264</v>
      </c>
      <c r="B471" s="74"/>
      <c r="C471" s="74" t="s">
        <v>2265</v>
      </c>
      <c r="D471" s="74" t="s">
        <v>2252</v>
      </c>
      <c r="E471" s="146">
        <v>111288399</v>
      </c>
      <c r="F471" s="7" t="s">
        <v>2266</v>
      </c>
      <c r="G471" s="7"/>
      <c r="H471" s="74" t="s">
        <v>2267</v>
      </c>
      <c r="I471" s="75" t="s">
        <v>2017</v>
      </c>
      <c r="J471" s="219">
        <v>708095732</v>
      </c>
      <c r="K471" s="74" t="s">
        <v>2268</v>
      </c>
      <c r="L471" s="74"/>
      <c r="M471" s="74"/>
      <c r="N471" s="74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</row>
    <row r="472" spans="1:36" ht="12.75">
      <c r="A472" s="74" t="s">
        <v>2269</v>
      </c>
      <c r="B472" s="74"/>
      <c r="C472" s="74" t="s">
        <v>2270</v>
      </c>
      <c r="D472" s="74" t="s">
        <v>2271</v>
      </c>
      <c r="E472" s="146">
        <v>742953000</v>
      </c>
      <c r="F472" s="7" t="s">
        <v>2272</v>
      </c>
      <c r="G472" s="7"/>
      <c r="H472" s="74" t="s">
        <v>355</v>
      </c>
      <c r="I472" s="75" t="s">
        <v>14</v>
      </c>
      <c r="J472" s="74">
        <v>715364294</v>
      </c>
      <c r="K472" s="74" t="s">
        <v>105</v>
      </c>
      <c r="L472" s="74"/>
      <c r="M472" s="74"/>
      <c r="N472" s="74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</row>
    <row r="473" spans="1:36" ht="12.75">
      <c r="A473" s="74" t="s">
        <v>2273</v>
      </c>
      <c r="B473" s="74"/>
      <c r="C473" s="74" t="s">
        <v>2274</v>
      </c>
      <c r="D473" s="74" t="s">
        <v>2275</v>
      </c>
      <c r="E473" s="146">
        <v>712930121</v>
      </c>
      <c r="F473" s="31" t="s">
        <v>1485</v>
      </c>
      <c r="G473" s="37"/>
      <c r="H473" s="74" t="s">
        <v>2276</v>
      </c>
      <c r="I473" s="75" t="s">
        <v>1218</v>
      </c>
      <c r="J473" s="74">
        <v>708354720</v>
      </c>
      <c r="K473" s="74" t="s">
        <v>2277</v>
      </c>
      <c r="L473" s="74"/>
      <c r="M473" s="74"/>
      <c r="N473" s="74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</row>
    <row r="474" spans="1:36" ht="12.75">
      <c r="A474" s="74"/>
      <c r="B474" s="74"/>
      <c r="C474" s="74" t="s">
        <v>2265</v>
      </c>
      <c r="D474" s="74" t="s">
        <v>2252</v>
      </c>
      <c r="E474" s="146">
        <v>769323576</v>
      </c>
      <c r="F474" s="7" t="s">
        <v>2253</v>
      </c>
      <c r="G474" s="7"/>
      <c r="H474" s="74" t="s">
        <v>2278</v>
      </c>
      <c r="I474" s="75" t="s">
        <v>1218</v>
      </c>
      <c r="J474" s="74">
        <v>103593933</v>
      </c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</row>
    <row r="475" spans="1:36" ht="12.75">
      <c r="A475" s="60" t="s">
        <v>2279</v>
      </c>
      <c r="B475" s="60"/>
      <c r="C475" s="74" t="s">
        <v>2280</v>
      </c>
      <c r="D475" s="74" t="s">
        <v>155</v>
      </c>
      <c r="E475" s="146">
        <v>710327336</v>
      </c>
      <c r="F475" s="7" t="s">
        <v>2281</v>
      </c>
      <c r="G475" s="7"/>
      <c r="H475" s="74" t="s">
        <v>2282</v>
      </c>
      <c r="I475" s="75" t="s">
        <v>2283</v>
      </c>
      <c r="J475" s="74">
        <v>791994509</v>
      </c>
      <c r="K475" s="74" t="s">
        <v>2284</v>
      </c>
      <c r="L475" s="74"/>
      <c r="M475" s="74"/>
      <c r="N475" s="74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</row>
    <row r="476" spans="1:36" ht="12.75">
      <c r="A476" s="74" t="s">
        <v>2285</v>
      </c>
      <c r="B476" s="74"/>
      <c r="C476" s="74" t="s">
        <v>2286</v>
      </c>
      <c r="D476" s="74" t="s">
        <v>402</v>
      </c>
      <c r="E476" s="146">
        <v>707850704</v>
      </c>
      <c r="F476" s="7" t="s">
        <v>2287</v>
      </c>
      <c r="G476" s="7"/>
      <c r="H476" s="74" t="s">
        <v>1987</v>
      </c>
      <c r="I476" s="75" t="s">
        <v>1357</v>
      </c>
      <c r="J476" s="74">
        <v>771067992</v>
      </c>
      <c r="K476" s="74" t="s">
        <v>1988</v>
      </c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</row>
    <row r="477" spans="1:36" ht="12.75">
      <c r="A477" s="74" t="s">
        <v>2288</v>
      </c>
      <c r="B477" s="74"/>
      <c r="C477" s="74" t="s">
        <v>2289</v>
      </c>
      <c r="D477" s="74" t="s">
        <v>2271</v>
      </c>
      <c r="E477" s="146">
        <v>794751127</v>
      </c>
      <c r="F477" s="7" t="s">
        <v>2290</v>
      </c>
      <c r="G477" s="7"/>
      <c r="H477" s="74"/>
      <c r="I477" s="75"/>
      <c r="J477" s="74"/>
      <c r="K477" s="74"/>
      <c r="L477" s="74"/>
      <c r="M477" s="74"/>
      <c r="N477" s="74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</row>
    <row r="478" spans="1:36" ht="12.75">
      <c r="A478" s="74" t="s">
        <v>2291</v>
      </c>
      <c r="B478" s="74"/>
      <c r="C478" s="74" t="s">
        <v>2292</v>
      </c>
      <c r="D478" s="96" t="s">
        <v>2293</v>
      </c>
      <c r="E478" s="146">
        <v>748642157</v>
      </c>
      <c r="F478" s="7" t="s">
        <v>2290</v>
      </c>
      <c r="G478" s="7"/>
      <c r="H478" s="74" t="s">
        <v>2294</v>
      </c>
      <c r="I478" s="75" t="s">
        <v>223</v>
      </c>
      <c r="J478" s="74">
        <v>254113015674</v>
      </c>
      <c r="K478" s="74" t="s">
        <v>2295</v>
      </c>
      <c r="L478" s="74"/>
      <c r="M478" s="74"/>
      <c r="N478" s="74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</row>
    <row r="479" spans="1:36" ht="12.75">
      <c r="A479" s="74" t="s">
        <v>2296</v>
      </c>
      <c r="B479" s="74"/>
      <c r="C479" s="74" t="s">
        <v>2297</v>
      </c>
      <c r="D479" s="74" t="s">
        <v>2293</v>
      </c>
      <c r="E479" s="146">
        <v>705024474</v>
      </c>
      <c r="F479" s="7" t="s">
        <v>2290</v>
      </c>
      <c r="G479" s="7"/>
      <c r="H479" s="74" t="s">
        <v>2294</v>
      </c>
      <c r="I479" s="75" t="s">
        <v>223</v>
      </c>
      <c r="J479" s="74">
        <v>254113015674</v>
      </c>
      <c r="K479" s="74" t="s">
        <v>2295</v>
      </c>
      <c r="L479" s="74"/>
      <c r="M479" s="74"/>
      <c r="N479" s="74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</row>
    <row r="480" spans="1:36" ht="12.75">
      <c r="A480" s="74" t="s">
        <v>2298</v>
      </c>
      <c r="B480" s="74"/>
      <c r="C480" s="74" t="s">
        <v>2299</v>
      </c>
      <c r="D480" s="76"/>
      <c r="E480" s="194"/>
      <c r="F480" s="9"/>
      <c r="G480" s="9"/>
      <c r="H480" s="76"/>
      <c r="I480" s="84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</row>
    <row r="481" spans="1:36" ht="12.75">
      <c r="A481" s="74" t="s">
        <v>2300</v>
      </c>
      <c r="B481" s="74"/>
      <c r="C481" s="74" t="s">
        <v>2301</v>
      </c>
      <c r="D481" s="74" t="s">
        <v>2302</v>
      </c>
      <c r="E481" s="146">
        <v>740491425</v>
      </c>
      <c r="F481" s="7" t="s">
        <v>2303</v>
      </c>
      <c r="G481" s="7"/>
      <c r="H481" s="74" t="s">
        <v>2304</v>
      </c>
      <c r="I481" s="75" t="s">
        <v>495</v>
      </c>
      <c r="J481" s="74">
        <v>254790938408</v>
      </c>
      <c r="K481" s="74" t="s">
        <v>496</v>
      </c>
      <c r="L481" s="74"/>
      <c r="M481" s="74"/>
      <c r="N481" s="74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</row>
    <row r="482" spans="1:36" ht="12.75">
      <c r="A482" s="74" t="s">
        <v>2305</v>
      </c>
      <c r="B482" s="74"/>
      <c r="C482" s="74" t="s">
        <v>2306</v>
      </c>
      <c r="D482" s="74" t="s">
        <v>227</v>
      </c>
      <c r="E482" s="146">
        <v>795213662</v>
      </c>
      <c r="F482" s="7" t="s">
        <v>2303</v>
      </c>
      <c r="G482" s="7"/>
      <c r="H482" s="74" t="s">
        <v>2304</v>
      </c>
      <c r="I482" s="75" t="s">
        <v>495</v>
      </c>
      <c r="J482" s="74">
        <v>254790938408</v>
      </c>
      <c r="K482" s="74" t="s">
        <v>496</v>
      </c>
      <c r="L482" s="74"/>
      <c r="M482" s="74"/>
      <c r="N482" s="74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</row>
    <row r="483" spans="1:36" ht="12.75">
      <c r="A483" s="74" t="s">
        <v>2307</v>
      </c>
      <c r="B483" s="74"/>
      <c r="C483" s="74" t="s">
        <v>2308</v>
      </c>
      <c r="D483" s="74" t="s">
        <v>266</v>
      </c>
      <c r="E483" s="146">
        <v>101345879</v>
      </c>
      <c r="F483" s="7" t="s">
        <v>2309</v>
      </c>
      <c r="G483" s="7"/>
      <c r="H483" s="74" t="s">
        <v>2310</v>
      </c>
      <c r="I483" s="75" t="s">
        <v>2311</v>
      </c>
      <c r="J483" s="74">
        <v>736000293</v>
      </c>
      <c r="K483" s="74" t="s">
        <v>2312</v>
      </c>
      <c r="L483" s="74"/>
      <c r="M483" s="74"/>
      <c r="N483" s="74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</row>
    <row r="484" spans="1:36" ht="12.75">
      <c r="A484" s="74" t="s">
        <v>2313</v>
      </c>
      <c r="B484" s="74"/>
      <c r="C484" s="74" t="s">
        <v>2314</v>
      </c>
      <c r="D484" s="74" t="s">
        <v>2315</v>
      </c>
      <c r="E484" s="146">
        <v>741530481</v>
      </c>
      <c r="F484" s="7" t="s">
        <v>2316</v>
      </c>
      <c r="G484" s="7"/>
      <c r="H484" s="74" t="s">
        <v>2317</v>
      </c>
      <c r="I484" s="75" t="s">
        <v>65</v>
      </c>
      <c r="J484" s="74">
        <v>732837622</v>
      </c>
      <c r="K484" s="74" t="s">
        <v>2318</v>
      </c>
      <c r="L484" s="74"/>
      <c r="M484" s="74"/>
      <c r="N484" s="74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</row>
    <row r="485" spans="1:36" ht="12.75">
      <c r="A485" s="74" t="s">
        <v>2319</v>
      </c>
      <c r="B485" s="74"/>
      <c r="C485" s="74" t="s">
        <v>2320</v>
      </c>
      <c r="D485" s="74" t="s">
        <v>266</v>
      </c>
      <c r="E485" s="146">
        <v>111871220</v>
      </c>
      <c r="F485" s="7" t="s">
        <v>2321</v>
      </c>
      <c r="G485" s="7"/>
      <c r="H485" s="74" t="s">
        <v>2322</v>
      </c>
      <c r="I485" s="75" t="s">
        <v>2323</v>
      </c>
      <c r="J485" s="74">
        <v>796499244</v>
      </c>
      <c r="K485" s="74" t="s">
        <v>2324</v>
      </c>
      <c r="L485" s="74"/>
      <c r="M485" s="74"/>
      <c r="N485" s="74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</row>
    <row r="486" spans="1:36" ht="14.25">
      <c r="A486" s="74" t="s">
        <v>2325</v>
      </c>
      <c r="B486" s="74"/>
      <c r="C486" s="74" t="s">
        <v>2326</v>
      </c>
      <c r="D486" s="96" t="s">
        <v>1829</v>
      </c>
      <c r="E486" s="146">
        <v>745243613</v>
      </c>
      <c r="F486" s="7" t="s">
        <v>2327</v>
      </c>
      <c r="G486" s="7"/>
      <c r="H486" s="74" t="s">
        <v>2328</v>
      </c>
      <c r="I486" s="75" t="s">
        <v>218</v>
      </c>
      <c r="J486" s="220" t="s">
        <v>2329</v>
      </c>
      <c r="K486" s="220" t="s">
        <v>2330</v>
      </c>
      <c r="L486" s="221"/>
      <c r="M486" s="221"/>
      <c r="N486" s="221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</row>
    <row r="487" spans="1:36" ht="16.5">
      <c r="A487" s="74" t="s">
        <v>2331</v>
      </c>
      <c r="B487" s="74"/>
      <c r="C487" s="74" t="s">
        <v>2332</v>
      </c>
      <c r="D487" s="74" t="s">
        <v>227</v>
      </c>
      <c r="E487" s="194">
        <f>254114957666</f>
        <v>254114957666</v>
      </c>
      <c r="F487" s="7" t="s">
        <v>2333</v>
      </c>
      <c r="G487" s="7"/>
      <c r="H487" s="74" t="s">
        <v>2334</v>
      </c>
      <c r="I487" s="75" t="s">
        <v>269</v>
      </c>
      <c r="J487" s="74" t="s">
        <v>2335</v>
      </c>
      <c r="K487" s="222" t="s">
        <v>2336</v>
      </c>
      <c r="L487" s="223"/>
      <c r="M487" s="223"/>
      <c r="N487" s="223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</row>
    <row r="488" spans="1:36" ht="12.75">
      <c r="A488" s="74" t="s">
        <v>2337</v>
      </c>
      <c r="B488" s="74"/>
      <c r="C488" s="74" t="s">
        <v>2338</v>
      </c>
      <c r="D488" s="74" t="s">
        <v>2339</v>
      </c>
      <c r="E488" s="146">
        <v>113205456</v>
      </c>
      <c r="F488" s="7" t="s">
        <v>2340</v>
      </c>
      <c r="G488" s="7"/>
      <c r="H488" s="74" t="s">
        <v>2341</v>
      </c>
      <c r="I488" s="75" t="s">
        <v>2342</v>
      </c>
      <c r="J488" s="76">
        <f>254771370824</f>
        <v>254771370824</v>
      </c>
      <c r="K488" s="74" t="s">
        <v>978</v>
      </c>
      <c r="L488" s="74"/>
      <c r="M488" s="74"/>
      <c r="N488" s="74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</row>
    <row r="489" spans="1:36" ht="15">
      <c r="A489" s="7" t="s">
        <v>2343</v>
      </c>
      <c r="B489" s="7"/>
      <c r="C489" s="74" t="s">
        <v>2344</v>
      </c>
      <c r="D489" s="74" t="s">
        <v>2345</v>
      </c>
      <c r="E489" s="146">
        <v>254705225201</v>
      </c>
      <c r="F489" s="7" t="s">
        <v>2346</v>
      </c>
      <c r="G489" s="7"/>
      <c r="H489" s="74" t="s">
        <v>2347</v>
      </c>
      <c r="I489" s="75" t="s">
        <v>237</v>
      </c>
      <c r="J489" s="224">
        <v>254703094043</v>
      </c>
      <c r="K489" s="74" t="s">
        <v>2348</v>
      </c>
      <c r="L489" s="74"/>
      <c r="M489" s="74"/>
      <c r="N489" s="74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</row>
    <row r="490" spans="1:36" ht="12.75">
      <c r="A490" s="74" t="s">
        <v>2349</v>
      </c>
      <c r="B490" s="74"/>
      <c r="C490" s="74" t="s">
        <v>2350</v>
      </c>
      <c r="D490" s="74" t="s">
        <v>227</v>
      </c>
      <c r="E490" s="146">
        <v>254795285206</v>
      </c>
      <c r="F490" s="7" t="s">
        <v>199</v>
      </c>
      <c r="G490" s="7"/>
      <c r="H490" s="74" t="s">
        <v>2351</v>
      </c>
      <c r="I490" s="75" t="s">
        <v>732</v>
      </c>
      <c r="J490" s="74">
        <v>720668238</v>
      </c>
      <c r="K490" s="74" t="s">
        <v>2352</v>
      </c>
      <c r="L490" s="74"/>
      <c r="M490" s="74"/>
      <c r="N490" s="74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</row>
    <row r="491" spans="1:36" ht="12.75">
      <c r="A491" s="74" t="s">
        <v>2353</v>
      </c>
      <c r="B491" s="74"/>
      <c r="C491" s="74" t="s">
        <v>2354</v>
      </c>
      <c r="D491" s="74" t="s">
        <v>2355</v>
      </c>
      <c r="E491" s="146">
        <v>792560641</v>
      </c>
      <c r="F491" s="7" t="s">
        <v>420</v>
      </c>
      <c r="G491" s="7"/>
      <c r="H491" s="74" t="s">
        <v>2356</v>
      </c>
      <c r="I491" s="75" t="s">
        <v>562</v>
      </c>
      <c r="J491" s="74">
        <v>720418444</v>
      </c>
      <c r="K491" s="74" t="s">
        <v>422</v>
      </c>
      <c r="L491" s="74"/>
      <c r="M491" s="74"/>
      <c r="N491" s="74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</row>
    <row r="492" spans="1:36" ht="12.75">
      <c r="A492" s="74" t="s">
        <v>2357</v>
      </c>
      <c r="B492" s="74"/>
      <c r="C492" s="74" t="s">
        <v>2358</v>
      </c>
      <c r="D492" s="74" t="s">
        <v>460</v>
      </c>
      <c r="E492" s="146">
        <v>758639040</v>
      </c>
      <c r="F492" s="7" t="s">
        <v>2359</v>
      </c>
      <c r="G492" s="7"/>
      <c r="H492" s="74" t="s">
        <v>2360</v>
      </c>
      <c r="I492" s="75" t="s">
        <v>1225</v>
      </c>
      <c r="J492" s="74">
        <v>701574284</v>
      </c>
      <c r="K492" s="74" t="s">
        <v>2361</v>
      </c>
      <c r="L492" s="74"/>
      <c r="M492" s="74"/>
      <c r="N492" s="74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</row>
    <row r="493" spans="1:36" ht="18.75">
      <c r="A493" s="74" t="s">
        <v>2362</v>
      </c>
      <c r="B493" s="74"/>
      <c r="C493" s="74" t="s">
        <v>2363</v>
      </c>
      <c r="D493" s="74" t="s">
        <v>1912</v>
      </c>
      <c r="E493" s="146">
        <v>714469231</v>
      </c>
      <c r="F493" s="7" t="s">
        <v>2364</v>
      </c>
      <c r="G493" s="7"/>
      <c r="H493" s="74" t="s">
        <v>2365</v>
      </c>
      <c r="I493" s="75" t="s">
        <v>218</v>
      </c>
      <c r="J493" s="225">
        <v>254722205061</v>
      </c>
      <c r="K493" s="74" t="s">
        <v>2366</v>
      </c>
      <c r="L493" s="74"/>
      <c r="M493" s="74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</row>
    <row r="494" spans="1:36" ht="12.75">
      <c r="A494" s="74" t="s">
        <v>2367</v>
      </c>
      <c r="B494" s="74"/>
      <c r="C494" s="74" t="s">
        <v>2368</v>
      </c>
      <c r="D494" s="74" t="s">
        <v>1829</v>
      </c>
      <c r="E494" s="146">
        <v>743363779</v>
      </c>
      <c r="F494" s="7" t="s">
        <v>2369</v>
      </c>
      <c r="G494" s="7"/>
      <c r="H494" s="74" t="s">
        <v>2370</v>
      </c>
      <c r="I494" s="75" t="s">
        <v>1225</v>
      </c>
      <c r="J494" s="74">
        <v>718198947</v>
      </c>
      <c r="K494" s="74" t="s">
        <v>2371</v>
      </c>
      <c r="L494" s="74"/>
      <c r="M494" s="74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</row>
    <row r="495" spans="1:36" ht="12.75">
      <c r="A495" s="74" t="s">
        <v>2372</v>
      </c>
      <c r="B495" s="74"/>
      <c r="C495" s="74" t="s">
        <v>2373</v>
      </c>
      <c r="D495" s="74" t="s">
        <v>341</v>
      </c>
      <c r="E495" s="146">
        <v>115049827</v>
      </c>
      <c r="F495" s="7" t="s">
        <v>2374</v>
      </c>
      <c r="G495" s="7"/>
      <c r="H495" s="74" t="s">
        <v>2375</v>
      </c>
      <c r="I495" s="75" t="s">
        <v>495</v>
      </c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</row>
    <row r="496" spans="1:36" ht="12.75">
      <c r="A496" s="74" t="s">
        <v>2376</v>
      </c>
      <c r="B496" s="74"/>
      <c r="C496" s="74" t="s">
        <v>2377</v>
      </c>
      <c r="D496" s="74" t="s">
        <v>1407</v>
      </c>
      <c r="E496" s="146">
        <v>795914494</v>
      </c>
      <c r="F496" s="7" t="s">
        <v>2378</v>
      </c>
      <c r="G496" s="7"/>
      <c r="H496" s="76"/>
      <c r="I496" s="84"/>
      <c r="J496" s="76">
        <f>AVERAGE(J490:J495)</f>
        <v>51516612994.800003</v>
      </c>
      <c r="K496" s="74" t="s">
        <v>2379</v>
      </c>
      <c r="L496" s="74"/>
      <c r="M496" s="74"/>
      <c r="N496" s="74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</row>
    <row r="497" spans="1:36" ht="12.75">
      <c r="A497" s="74" t="s">
        <v>2380</v>
      </c>
      <c r="B497" s="74"/>
      <c r="C497" s="74" t="s">
        <v>2381</v>
      </c>
      <c r="D497" s="74" t="s">
        <v>1060</v>
      </c>
      <c r="E497" s="146">
        <v>746384028</v>
      </c>
      <c r="F497" s="7" t="s">
        <v>2382</v>
      </c>
      <c r="G497" s="7"/>
      <c r="H497" s="76"/>
      <c r="I497" s="84"/>
      <c r="J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</row>
    <row r="498" spans="1:36" ht="12.75">
      <c r="A498" s="7" t="s">
        <v>2383</v>
      </c>
      <c r="B498" s="7"/>
      <c r="C498" s="74" t="s">
        <v>2384</v>
      </c>
      <c r="D498" s="74" t="s">
        <v>71</v>
      </c>
      <c r="E498" s="146">
        <v>113005716</v>
      </c>
      <c r="F498" s="7" t="s">
        <v>2385</v>
      </c>
      <c r="G498" s="7"/>
      <c r="H498" s="74" t="s">
        <v>2386</v>
      </c>
      <c r="I498" s="84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</row>
    <row r="499" spans="1:36" ht="12.75">
      <c r="A499" s="74" t="s">
        <v>2387</v>
      </c>
      <c r="B499" s="74"/>
      <c r="C499" s="74" t="s">
        <v>2388</v>
      </c>
      <c r="D499" s="74" t="s">
        <v>2389</v>
      </c>
      <c r="E499" s="194">
        <f>254727730123</f>
        <v>254727730123</v>
      </c>
      <c r="F499" s="31" t="s">
        <v>2390</v>
      </c>
      <c r="G499" s="37"/>
      <c r="H499" s="74" t="s">
        <v>2391</v>
      </c>
      <c r="I499" s="75" t="s">
        <v>269</v>
      </c>
      <c r="J499" s="76">
        <f>254726676157</f>
        <v>254726676157</v>
      </c>
      <c r="K499" s="74" t="s">
        <v>2277</v>
      </c>
      <c r="L499" s="74"/>
      <c r="M499" s="74"/>
      <c r="N499" s="74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</row>
    <row r="500" spans="1:36" ht="12.75">
      <c r="A500" s="74" t="s">
        <v>2392</v>
      </c>
      <c r="B500" s="74"/>
      <c r="C500" s="74" t="s">
        <v>2393</v>
      </c>
      <c r="D500" s="74" t="s">
        <v>71</v>
      </c>
      <c r="E500" s="146">
        <v>735143953</v>
      </c>
      <c r="F500" s="7" t="s">
        <v>2394</v>
      </c>
      <c r="G500" s="7"/>
      <c r="H500" s="74" t="s">
        <v>2395</v>
      </c>
      <c r="I500" s="75" t="s">
        <v>2396</v>
      </c>
      <c r="J500" s="74">
        <v>25425811516</v>
      </c>
      <c r="K500" s="74" t="s">
        <v>2397</v>
      </c>
      <c r="L500" s="74"/>
      <c r="M500" s="74"/>
      <c r="N500" s="74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</row>
    <row r="501" spans="1:36" ht="12.75">
      <c r="A501" s="74" t="s">
        <v>2398</v>
      </c>
      <c r="B501" s="74"/>
      <c r="C501" s="74" t="s">
        <v>2399</v>
      </c>
      <c r="D501" s="74" t="s">
        <v>2389</v>
      </c>
      <c r="E501" s="146">
        <v>740439197</v>
      </c>
      <c r="F501" s="7" t="s">
        <v>2400</v>
      </c>
      <c r="G501" s="7"/>
      <c r="H501" s="74" t="s">
        <v>2401</v>
      </c>
      <c r="I501" s="75" t="s">
        <v>1994</v>
      </c>
      <c r="J501" s="74">
        <v>792735720</v>
      </c>
      <c r="K501" s="74" t="s">
        <v>2402</v>
      </c>
      <c r="L501" s="74"/>
      <c r="M501" s="74"/>
      <c r="N501" s="74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</row>
    <row r="502" spans="1:36" ht="12.75">
      <c r="A502" s="74" t="s">
        <v>2403</v>
      </c>
      <c r="B502" s="74"/>
      <c r="C502" s="74" t="s">
        <v>2404</v>
      </c>
      <c r="D502" s="74" t="s">
        <v>2405</v>
      </c>
      <c r="E502" s="146">
        <v>768495473</v>
      </c>
      <c r="F502" s="7" t="s">
        <v>1620</v>
      </c>
      <c r="G502" s="7"/>
      <c r="H502" s="74" t="s">
        <v>2406</v>
      </c>
      <c r="I502" s="75" t="s">
        <v>1793</v>
      </c>
      <c r="J502" s="74">
        <v>7202582237</v>
      </c>
      <c r="K502" s="74" t="s">
        <v>180</v>
      </c>
      <c r="L502" s="74"/>
      <c r="M502" s="74"/>
      <c r="N502" s="74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</row>
    <row r="503" spans="1:36" ht="12.75">
      <c r="A503" s="74" t="s">
        <v>2407</v>
      </c>
      <c r="B503" s="74"/>
      <c r="C503" s="74" t="s">
        <v>2408</v>
      </c>
      <c r="D503" s="74" t="s">
        <v>71</v>
      </c>
      <c r="E503" s="146">
        <v>796705022</v>
      </c>
      <c r="F503" s="7" t="s">
        <v>2409</v>
      </c>
      <c r="G503" s="7"/>
      <c r="H503" s="74" t="s">
        <v>2410</v>
      </c>
      <c r="I503" s="75" t="s">
        <v>59</v>
      </c>
      <c r="J503" s="74">
        <v>721301581</v>
      </c>
      <c r="K503" s="74" t="s">
        <v>2411</v>
      </c>
      <c r="L503" s="74"/>
      <c r="M503" s="74"/>
      <c r="N503" s="74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</row>
    <row r="504" spans="1:36" ht="12.75">
      <c r="A504" s="74" t="s">
        <v>2412</v>
      </c>
      <c r="B504" s="74"/>
      <c r="C504" s="74" t="s">
        <v>2413</v>
      </c>
      <c r="D504" s="74" t="s">
        <v>873</v>
      </c>
      <c r="E504" s="146">
        <v>796705177</v>
      </c>
      <c r="F504" s="7" t="s">
        <v>2414</v>
      </c>
      <c r="G504" s="7"/>
      <c r="H504" s="74" t="s">
        <v>2415</v>
      </c>
      <c r="I504" s="75" t="s">
        <v>1472</v>
      </c>
      <c r="J504" s="74">
        <v>2034548</v>
      </c>
      <c r="K504" s="192" t="s">
        <v>2416</v>
      </c>
      <c r="L504" s="74"/>
      <c r="M504" s="74"/>
      <c r="N504" s="74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</row>
    <row r="505" spans="1:36" ht="12.75">
      <c r="A505" s="103" t="s">
        <v>2207</v>
      </c>
      <c r="B505" s="228"/>
      <c r="C505" s="228" t="s">
        <v>2208</v>
      </c>
      <c r="D505" s="228" t="s">
        <v>2209</v>
      </c>
      <c r="E505" s="288">
        <v>714978525</v>
      </c>
      <c r="F505" s="48" t="s">
        <v>2210</v>
      </c>
      <c r="G505" s="48"/>
      <c r="H505" s="228" t="s">
        <v>2211</v>
      </c>
      <c r="I505" s="229" t="s">
        <v>59</v>
      </c>
      <c r="J505" s="230">
        <v>254786789411</v>
      </c>
      <c r="K505" s="228" t="s">
        <v>2212</v>
      </c>
      <c r="L505" s="231"/>
      <c r="M505" s="231"/>
      <c r="N505" s="231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</row>
    <row r="506" spans="1:36" ht="12.75">
      <c r="A506" s="289" t="s">
        <v>2213</v>
      </c>
      <c r="B506" s="235"/>
      <c r="C506" s="235" t="s">
        <v>2214</v>
      </c>
      <c r="D506" s="235" t="s">
        <v>2209</v>
      </c>
      <c r="E506" s="290">
        <v>794473791</v>
      </c>
      <c r="F506" s="50" t="s">
        <v>2215</v>
      </c>
      <c r="G506" s="50"/>
      <c r="H506" s="235" t="s">
        <v>941</v>
      </c>
      <c r="I506" s="236" t="s">
        <v>218</v>
      </c>
      <c r="J506" s="237">
        <v>704215496</v>
      </c>
      <c r="K506" s="235" t="s">
        <v>2216</v>
      </c>
      <c r="L506" s="238"/>
      <c r="M506" s="238"/>
      <c r="N506" s="238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</row>
    <row r="507" spans="1:36" ht="12.75">
      <c r="A507" s="289" t="s">
        <v>2217</v>
      </c>
      <c r="B507" s="235"/>
      <c r="C507" s="235" t="s">
        <v>2218</v>
      </c>
      <c r="D507" s="235" t="s">
        <v>1742</v>
      </c>
      <c r="E507" s="290">
        <v>722312356</v>
      </c>
      <c r="F507" s="50" t="s">
        <v>2219</v>
      </c>
      <c r="G507" s="50"/>
      <c r="H507" s="235" t="s">
        <v>2220</v>
      </c>
      <c r="I507" s="236" t="s">
        <v>763</v>
      </c>
      <c r="J507" s="237">
        <v>254723661676</v>
      </c>
      <c r="K507" s="235" t="s">
        <v>2221</v>
      </c>
      <c r="L507" s="238"/>
      <c r="M507" s="238"/>
      <c r="N507" s="238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</row>
    <row r="508" spans="1:36" ht="12.75">
      <c r="A508" s="289" t="s">
        <v>2417</v>
      </c>
      <c r="B508" s="235"/>
      <c r="C508" s="235" t="s">
        <v>2231</v>
      </c>
      <c r="D508" s="235" t="s">
        <v>1998</v>
      </c>
      <c r="E508" s="290">
        <v>741466571</v>
      </c>
      <c r="F508" s="50" t="s">
        <v>2232</v>
      </c>
      <c r="G508" s="50"/>
      <c r="H508" s="235" t="s">
        <v>2233</v>
      </c>
      <c r="I508" s="236" t="s">
        <v>2234</v>
      </c>
      <c r="J508" s="237">
        <v>711933933</v>
      </c>
      <c r="K508" s="235"/>
      <c r="L508" s="238"/>
      <c r="M508" s="238"/>
      <c r="N508" s="238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</row>
    <row r="509" spans="1:36" ht="12.75">
      <c r="A509" s="289" t="s">
        <v>2418</v>
      </c>
      <c r="B509" s="235"/>
      <c r="C509" s="235" t="s">
        <v>2235</v>
      </c>
      <c r="D509" s="235" t="s">
        <v>565</v>
      </c>
      <c r="E509" s="290">
        <v>794178092</v>
      </c>
      <c r="F509" s="50" t="s">
        <v>2236</v>
      </c>
      <c r="G509" s="50"/>
      <c r="H509" s="235" t="s">
        <v>2237</v>
      </c>
      <c r="I509" s="236" t="s">
        <v>763</v>
      </c>
      <c r="J509" s="235" t="s">
        <v>2238</v>
      </c>
      <c r="K509" s="235" t="s">
        <v>2239</v>
      </c>
      <c r="L509" s="238"/>
      <c r="M509" s="238"/>
      <c r="N509" s="238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</row>
    <row r="510" spans="1:36" ht="12.75">
      <c r="A510" s="289" t="s">
        <v>2419</v>
      </c>
      <c r="B510" s="235"/>
      <c r="C510" s="235" t="s">
        <v>2240</v>
      </c>
      <c r="D510" s="235" t="s">
        <v>565</v>
      </c>
      <c r="E510" s="290">
        <v>111913060</v>
      </c>
      <c r="F510" s="50" t="s">
        <v>2241</v>
      </c>
      <c r="G510" s="50"/>
      <c r="H510" s="235" t="s">
        <v>2242</v>
      </c>
      <c r="I510" s="236" t="s">
        <v>1429</v>
      </c>
      <c r="J510" s="237">
        <v>724099887</v>
      </c>
      <c r="K510" s="235" t="s">
        <v>2243</v>
      </c>
      <c r="L510" s="238"/>
      <c r="M510" s="238"/>
      <c r="N510" s="238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</row>
    <row r="511" spans="1:36" ht="12.75">
      <c r="A511" s="289" t="s">
        <v>2420</v>
      </c>
      <c r="B511" s="235"/>
      <c r="C511" s="235" t="s">
        <v>2244</v>
      </c>
      <c r="D511" s="235" t="s">
        <v>2245</v>
      </c>
      <c r="E511" s="290">
        <v>712466663</v>
      </c>
      <c r="F511" s="50" t="s">
        <v>2246</v>
      </c>
      <c r="G511" s="50"/>
      <c r="H511" s="235" t="s">
        <v>1505</v>
      </c>
      <c r="I511" s="236" t="s">
        <v>2247</v>
      </c>
      <c r="J511" s="235" t="s">
        <v>2248</v>
      </c>
      <c r="K511" s="235" t="s">
        <v>2249</v>
      </c>
      <c r="L511" s="238"/>
      <c r="M511" s="238"/>
      <c r="N511" s="238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</row>
    <row r="512" spans="1:36" ht="12.75">
      <c r="A512" s="74" t="s">
        <v>2421</v>
      </c>
      <c r="B512" s="74"/>
      <c r="C512" s="74" t="s">
        <v>2422</v>
      </c>
      <c r="D512" s="74" t="s">
        <v>1742</v>
      </c>
      <c r="E512" s="146">
        <v>790857077</v>
      </c>
      <c r="F512" s="7" t="s">
        <v>2423</v>
      </c>
      <c r="G512" s="7"/>
      <c r="H512" s="74" t="s">
        <v>2424</v>
      </c>
      <c r="I512" s="75" t="s">
        <v>1564</v>
      </c>
      <c r="J512" s="74">
        <v>724095296</v>
      </c>
      <c r="K512" s="74" t="s">
        <v>2425</v>
      </c>
      <c r="L512" s="74"/>
      <c r="M512" s="74"/>
      <c r="N512" s="74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</row>
    <row r="513" spans="1:36" ht="12.75">
      <c r="A513" s="74" t="s">
        <v>2426</v>
      </c>
      <c r="B513" s="74"/>
      <c r="C513" s="74" t="s">
        <v>2427</v>
      </c>
      <c r="D513" s="74" t="s">
        <v>2428</v>
      </c>
      <c r="E513" s="146">
        <v>111779356</v>
      </c>
      <c r="F513" s="7" t="s">
        <v>2429</v>
      </c>
      <c r="G513" s="7"/>
      <c r="H513" s="74" t="s">
        <v>2430</v>
      </c>
      <c r="I513" s="75" t="s">
        <v>2431</v>
      </c>
      <c r="J513" s="74">
        <v>724338524</v>
      </c>
      <c r="K513" s="74" t="s">
        <v>2432</v>
      </c>
      <c r="L513" s="74"/>
      <c r="M513" s="74"/>
      <c r="N513" s="74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</row>
    <row r="514" spans="1:36" ht="12.75">
      <c r="A514" s="74" t="s">
        <v>2433</v>
      </c>
      <c r="B514" s="74"/>
      <c r="C514" s="74" t="s">
        <v>2434</v>
      </c>
      <c r="D514" s="74" t="s">
        <v>2038</v>
      </c>
      <c r="E514" s="146" t="s">
        <v>2435</v>
      </c>
      <c r="F514" s="7" t="s">
        <v>2436</v>
      </c>
      <c r="G514" s="7"/>
      <c r="H514" s="74" t="s">
        <v>2437</v>
      </c>
      <c r="I514" s="75" t="s">
        <v>2438</v>
      </c>
      <c r="J514" s="74">
        <v>727840442</v>
      </c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</row>
    <row r="515" spans="1:36" ht="12.75">
      <c r="A515" s="74" t="s">
        <v>2439</v>
      </c>
      <c r="B515" s="74"/>
      <c r="C515" s="74" t="s">
        <v>2440</v>
      </c>
      <c r="D515" s="74" t="s">
        <v>2441</v>
      </c>
      <c r="E515" s="146">
        <v>797958895</v>
      </c>
      <c r="F515" s="7" t="s">
        <v>2442</v>
      </c>
      <c r="G515" s="7"/>
      <c r="H515" s="74" t="s">
        <v>2443</v>
      </c>
      <c r="I515" s="75" t="s">
        <v>1218</v>
      </c>
      <c r="J515" s="74">
        <v>730116690</v>
      </c>
      <c r="K515" s="74" t="s">
        <v>2444</v>
      </c>
      <c r="L515" s="74"/>
      <c r="M515" s="74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</row>
    <row r="516" spans="1:36" ht="12.75">
      <c r="A516" s="74" t="s">
        <v>2445</v>
      </c>
      <c r="B516" s="74"/>
      <c r="C516" s="74" t="s">
        <v>2446</v>
      </c>
      <c r="D516" s="74" t="s">
        <v>2441</v>
      </c>
      <c r="E516" s="146">
        <v>714096627</v>
      </c>
      <c r="F516" s="7" t="s">
        <v>2447</v>
      </c>
      <c r="G516" s="7"/>
      <c r="H516" s="74" t="s">
        <v>2448</v>
      </c>
      <c r="I516" s="75" t="s">
        <v>1218</v>
      </c>
      <c r="J516" s="74">
        <v>715114454</v>
      </c>
      <c r="K516" s="74" t="s">
        <v>2449</v>
      </c>
      <c r="L516" s="74"/>
      <c r="M516" s="74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</row>
    <row r="517" spans="1:36" ht="12.75">
      <c r="A517" s="74" t="s">
        <v>2450</v>
      </c>
      <c r="B517" s="74"/>
      <c r="C517" s="74" t="s">
        <v>2451</v>
      </c>
      <c r="D517" s="74" t="s">
        <v>2452</v>
      </c>
      <c r="E517" s="287" t="s">
        <v>2453</v>
      </c>
      <c r="F517" s="7" t="s">
        <v>2454</v>
      </c>
      <c r="G517" s="7"/>
      <c r="H517" s="74" t="s">
        <v>2455</v>
      </c>
      <c r="I517" s="75" t="s">
        <v>2456</v>
      </c>
      <c r="J517" s="218" t="s">
        <v>2457</v>
      </c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</row>
    <row r="518" spans="1:36" ht="12.75">
      <c r="A518" s="74" t="s">
        <v>2458</v>
      </c>
      <c r="B518" s="74"/>
      <c r="C518" s="74" t="s">
        <v>2459</v>
      </c>
      <c r="D518" s="74" t="s">
        <v>1862</v>
      </c>
      <c r="E518" s="146">
        <v>717351469</v>
      </c>
      <c r="F518" s="7" t="s">
        <v>2460</v>
      </c>
      <c r="G518" s="7"/>
      <c r="H518" s="74" t="s">
        <v>2461</v>
      </c>
      <c r="I518" s="75" t="s">
        <v>1218</v>
      </c>
      <c r="J518" s="74" t="s">
        <v>2462</v>
      </c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</row>
    <row r="519" spans="1:36" ht="12.75">
      <c r="A519" s="74" t="s">
        <v>2463</v>
      </c>
      <c r="B519" s="74"/>
      <c r="C519" s="74" t="s">
        <v>2464</v>
      </c>
      <c r="D519" s="74" t="s">
        <v>407</v>
      </c>
      <c r="E519" s="146">
        <v>724851760</v>
      </c>
      <c r="F519" s="7" t="s">
        <v>2465</v>
      </c>
      <c r="G519" s="7"/>
      <c r="H519" s="74" t="s">
        <v>2466</v>
      </c>
      <c r="I519" s="75" t="s">
        <v>59</v>
      </c>
      <c r="J519" s="74">
        <v>737633903</v>
      </c>
      <c r="K519" s="74" t="s">
        <v>1101</v>
      </c>
      <c r="L519" s="74"/>
      <c r="M519" s="74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</row>
    <row r="520" spans="1:36" ht="12.75">
      <c r="A520" s="74" t="s">
        <v>2467</v>
      </c>
      <c r="B520" s="74"/>
      <c r="C520" s="74" t="s">
        <v>2468</v>
      </c>
      <c r="D520" s="74" t="s">
        <v>2469</v>
      </c>
      <c r="E520" s="146">
        <v>713403319</v>
      </c>
      <c r="F520" s="74" t="s">
        <v>2226</v>
      </c>
      <c r="G520" s="74"/>
      <c r="H520" s="74" t="s">
        <v>2470</v>
      </c>
      <c r="I520" s="75" t="s">
        <v>100</v>
      </c>
      <c r="J520" s="76">
        <v>254202582237</v>
      </c>
      <c r="K520" s="74" t="s">
        <v>180</v>
      </c>
      <c r="L520" s="74"/>
      <c r="M520" s="74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</row>
    <row r="521" spans="1:36" ht="12.75">
      <c r="A521" s="74" t="s">
        <v>2471</v>
      </c>
      <c r="B521" s="74"/>
      <c r="C521" s="74" t="s">
        <v>2472</v>
      </c>
      <c r="D521" s="74" t="s">
        <v>2473</v>
      </c>
      <c r="E521" s="146">
        <v>742745688</v>
      </c>
      <c r="F521" s="7" t="s">
        <v>2474</v>
      </c>
      <c r="G521" s="7"/>
      <c r="H521" s="74" t="s">
        <v>2475</v>
      </c>
      <c r="I521" s="75" t="s">
        <v>269</v>
      </c>
      <c r="J521" s="74">
        <v>730700000</v>
      </c>
      <c r="K521" s="74" t="s">
        <v>2476</v>
      </c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</row>
    <row r="522" spans="1:36" ht="12.75">
      <c r="A522" s="74" t="s">
        <v>2477</v>
      </c>
      <c r="B522" s="74"/>
      <c r="C522" s="74" t="s">
        <v>2478</v>
      </c>
      <c r="D522" s="74" t="s">
        <v>2479</v>
      </c>
      <c r="E522" s="146">
        <v>758044012</v>
      </c>
      <c r="F522" s="7" t="s">
        <v>2480</v>
      </c>
      <c r="G522" s="7"/>
      <c r="H522" s="74" t="s">
        <v>2481</v>
      </c>
      <c r="I522" s="75" t="s">
        <v>223</v>
      </c>
      <c r="J522" s="74">
        <v>708223348</v>
      </c>
      <c r="K522" s="74" t="s">
        <v>2482</v>
      </c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</row>
    <row r="523" spans="1:36" ht="12.75">
      <c r="A523" s="74" t="s">
        <v>2483</v>
      </c>
      <c r="B523" s="74"/>
      <c r="C523" s="74" t="s">
        <v>2484</v>
      </c>
      <c r="D523" s="74" t="s">
        <v>341</v>
      </c>
      <c r="E523" s="146">
        <f>254740932662</f>
        <v>254740932662</v>
      </c>
      <c r="F523" s="7" t="s">
        <v>342</v>
      </c>
      <c r="G523" s="7"/>
      <c r="H523" s="74" t="s">
        <v>343</v>
      </c>
      <c r="I523" s="75" t="s">
        <v>41</v>
      </c>
      <c r="J523" s="242">
        <f>254710453693</f>
        <v>254710453693</v>
      </c>
      <c r="K523" s="96" t="s">
        <v>105</v>
      </c>
      <c r="L523" s="170"/>
      <c r="M523" s="170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</row>
    <row r="524" spans="1:36" ht="12.75">
      <c r="A524" s="74"/>
      <c r="B524" s="74"/>
      <c r="C524" s="74" t="s">
        <v>2486</v>
      </c>
      <c r="D524" s="74" t="s">
        <v>998</v>
      </c>
      <c r="E524" s="146">
        <v>769021386</v>
      </c>
      <c r="F524" s="9"/>
      <c r="G524" s="9"/>
      <c r="H524" s="76"/>
      <c r="I524" s="84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</row>
    <row r="525" spans="1:36" ht="12.75">
      <c r="A525" s="74" t="s">
        <v>2487</v>
      </c>
      <c r="B525" s="74"/>
      <c r="C525" s="74" t="s">
        <v>2488</v>
      </c>
      <c r="D525" s="74" t="s">
        <v>998</v>
      </c>
      <c r="E525" s="146">
        <v>768039002</v>
      </c>
      <c r="F525" s="7" t="s">
        <v>2489</v>
      </c>
      <c r="G525" s="7"/>
      <c r="H525" s="74" t="s">
        <v>2490</v>
      </c>
      <c r="I525" s="75" t="s">
        <v>599</v>
      </c>
      <c r="J525" s="74">
        <v>2547082975</v>
      </c>
      <c r="K525" s="74" t="s">
        <v>2491</v>
      </c>
      <c r="L525" s="74"/>
      <c r="M525" s="74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</row>
    <row r="526" spans="1:36" ht="12.75">
      <c r="A526" s="74" t="s">
        <v>2492</v>
      </c>
      <c r="B526" s="74"/>
      <c r="C526" s="74" t="s">
        <v>2493</v>
      </c>
      <c r="D526" s="74" t="s">
        <v>799</v>
      </c>
      <c r="E526" s="146">
        <v>254795391626</v>
      </c>
      <c r="F526" s="7" t="s">
        <v>2494</v>
      </c>
      <c r="G526" s="7"/>
      <c r="H526" s="74" t="s">
        <v>2495</v>
      </c>
      <c r="I526" s="75" t="s">
        <v>356</v>
      </c>
      <c r="J526" s="74" t="s">
        <v>2496</v>
      </c>
      <c r="K526" s="74"/>
      <c r="L526" s="74"/>
      <c r="M526" s="74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</row>
    <row r="527" spans="1:36" ht="12.75">
      <c r="A527" s="74" t="s">
        <v>2497</v>
      </c>
      <c r="B527" s="74"/>
      <c r="C527" s="74" t="s">
        <v>2498</v>
      </c>
      <c r="D527" s="74" t="s">
        <v>2499</v>
      </c>
      <c r="E527" s="146">
        <v>719200384</v>
      </c>
      <c r="F527" s="7" t="s">
        <v>2500</v>
      </c>
      <c r="G527" s="7"/>
      <c r="H527" s="74" t="s">
        <v>2501</v>
      </c>
      <c r="I527" s="75" t="s">
        <v>916</v>
      </c>
      <c r="J527" s="74">
        <v>707163690</v>
      </c>
      <c r="K527" s="74" t="s">
        <v>2502</v>
      </c>
      <c r="L527" s="74"/>
      <c r="M527" s="74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</row>
    <row r="528" spans="1:36" ht="12.75">
      <c r="A528" s="74" t="s">
        <v>2503</v>
      </c>
      <c r="B528" s="74"/>
      <c r="C528" s="74" t="s">
        <v>2504</v>
      </c>
      <c r="D528" s="74" t="s">
        <v>2441</v>
      </c>
      <c r="E528" s="146">
        <v>708245199</v>
      </c>
      <c r="F528" s="7" t="s">
        <v>2505</v>
      </c>
      <c r="G528" s="7"/>
      <c r="H528" s="74" t="s">
        <v>2506</v>
      </c>
      <c r="I528" s="75" t="s">
        <v>2507</v>
      </c>
      <c r="J528" s="74">
        <v>726715863</v>
      </c>
      <c r="K528" s="74" t="s">
        <v>2508</v>
      </c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</row>
    <row r="529" spans="1:36" ht="12.75">
      <c r="A529" s="74" t="s">
        <v>2509</v>
      </c>
      <c r="B529" s="74"/>
      <c r="C529" s="74" t="s">
        <v>2510</v>
      </c>
      <c r="D529" s="74" t="s">
        <v>974</v>
      </c>
      <c r="E529" s="146">
        <v>742792502</v>
      </c>
      <c r="F529" s="7" t="s">
        <v>2511</v>
      </c>
      <c r="G529" s="7"/>
      <c r="H529" s="74" t="s">
        <v>2512</v>
      </c>
      <c r="I529" s="75" t="s">
        <v>218</v>
      </c>
      <c r="J529" s="74">
        <v>720229689</v>
      </c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</row>
    <row r="530" spans="1:36" ht="12.75">
      <c r="A530" s="74" t="s">
        <v>2513</v>
      </c>
      <c r="B530" s="74"/>
      <c r="C530" s="74" t="s">
        <v>2514</v>
      </c>
      <c r="D530" s="74" t="s">
        <v>2515</v>
      </c>
      <c r="E530" s="146">
        <v>707801347</v>
      </c>
      <c r="F530" s="60" t="s">
        <v>2516</v>
      </c>
      <c r="G530" s="60"/>
      <c r="H530" s="74" t="s">
        <v>2517</v>
      </c>
      <c r="I530" s="75" t="s">
        <v>237</v>
      </c>
      <c r="J530" s="74">
        <v>703080403</v>
      </c>
      <c r="K530" s="74" t="s">
        <v>2518</v>
      </c>
      <c r="L530" s="74"/>
      <c r="M530" s="74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</row>
    <row r="531" spans="1:36" ht="12.75">
      <c r="A531" s="74" t="s">
        <v>2519</v>
      </c>
      <c r="B531" s="74"/>
      <c r="C531" s="74" t="s">
        <v>2520</v>
      </c>
      <c r="D531" s="74" t="s">
        <v>2515</v>
      </c>
      <c r="E531" s="194">
        <v>254769825316</v>
      </c>
      <c r="F531" s="7" t="s">
        <v>361</v>
      </c>
      <c r="G531" s="7"/>
      <c r="H531" s="74" t="s">
        <v>362</v>
      </c>
      <c r="I531" s="75" t="s">
        <v>65</v>
      </c>
      <c r="J531" s="74">
        <v>734894994</v>
      </c>
      <c r="K531" s="74" t="s">
        <v>363</v>
      </c>
      <c r="L531" s="74"/>
      <c r="M531" s="74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</row>
    <row r="532" spans="1:36" ht="12.75">
      <c r="A532" s="74" t="s">
        <v>592</v>
      </c>
      <c r="B532" s="74"/>
      <c r="C532" s="74" t="s">
        <v>2521</v>
      </c>
      <c r="D532" s="74" t="s">
        <v>2522</v>
      </c>
      <c r="E532" s="146">
        <v>115043167</v>
      </c>
      <c r="F532" s="7" t="s">
        <v>2523</v>
      </c>
      <c r="G532" s="7"/>
      <c r="H532" s="74" t="s">
        <v>593</v>
      </c>
      <c r="I532" s="75" t="s">
        <v>203</v>
      </c>
      <c r="J532" s="74">
        <v>682230033</v>
      </c>
      <c r="K532" s="74" t="s">
        <v>204</v>
      </c>
      <c r="L532" s="74"/>
      <c r="M532" s="74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</row>
    <row r="533" spans="1:36" ht="12.75">
      <c r="A533" s="74" t="s">
        <v>2524</v>
      </c>
      <c r="B533" s="74"/>
      <c r="C533" s="74" t="s">
        <v>2525</v>
      </c>
      <c r="D533" s="74" t="s">
        <v>616</v>
      </c>
      <c r="E533" s="146">
        <v>746814757</v>
      </c>
      <c r="F533" s="7" t="s">
        <v>2526</v>
      </c>
      <c r="G533" s="7"/>
      <c r="H533" s="74" t="s">
        <v>2527</v>
      </c>
      <c r="I533" s="75" t="s">
        <v>59</v>
      </c>
      <c r="J533" s="74">
        <v>7028232556</v>
      </c>
      <c r="K533" s="74" t="s">
        <v>2212</v>
      </c>
      <c r="L533" s="74"/>
      <c r="M533" s="74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</row>
    <row r="534" spans="1:36" ht="12.75">
      <c r="A534" s="74" t="s">
        <v>2528</v>
      </c>
      <c r="B534" s="74"/>
      <c r="C534" s="74" t="s">
        <v>2529</v>
      </c>
      <c r="D534" s="74" t="s">
        <v>2530</v>
      </c>
      <c r="E534" s="146">
        <v>727375098</v>
      </c>
      <c r="F534" s="7" t="s">
        <v>2531</v>
      </c>
      <c r="G534" s="7"/>
      <c r="H534" s="74" t="s">
        <v>202</v>
      </c>
      <c r="I534" s="75" t="s">
        <v>203</v>
      </c>
      <c r="J534" s="74">
        <v>682230033</v>
      </c>
      <c r="K534" s="74" t="s">
        <v>204</v>
      </c>
      <c r="L534" s="74"/>
      <c r="M534" s="74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</row>
    <row r="535" spans="1:36" ht="12.75">
      <c r="A535" s="74" t="s">
        <v>2532</v>
      </c>
      <c r="B535" s="74"/>
      <c r="C535" s="74" t="s">
        <v>2533</v>
      </c>
      <c r="D535" s="74" t="s">
        <v>2530</v>
      </c>
      <c r="E535" s="146">
        <v>794382392</v>
      </c>
      <c r="F535" s="7" t="s">
        <v>2523</v>
      </c>
      <c r="G535" s="7"/>
      <c r="H535" s="74" t="s">
        <v>202</v>
      </c>
      <c r="I535" s="75" t="s">
        <v>203</v>
      </c>
      <c r="J535" s="74">
        <v>682230033</v>
      </c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</row>
    <row r="536" spans="1:36" ht="12.75">
      <c r="A536" s="74" t="s">
        <v>2534</v>
      </c>
      <c r="B536" s="74"/>
      <c r="C536" s="74" t="s">
        <v>2535</v>
      </c>
      <c r="D536" s="74" t="s">
        <v>2536</v>
      </c>
      <c r="E536" s="146">
        <v>782031900</v>
      </c>
      <c r="F536" s="7" t="s">
        <v>2537</v>
      </c>
      <c r="G536" s="7"/>
      <c r="H536" s="74" t="s">
        <v>2538</v>
      </c>
      <c r="I536" s="75" t="s">
        <v>2539</v>
      </c>
      <c r="J536" s="74">
        <v>715833663</v>
      </c>
      <c r="K536" s="74" t="s">
        <v>411</v>
      </c>
      <c r="L536" s="74"/>
      <c r="M536" s="74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</row>
    <row r="537" spans="1:36" ht="12.75">
      <c r="A537" s="74" t="s">
        <v>2540</v>
      </c>
      <c r="B537" s="74"/>
      <c r="C537" s="74" t="s">
        <v>2541</v>
      </c>
      <c r="D537" s="74" t="s">
        <v>799</v>
      </c>
      <c r="E537" s="146">
        <v>742667736</v>
      </c>
      <c r="F537" s="7" t="s">
        <v>2542</v>
      </c>
      <c r="G537" s="7"/>
      <c r="H537" s="74" t="s">
        <v>2543</v>
      </c>
      <c r="I537" s="75" t="s">
        <v>203</v>
      </c>
      <c r="J537" s="74">
        <v>708354754</v>
      </c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</row>
    <row r="538" spans="1:36" ht="12.75">
      <c r="A538" s="74" t="s">
        <v>2544</v>
      </c>
      <c r="B538" s="74"/>
      <c r="C538" s="74" t="s">
        <v>2545</v>
      </c>
      <c r="D538" s="74" t="s">
        <v>508</v>
      </c>
      <c r="E538" s="146">
        <v>708219665</v>
      </c>
      <c r="F538" s="7" t="s">
        <v>2546</v>
      </c>
      <c r="G538" s="7"/>
      <c r="H538" s="74" t="s">
        <v>2547</v>
      </c>
      <c r="I538" s="75" t="s">
        <v>1218</v>
      </c>
      <c r="J538" s="74">
        <v>719044000</v>
      </c>
      <c r="K538" s="74" t="s">
        <v>2548</v>
      </c>
      <c r="L538" s="74"/>
      <c r="M538" s="74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</row>
    <row r="539" spans="1:36" ht="12.75">
      <c r="A539" s="74" t="s">
        <v>2549</v>
      </c>
      <c r="B539" s="74"/>
      <c r="C539" s="74" t="s">
        <v>2550</v>
      </c>
      <c r="D539" s="74" t="s">
        <v>2551</v>
      </c>
      <c r="E539" s="146">
        <v>115672839</v>
      </c>
      <c r="F539" s="7" t="s">
        <v>975</v>
      </c>
      <c r="G539" s="7"/>
      <c r="H539" s="74" t="s">
        <v>976</v>
      </c>
      <c r="I539" s="75" t="s">
        <v>2342</v>
      </c>
      <c r="J539" s="74">
        <v>798959217</v>
      </c>
      <c r="K539" s="74" t="s">
        <v>978</v>
      </c>
      <c r="L539" s="74"/>
      <c r="M539" s="74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</row>
    <row r="540" spans="1:36" ht="12.75">
      <c r="A540" s="74" t="s">
        <v>2552</v>
      </c>
      <c r="B540" s="74"/>
      <c r="C540" s="74" t="s">
        <v>2553</v>
      </c>
      <c r="D540" s="74" t="s">
        <v>654</v>
      </c>
      <c r="E540" s="146">
        <v>798473996</v>
      </c>
      <c r="F540" s="7" t="s">
        <v>1725</v>
      </c>
      <c r="G540" s="7"/>
      <c r="H540" s="74" t="s">
        <v>2554</v>
      </c>
      <c r="I540" s="75" t="s">
        <v>599</v>
      </c>
      <c r="J540" s="74">
        <v>788199505</v>
      </c>
      <c r="K540" s="74" t="s">
        <v>2555</v>
      </c>
      <c r="L540" s="74"/>
      <c r="M540" s="74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</row>
    <row r="541" spans="1:36" ht="12.75">
      <c r="A541" s="74" t="s">
        <v>2556</v>
      </c>
      <c r="B541" s="74"/>
      <c r="C541" s="74" t="s">
        <v>2557</v>
      </c>
      <c r="D541" s="74" t="s">
        <v>1441</v>
      </c>
      <c r="E541" s="146">
        <v>769302799</v>
      </c>
      <c r="F541" s="7" t="s">
        <v>2558</v>
      </c>
      <c r="G541" s="7"/>
      <c r="H541" s="74" t="s">
        <v>2559</v>
      </c>
      <c r="I541" s="75" t="s">
        <v>2560</v>
      </c>
      <c r="J541" s="74">
        <v>728422519</v>
      </c>
      <c r="K541" s="74" t="s">
        <v>2485</v>
      </c>
      <c r="L541" s="74"/>
      <c r="M541" s="74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</row>
    <row r="542" spans="1:36" ht="12.75">
      <c r="A542" s="74" t="s">
        <v>2561</v>
      </c>
      <c r="B542" s="74"/>
      <c r="C542" s="74" t="s">
        <v>2562</v>
      </c>
      <c r="D542" s="74" t="s">
        <v>654</v>
      </c>
      <c r="E542" s="146">
        <v>705912632</v>
      </c>
      <c r="F542" s="7" t="s">
        <v>2563</v>
      </c>
      <c r="G542" s="7"/>
      <c r="H542" s="74" t="s">
        <v>355</v>
      </c>
      <c r="I542" s="75" t="s">
        <v>14</v>
      </c>
      <c r="J542" s="74">
        <v>710453693</v>
      </c>
      <c r="K542" s="74" t="s">
        <v>105</v>
      </c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</row>
    <row r="543" spans="1:36" ht="12.75">
      <c r="A543" s="74" t="s">
        <v>2564</v>
      </c>
      <c r="B543" s="74"/>
      <c r="C543" s="74" t="s">
        <v>2565</v>
      </c>
      <c r="D543" s="74" t="s">
        <v>799</v>
      </c>
      <c r="E543" s="146">
        <v>742234344</v>
      </c>
      <c r="F543" s="7" t="s">
        <v>2566</v>
      </c>
      <c r="G543" s="7"/>
      <c r="H543" s="74" t="s">
        <v>2567</v>
      </c>
      <c r="I543" s="75" t="s">
        <v>495</v>
      </c>
      <c r="J543" s="74">
        <v>741279118</v>
      </c>
      <c r="K543" s="74" t="s">
        <v>2568</v>
      </c>
      <c r="L543" s="74"/>
      <c r="M543" s="74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</row>
    <row r="544" spans="1:36" ht="15">
      <c r="A544" s="74" t="s">
        <v>2569</v>
      </c>
      <c r="B544" s="74"/>
      <c r="C544" s="74" t="s">
        <v>2570</v>
      </c>
      <c r="D544" s="74" t="s">
        <v>2551</v>
      </c>
      <c r="E544" s="146">
        <v>705924831</v>
      </c>
      <c r="F544" s="7" t="s">
        <v>2571</v>
      </c>
      <c r="G544" s="7"/>
      <c r="H544" s="74" t="s">
        <v>2572</v>
      </c>
      <c r="I544" s="75" t="s">
        <v>2573</v>
      </c>
      <c r="J544" s="243" t="s">
        <v>2574</v>
      </c>
      <c r="K544" s="243" t="s">
        <v>2575</v>
      </c>
      <c r="L544" s="244"/>
      <c r="M544" s="244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</row>
    <row r="545" spans="1:36" ht="12.75">
      <c r="A545" s="74" t="s">
        <v>2576</v>
      </c>
      <c r="B545" s="74"/>
      <c r="C545" s="74" t="s">
        <v>2577</v>
      </c>
      <c r="D545" s="74" t="s">
        <v>2578</v>
      </c>
      <c r="E545" s="146">
        <v>707048192</v>
      </c>
      <c r="F545" s="7" t="s">
        <v>2579</v>
      </c>
      <c r="G545" s="7"/>
      <c r="H545" s="74" t="s">
        <v>2580</v>
      </c>
      <c r="I545" s="75" t="s">
        <v>2581</v>
      </c>
      <c r="J545" s="74">
        <v>714695815</v>
      </c>
      <c r="K545" s="74" t="s">
        <v>2582</v>
      </c>
      <c r="L545" s="74"/>
      <c r="M545" s="74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</row>
    <row r="546" spans="1:36" ht="12.75">
      <c r="A546" s="74" t="s">
        <v>2583</v>
      </c>
      <c r="B546" s="74"/>
      <c r="C546" s="74" t="s">
        <v>2584</v>
      </c>
      <c r="D546" s="74" t="s">
        <v>2585</v>
      </c>
      <c r="E546" s="287" t="s">
        <v>2586</v>
      </c>
      <c r="F546" s="7" t="s">
        <v>2587</v>
      </c>
      <c r="G546" s="7"/>
      <c r="H546" s="76"/>
      <c r="I546" s="84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</row>
    <row r="547" spans="1:36" ht="12.75">
      <c r="A547" s="74" t="s">
        <v>2588</v>
      </c>
      <c r="B547" s="74"/>
      <c r="C547" s="74" t="s">
        <v>2589</v>
      </c>
      <c r="D547" s="74" t="s">
        <v>341</v>
      </c>
      <c r="E547" s="146">
        <v>743556250</v>
      </c>
      <c r="F547" s="7" t="s">
        <v>2590</v>
      </c>
      <c r="G547" s="7"/>
      <c r="H547" s="74" t="s">
        <v>2591</v>
      </c>
      <c r="I547" s="75" t="s">
        <v>2592</v>
      </c>
      <c r="J547" s="74">
        <v>202843330</v>
      </c>
      <c r="K547" s="74" t="s">
        <v>2593</v>
      </c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</row>
    <row r="548" spans="1:36" ht="12.75">
      <c r="A548" s="74" t="s">
        <v>2598</v>
      </c>
      <c r="B548" s="74"/>
      <c r="C548" s="74" t="s">
        <v>2599</v>
      </c>
      <c r="D548" s="74" t="s">
        <v>1753</v>
      </c>
      <c r="E548" s="146">
        <v>718305616</v>
      </c>
      <c r="F548" s="7" t="s">
        <v>2600</v>
      </c>
      <c r="G548" s="7"/>
      <c r="H548" s="74" t="s">
        <v>2595</v>
      </c>
      <c r="I548" s="75" t="s">
        <v>2596</v>
      </c>
      <c r="J548" s="74">
        <v>713709531</v>
      </c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</row>
    <row r="549" spans="1:36" ht="12.75">
      <c r="A549" s="74" t="s">
        <v>2601</v>
      </c>
      <c r="B549" s="74"/>
      <c r="C549" s="74" t="s">
        <v>2602</v>
      </c>
      <c r="D549" s="74" t="s">
        <v>273</v>
      </c>
      <c r="E549" s="146">
        <v>705357197</v>
      </c>
      <c r="F549" s="7" t="s">
        <v>2603</v>
      </c>
      <c r="G549" s="7"/>
      <c r="H549" s="74" t="s">
        <v>2604</v>
      </c>
      <c r="I549" s="75" t="s">
        <v>269</v>
      </c>
      <c r="J549" s="74">
        <v>206533276</v>
      </c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</row>
    <row r="550" spans="1:36" ht="12.75">
      <c r="A550" s="74" t="s">
        <v>2605</v>
      </c>
      <c r="B550" s="74"/>
      <c r="C550" s="74" t="s">
        <v>2606</v>
      </c>
      <c r="D550" s="74" t="s">
        <v>2607</v>
      </c>
      <c r="E550" s="146">
        <v>705649538</v>
      </c>
      <c r="F550" s="7" t="s">
        <v>2608</v>
      </c>
      <c r="G550" s="7"/>
      <c r="H550" s="74" t="s">
        <v>2609</v>
      </c>
      <c r="I550" s="75" t="s">
        <v>2610</v>
      </c>
      <c r="J550" s="74">
        <v>722206986</v>
      </c>
      <c r="K550" s="74" t="s">
        <v>1639</v>
      </c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</row>
    <row r="551" spans="1:36" ht="12.75">
      <c r="A551" s="74" t="s">
        <v>2611</v>
      </c>
      <c r="B551" s="74"/>
      <c r="C551" s="74" t="s">
        <v>2612</v>
      </c>
      <c r="D551" s="74" t="s">
        <v>1441</v>
      </c>
      <c r="E551" s="146">
        <v>742252910</v>
      </c>
      <c r="F551" s="247" t="s">
        <v>2613</v>
      </c>
      <c r="G551" s="247"/>
      <c r="H551" s="74" t="s">
        <v>2614</v>
      </c>
      <c r="I551" s="84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</row>
    <row r="552" spans="1:36" ht="12.75">
      <c r="A552" s="74" t="s">
        <v>2615</v>
      </c>
      <c r="B552" s="74"/>
      <c r="C552" s="74" t="s">
        <v>2616</v>
      </c>
      <c r="D552" s="74" t="s">
        <v>402</v>
      </c>
      <c r="E552" s="146">
        <v>706165381</v>
      </c>
      <c r="F552" s="7" t="s">
        <v>999</v>
      </c>
      <c r="G552" s="7"/>
      <c r="H552" s="74" t="s">
        <v>2617</v>
      </c>
      <c r="I552" s="75" t="s">
        <v>2618</v>
      </c>
      <c r="J552" s="74" t="s">
        <v>2619</v>
      </c>
      <c r="K552" s="74" t="s">
        <v>105</v>
      </c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</row>
    <row r="553" spans="1:36" ht="12.75">
      <c r="A553" s="74" t="s">
        <v>2620</v>
      </c>
      <c r="B553" s="74"/>
      <c r="C553" s="74" t="s">
        <v>2621</v>
      </c>
      <c r="D553" s="74" t="s">
        <v>873</v>
      </c>
      <c r="E553" s="146">
        <v>745873013</v>
      </c>
      <c r="F553" s="7" t="s">
        <v>2622</v>
      </c>
      <c r="G553" s="7"/>
      <c r="H553" s="74" t="s">
        <v>2623</v>
      </c>
      <c r="I553" s="75" t="s">
        <v>223</v>
      </c>
      <c r="J553" s="74">
        <v>711234567</v>
      </c>
      <c r="K553" s="74" t="s">
        <v>180</v>
      </c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</row>
    <row r="554" spans="1:36" ht="12.75">
      <c r="A554" s="74" t="s">
        <v>2624</v>
      </c>
      <c r="B554" s="74"/>
      <c r="C554" s="74" t="s">
        <v>2625</v>
      </c>
      <c r="D554" s="74" t="s">
        <v>2626</v>
      </c>
      <c r="E554" s="146">
        <v>713281762</v>
      </c>
      <c r="F554" s="7" t="s">
        <v>1449</v>
      </c>
      <c r="G554" s="7"/>
      <c r="H554" s="74" t="s">
        <v>2627</v>
      </c>
      <c r="I554" s="75" t="s">
        <v>2628</v>
      </c>
      <c r="J554" s="74">
        <v>757702813</v>
      </c>
      <c r="K554" s="74" t="s">
        <v>1452</v>
      </c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</row>
    <row r="555" spans="1:36" ht="12.75">
      <c r="A555" s="74" t="s">
        <v>2629</v>
      </c>
      <c r="B555" s="74"/>
      <c r="C555" s="74" t="s">
        <v>2630</v>
      </c>
      <c r="D555" s="74" t="s">
        <v>337</v>
      </c>
      <c r="E555" s="146">
        <v>111655419</v>
      </c>
      <c r="F555" s="7" t="s">
        <v>2631</v>
      </c>
      <c r="G555" s="7"/>
      <c r="H555" s="74" t="s">
        <v>2623</v>
      </c>
      <c r="I555" s="75"/>
      <c r="J555" s="74">
        <v>711234567</v>
      </c>
      <c r="K555" s="74" t="s">
        <v>180</v>
      </c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</row>
    <row r="556" spans="1:36" ht="12.75">
      <c r="A556" s="74" t="s">
        <v>2632</v>
      </c>
      <c r="B556" s="74"/>
      <c r="C556" s="74" t="s">
        <v>2633</v>
      </c>
      <c r="D556" s="74" t="s">
        <v>873</v>
      </c>
      <c r="E556" s="146">
        <v>746814337</v>
      </c>
      <c r="F556" s="7" t="s">
        <v>2634</v>
      </c>
      <c r="G556" s="7"/>
      <c r="H556" s="74" t="s">
        <v>2635</v>
      </c>
      <c r="I556" s="75" t="s">
        <v>2137</v>
      </c>
      <c r="J556" s="74">
        <v>2547202342935</v>
      </c>
      <c r="K556" s="74" t="s">
        <v>2636</v>
      </c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</row>
    <row r="557" spans="1:36" ht="12.75">
      <c r="A557" s="74" t="s">
        <v>2637</v>
      </c>
      <c r="B557" s="74"/>
      <c r="C557" s="74" t="s">
        <v>2638</v>
      </c>
      <c r="D557" s="74" t="s">
        <v>2522</v>
      </c>
      <c r="E557" s="146">
        <v>796443221</v>
      </c>
      <c r="F557" s="7" t="s">
        <v>2639</v>
      </c>
      <c r="G557" s="7"/>
      <c r="H557" s="74" t="s">
        <v>2640</v>
      </c>
      <c r="I557" s="75" t="s">
        <v>2641</v>
      </c>
      <c r="J557" s="74" t="s">
        <v>2642</v>
      </c>
      <c r="K557" s="74" t="s">
        <v>2643</v>
      </c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</row>
    <row r="558" spans="1:36" ht="12.75">
      <c r="A558" s="74" t="s">
        <v>2644</v>
      </c>
      <c r="B558" s="74"/>
      <c r="C558" s="74" t="s">
        <v>2645</v>
      </c>
      <c r="D558" s="74" t="s">
        <v>341</v>
      </c>
      <c r="E558" s="146">
        <v>792177297</v>
      </c>
      <c r="F558" s="7" t="s">
        <v>2646</v>
      </c>
      <c r="G558" s="7"/>
      <c r="H558" s="74" t="s">
        <v>2647</v>
      </c>
      <c r="I558" s="75" t="s">
        <v>2247</v>
      </c>
      <c r="J558" s="74">
        <v>790468082</v>
      </c>
      <c r="K558" s="74" t="s">
        <v>1508</v>
      </c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</row>
    <row r="559" spans="1:36" ht="12.75">
      <c r="A559" s="74" t="s">
        <v>2648</v>
      </c>
      <c r="B559" s="74"/>
      <c r="C559" s="74" t="s">
        <v>2649</v>
      </c>
      <c r="D559" s="74" t="s">
        <v>2551</v>
      </c>
      <c r="E559" s="146">
        <v>254112827681</v>
      </c>
      <c r="F559" s="7" t="s">
        <v>2650</v>
      </c>
      <c r="G559" s="7"/>
      <c r="H559" s="74" t="s">
        <v>2651</v>
      </c>
      <c r="I559" s="75" t="s">
        <v>599</v>
      </c>
      <c r="J559" s="74">
        <v>722406595</v>
      </c>
      <c r="K559" s="74" t="s">
        <v>2652</v>
      </c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</row>
    <row r="560" spans="1:36" ht="12.75">
      <c r="A560" s="74" t="s">
        <v>2653</v>
      </c>
      <c r="B560" s="74"/>
      <c r="C560" s="74" t="s">
        <v>2654</v>
      </c>
      <c r="D560" s="74" t="s">
        <v>155</v>
      </c>
      <c r="E560" s="146">
        <v>708822568</v>
      </c>
      <c r="F560" s="7" t="s">
        <v>2655</v>
      </c>
      <c r="G560" s="7"/>
      <c r="H560" s="74" t="s">
        <v>2656</v>
      </c>
      <c r="I560" s="75" t="s">
        <v>2657</v>
      </c>
      <c r="J560" s="74">
        <v>791808309</v>
      </c>
      <c r="K560" s="74" t="s">
        <v>2658</v>
      </c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</row>
    <row r="561" spans="1:36" ht="12.75">
      <c r="A561" s="74" t="s">
        <v>2659</v>
      </c>
      <c r="B561" s="74"/>
      <c r="C561" s="74" t="s">
        <v>2660</v>
      </c>
      <c r="D561" s="74" t="s">
        <v>2661</v>
      </c>
      <c r="E561" s="146">
        <v>718088461</v>
      </c>
      <c r="F561" s="7" t="s">
        <v>2662</v>
      </c>
      <c r="G561" s="7"/>
      <c r="H561" s="74" t="s">
        <v>2663</v>
      </c>
      <c r="I561" s="75" t="s">
        <v>2664</v>
      </c>
      <c r="J561" s="74">
        <v>791569875</v>
      </c>
      <c r="K561" s="74" t="s">
        <v>2665</v>
      </c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</row>
    <row r="562" spans="1:36" ht="12.75">
      <c r="A562" s="74" t="s">
        <v>2666</v>
      </c>
      <c r="B562" s="74"/>
      <c r="C562" s="74" t="s">
        <v>2667</v>
      </c>
      <c r="D562" s="74" t="s">
        <v>2668</v>
      </c>
      <c r="E562" s="146">
        <v>721228749</v>
      </c>
      <c r="F562" s="7" t="s">
        <v>2669</v>
      </c>
      <c r="G562" s="7"/>
      <c r="H562" s="74" t="s">
        <v>2670</v>
      </c>
      <c r="I562" s="75" t="s">
        <v>2671</v>
      </c>
      <c r="J562" s="74">
        <v>254707430108</v>
      </c>
      <c r="K562" s="74" t="s">
        <v>2672</v>
      </c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</row>
    <row r="563" spans="1:36" ht="12.75">
      <c r="A563" s="74" t="s">
        <v>2673</v>
      </c>
      <c r="B563" s="74"/>
      <c r="C563" s="74" t="s">
        <v>2674</v>
      </c>
      <c r="D563" s="74" t="s">
        <v>2675</v>
      </c>
      <c r="E563" s="146">
        <v>114607618</v>
      </c>
      <c r="F563" s="7" t="s">
        <v>2676</v>
      </c>
      <c r="G563" s="7"/>
      <c r="H563" s="74" t="s">
        <v>2042</v>
      </c>
      <c r="I563" s="248"/>
      <c r="J563" s="74">
        <v>710453693</v>
      </c>
      <c r="K563" s="74" t="s">
        <v>105</v>
      </c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</row>
    <row r="564" spans="1:36" ht="12.75">
      <c r="A564" s="74" t="s">
        <v>2677</v>
      </c>
      <c r="B564" s="74"/>
      <c r="C564" s="74" t="s">
        <v>2678</v>
      </c>
      <c r="D564" s="74" t="s">
        <v>407</v>
      </c>
      <c r="E564" s="146">
        <v>792748122</v>
      </c>
      <c r="F564" s="7" t="s">
        <v>2679</v>
      </c>
      <c r="G564" s="7"/>
      <c r="H564" s="74" t="s">
        <v>2680</v>
      </c>
      <c r="I564" s="75" t="s">
        <v>237</v>
      </c>
      <c r="J564" s="74">
        <v>703034000</v>
      </c>
      <c r="K564" s="74" t="s">
        <v>2681</v>
      </c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</row>
    <row r="565" spans="1:36" ht="12.75">
      <c r="A565" s="74" t="s">
        <v>2682</v>
      </c>
      <c r="B565" s="74"/>
      <c r="C565" s="74" t="s">
        <v>2683</v>
      </c>
      <c r="D565" s="74" t="s">
        <v>2684</v>
      </c>
      <c r="E565" s="146">
        <v>748798704</v>
      </c>
      <c r="F565" s="7" t="s">
        <v>2685</v>
      </c>
      <c r="G565" s="7"/>
      <c r="H565" s="74" t="s">
        <v>2686</v>
      </c>
      <c r="I565" s="75" t="s">
        <v>2687</v>
      </c>
      <c r="J565" s="74" t="s">
        <v>2688</v>
      </c>
      <c r="K565" s="74" t="s">
        <v>2689</v>
      </c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</row>
    <row r="566" spans="1:36" ht="12.75">
      <c r="A566" s="74" t="s">
        <v>2690</v>
      </c>
      <c r="B566" s="74"/>
      <c r="C566" s="74" t="s">
        <v>2691</v>
      </c>
      <c r="D566" s="74" t="s">
        <v>83</v>
      </c>
      <c r="E566" s="146">
        <v>704528689</v>
      </c>
      <c r="F566" s="7" t="s">
        <v>2692</v>
      </c>
      <c r="G566" s="7"/>
      <c r="H566" s="74" t="s">
        <v>2693</v>
      </c>
      <c r="I566" s="75" t="s">
        <v>1245</v>
      </c>
      <c r="J566" s="74">
        <v>704528689</v>
      </c>
      <c r="K566" s="74" t="s">
        <v>2694</v>
      </c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</row>
    <row r="567" spans="1:36" ht="12.75">
      <c r="A567" s="291" t="s">
        <v>2695</v>
      </c>
      <c r="B567" s="291"/>
      <c r="C567" s="74" t="s">
        <v>2696</v>
      </c>
      <c r="D567" s="74" t="s">
        <v>2697</v>
      </c>
      <c r="E567" s="146">
        <v>721901761</v>
      </c>
      <c r="F567" s="7" t="s">
        <v>681</v>
      </c>
      <c r="G567" s="7"/>
      <c r="H567" s="74" t="s">
        <v>2698</v>
      </c>
      <c r="I567" s="75" t="s">
        <v>2699</v>
      </c>
      <c r="J567" s="74">
        <v>202054354</v>
      </c>
      <c r="K567" s="74" t="s">
        <v>224</v>
      </c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</row>
    <row r="568" spans="1:36" ht="12.75">
      <c r="A568" s="74" t="s">
        <v>2700</v>
      </c>
      <c r="B568" s="74"/>
      <c r="C568" s="74" t="s">
        <v>2701</v>
      </c>
      <c r="D568" s="74" t="s">
        <v>227</v>
      </c>
      <c r="E568" s="146">
        <v>700844565</v>
      </c>
      <c r="F568" s="7" t="s">
        <v>2676</v>
      </c>
      <c r="G568" s="7"/>
      <c r="H568" s="74" t="s">
        <v>2042</v>
      </c>
      <c r="I568" s="75" t="s">
        <v>2699</v>
      </c>
      <c r="J568" s="74" t="s">
        <v>442</v>
      </c>
      <c r="K568" s="74" t="s">
        <v>105</v>
      </c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</row>
    <row r="569" spans="1:36" ht="12.75">
      <c r="A569" s="74" t="s">
        <v>2702</v>
      </c>
      <c r="B569" s="74"/>
      <c r="C569" s="74" t="s">
        <v>2703</v>
      </c>
      <c r="D569" s="74" t="s">
        <v>880</v>
      </c>
      <c r="E569" s="146">
        <v>755169855</v>
      </c>
      <c r="F569" s="7" t="s">
        <v>2704</v>
      </c>
      <c r="G569" s="7"/>
      <c r="H569" s="74" t="s">
        <v>2705</v>
      </c>
      <c r="I569" s="75" t="s">
        <v>2706</v>
      </c>
      <c r="J569" s="74">
        <v>758722024</v>
      </c>
      <c r="K569" s="74" t="s">
        <v>2707</v>
      </c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</row>
    <row r="570" spans="1:36" ht="12.75">
      <c r="A570" s="74" t="s">
        <v>2708</v>
      </c>
      <c r="B570" s="74"/>
      <c r="C570" s="74" t="s">
        <v>2709</v>
      </c>
      <c r="D570" s="74" t="s">
        <v>2710</v>
      </c>
      <c r="E570" s="194">
        <v>254719497217</v>
      </c>
      <c r="F570" s="7" t="s">
        <v>2711</v>
      </c>
      <c r="G570" s="7"/>
      <c r="H570" s="74" t="s">
        <v>2712</v>
      </c>
      <c r="I570" s="75" t="s">
        <v>2713</v>
      </c>
      <c r="J570" s="74">
        <v>707574430</v>
      </c>
      <c r="K570" s="74" t="s">
        <v>2714</v>
      </c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</row>
    <row r="571" spans="1:36" ht="12.75">
      <c r="A571" s="74" t="s">
        <v>2715</v>
      </c>
      <c r="B571" s="74"/>
      <c r="C571" s="74" t="s">
        <v>2716</v>
      </c>
      <c r="D571" s="74" t="s">
        <v>1623</v>
      </c>
      <c r="E571" s="146">
        <v>112685689</v>
      </c>
      <c r="F571" s="7" t="s">
        <v>2717</v>
      </c>
      <c r="G571" s="7"/>
      <c r="H571" s="74" t="s">
        <v>469</v>
      </c>
      <c r="I571" s="75" t="s">
        <v>2718</v>
      </c>
      <c r="J571" s="74">
        <v>254722337776</v>
      </c>
      <c r="K571" s="74" t="s">
        <v>470</v>
      </c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</row>
    <row r="572" spans="1:36" ht="12.75">
      <c r="A572" s="74" t="s">
        <v>2719</v>
      </c>
      <c r="B572" s="74"/>
      <c r="C572" s="74"/>
      <c r="D572" s="74" t="s">
        <v>2710</v>
      </c>
      <c r="E572" s="146">
        <v>792741896</v>
      </c>
      <c r="F572" s="7" t="s">
        <v>2720</v>
      </c>
      <c r="G572" s="7"/>
      <c r="H572" s="76"/>
      <c r="I572" s="84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</row>
    <row r="573" spans="1:36" ht="12.75">
      <c r="A573" s="74" t="s">
        <v>2721</v>
      </c>
      <c r="B573" s="60"/>
      <c r="C573" s="96" t="s">
        <v>2722</v>
      </c>
      <c r="D573" s="96" t="s">
        <v>441</v>
      </c>
      <c r="E573" s="146">
        <v>745928679</v>
      </c>
      <c r="F573" s="9"/>
      <c r="G573" s="9"/>
      <c r="H573" s="74"/>
      <c r="I573" s="75"/>
      <c r="J573" s="74"/>
      <c r="K573" s="74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</row>
    <row r="574" spans="1:36" ht="12.75">
      <c r="A574" s="74" t="s">
        <v>2723</v>
      </c>
      <c r="B574" s="74"/>
      <c r="C574" s="74" t="s">
        <v>2724</v>
      </c>
      <c r="D574" s="74" t="s">
        <v>2725</v>
      </c>
      <c r="E574" s="146">
        <v>110403312</v>
      </c>
      <c r="F574" s="7" t="s">
        <v>2726</v>
      </c>
      <c r="G574" s="7"/>
      <c r="H574" s="74" t="s">
        <v>2727</v>
      </c>
      <c r="I574" s="75" t="s">
        <v>2728</v>
      </c>
      <c r="J574" s="74">
        <v>254790468082</v>
      </c>
      <c r="K574" s="74" t="s">
        <v>1508</v>
      </c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</row>
    <row r="575" spans="1:36" ht="12.75">
      <c r="A575" s="74" t="s">
        <v>2729</v>
      </c>
      <c r="B575" s="74"/>
      <c r="C575" s="74" t="s">
        <v>2730</v>
      </c>
      <c r="D575" s="74" t="s">
        <v>402</v>
      </c>
      <c r="E575" s="146">
        <v>795672448</v>
      </c>
      <c r="F575" s="7" t="s">
        <v>2731</v>
      </c>
      <c r="G575" s="7"/>
      <c r="H575" s="74" t="s">
        <v>2732</v>
      </c>
      <c r="I575" s="75" t="s">
        <v>2733</v>
      </c>
      <c r="J575" s="74">
        <v>756836258</v>
      </c>
      <c r="K575" s="74" t="s">
        <v>2734</v>
      </c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</row>
    <row r="576" spans="1:36" ht="12.75">
      <c r="A576" s="74" t="s">
        <v>2735</v>
      </c>
      <c r="B576" s="60"/>
      <c r="C576" s="96" t="s">
        <v>2736</v>
      </c>
      <c r="D576" s="96" t="s">
        <v>441</v>
      </c>
      <c r="E576" s="146">
        <v>745928679</v>
      </c>
      <c r="F576" s="7" t="s">
        <v>2737</v>
      </c>
      <c r="G576" s="7"/>
      <c r="H576" s="76"/>
      <c r="I576" s="84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</row>
    <row r="577" spans="1:36" ht="12.75">
      <c r="A577" s="74" t="s">
        <v>2738</v>
      </c>
      <c r="B577" s="74"/>
      <c r="C577" s="74" t="s">
        <v>2739</v>
      </c>
      <c r="D577" s="74" t="s">
        <v>441</v>
      </c>
      <c r="E577" s="146">
        <v>798247960</v>
      </c>
      <c r="F577" s="7" t="s">
        <v>2740</v>
      </c>
      <c r="G577" s="7"/>
      <c r="H577" s="74" t="s">
        <v>2741</v>
      </c>
      <c r="I577" s="75" t="s">
        <v>218</v>
      </c>
      <c r="J577" s="96">
        <v>714274434</v>
      </c>
      <c r="K577" s="74" t="s">
        <v>2742</v>
      </c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</row>
    <row r="578" spans="1:36" ht="12.75">
      <c r="A578" s="74" t="s">
        <v>2743</v>
      </c>
      <c r="B578" s="74"/>
      <c r="C578" s="74" t="s">
        <v>2744</v>
      </c>
      <c r="D578" s="74" t="s">
        <v>2745</v>
      </c>
      <c r="E578" s="146">
        <v>795032725</v>
      </c>
      <c r="F578" s="7" t="s">
        <v>2746</v>
      </c>
      <c r="G578" s="7"/>
      <c r="H578" s="74" t="s">
        <v>2406</v>
      </c>
      <c r="I578" s="75" t="s">
        <v>223</v>
      </c>
      <c r="J578" s="74">
        <v>711234567</v>
      </c>
      <c r="K578" s="74" t="s">
        <v>180</v>
      </c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</row>
    <row r="579" spans="1:36" ht="12.75">
      <c r="A579" s="74" t="s">
        <v>2458</v>
      </c>
      <c r="B579" s="74"/>
      <c r="C579" s="74" t="s">
        <v>2459</v>
      </c>
      <c r="D579" s="74" t="s">
        <v>2747</v>
      </c>
      <c r="E579" s="146">
        <v>717351469</v>
      </c>
      <c r="F579" s="7" t="s">
        <v>2460</v>
      </c>
      <c r="G579" s="7"/>
      <c r="H579" s="74" t="s">
        <v>2748</v>
      </c>
      <c r="I579" s="75" t="s">
        <v>1218</v>
      </c>
      <c r="J579" s="74" t="s">
        <v>2462</v>
      </c>
      <c r="K579" s="74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</row>
    <row r="580" spans="1:36" ht="12.75">
      <c r="A580" s="74" t="s">
        <v>2749</v>
      </c>
      <c r="B580" s="74"/>
      <c r="C580" s="74" t="s">
        <v>1824</v>
      </c>
      <c r="D580" s="74" t="s">
        <v>255</v>
      </c>
      <c r="E580" s="146">
        <v>113089353</v>
      </c>
      <c r="F580" s="7" t="s">
        <v>2750</v>
      </c>
      <c r="G580" s="7"/>
      <c r="H580" s="74" t="s">
        <v>2139</v>
      </c>
      <c r="I580" s="75" t="s">
        <v>1218</v>
      </c>
      <c r="J580" s="74">
        <v>204408989</v>
      </c>
      <c r="K580" s="74" t="s">
        <v>1942</v>
      </c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</row>
    <row r="581" spans="1:36" ht="12.75">
      <c r="A581" s="74" t="s">
        <v>2751</v>
      </c>
      <c r="B581" s="74"/>
      <c r="C581" s="74" t="s">
        <v>2752</v>
      </c>
      <c r="D581" s="74" t="s">
        <v>974</v>
      </c>
      <c r="E581" s="146">
        <v>798153798</v>
      </c>
      <c r="F581" s="7" t="s">
        <v>2753</v>
      </c>
      <c r="G581" s="7"/>
      <c r="H581" s="74" t="s">
        <v>2754</v>
      </c>
      <c r="I581" s="75" t="s">
        <v>269</v>
      </c>
      <c r="J581" s="74" t="s">
        <v>2755</v>
      </c>
      <c r="K581" s="74" t="s">
        <v>2756</v>
      </c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</row>
    <row r="582" spans="1:36" ht="12.75">
      <c r="A582" s="74" t="s">
        <v>2757</v>
      </c>
      <c r="B582" s="74"/>
      <c r="C582" s="74" t="s">
        <v>2758</v>
      </c>
      <c r="D582" s="74" t="s">
        <v>2551</v>
      </c>
      <c r="E582" s="146">
        <v>708842110</v>
      </c>
      <c r="F582" s="7" t="s">
        <v>2650</v>
      </c>
      <c r="G582" s="7"/>
      <c r="H582" s="74" t="s">
        <v>2651</v>
      </c>
      <c r="I582" s="75" t="s">
        <v>599</v>
      </c>
      <c r="J582" s="74">
        <v>722406595</v>
      </c>
      <c r="K582" s="74" t="s">
        <v>2759</v>
      </c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</row>
    <row r="583" spans="1:36" ht="12.75">
      <c r="A583" s="74" t="s">
        <v>2760</v>
      </c>
      <c r="B583" s="74"/>
      <c r="C583" s="74" t="s">
        <v>2761</v>
      </c>
      <c r="D583" s="74" t="s">
        <v>998</v>
      </c>
      <c r="E583" s="146">
        <v>796988033</v>
      </c>
      <c r="F583" s="7" t="s">
        <v>2762</v>
      </c>
      <c r="G583" s="7"/>
      <c r="H583" s="74" t="s">
        <v>3562</v>
      </c>
      <c r="I583" s="75" t="s">
        <v>2764</v>
      </c>
      <c r="J583" s="74">
        <v>771320143</v>
      </c>
      <c r="K583" s="74" t="s">
        <v>3563</v>
      </c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</row>
    <row r="584" spans="1:36" ht="12.75">
      <c r="A584" s="274" t="s">
        <v>2766</v>
      </c>
      <c r="B584" s="274"/>
      <c r="C584" s="74" t="s">
        <v>2767</v>
      </c>
      <c r="D584" s="74" t="s">
        <v>998</v>
      </c>
      <c r="E584" s="146">
        <v>111260308</v>
      </c>
      <c r="F584" s="7" t="s">
        <v>342</v>
      </c>
      <c r="G584" s="7"/>
      <c r="H584" s="74" t="s">
        <v>2768</v>
      </c>
      <c r="I584" s="75" t="s">
        <v>41</v>
      </c>
      <c r="J584" s="76">
        <f>254710453693</f>
        <v>254710453693</v>
      </c>
      <c r="K584" s="74" t="s">
        <v>105</v>
      </c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</row>
    <row r="585" spans="1:36" ht="12.75">
      <c r="A585" s="74" t="s">
        <v>2769</v>
      </c>
      <c r="B585" s="74"/>
      <c r="C585" s="74" t="s">
        <v>2770</v>
      </c>
      <c r="D585" s="74" t="s">
        <v>2771</v>
      </c>
      <c r="E585" s="146">
        <v>769681842</v>
      </c>
      <c r="F585" s="7" t="s">
        <v>2772</v>
      </c>
      <c r="G585" s="7"/>
      <c r="H585" s="74" t="s">
        <v>2773</v>
      </c>
      <c r="I585" s="75" t="s">
        <v>356</v>
      </c>
      <c r="J585" s="251">
        <v>254710453693</v>
      </c>
      <c r="K585" s="96" t="s">
        <v>105</v>
      </c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</row>
    <row r="586" spans="1:36" ht="12.75">
      <c r="A586" s="74" t="s">
        <v>2774</v>
      </c>
      <c r="B586" s="74"/>
      <c r="C586" s="74" t="s">
        <v>2775</v>
      </c>
      <c r="D586" s="74" t="s">
        <v>2776</v>
      </c>
      <c r="E586" s="146">
        <v>704024712</v>
      </c>
      <c r="F586" s="7" t="s">
        <v>2746</v>
      </c>
      <c r="G586" s="7"/>
      <c r="H586" s="74" t="s">
        <v>2777</v>
      </c>
      <c r="I586" s="75" t="s">
        <v>41</v>
      </c>
      <c r="J586" s="74" t="s">
        <v>28</v>
      </c>
      <c r="K586" s="74" t="s">
        <v>224</v>
      </c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</row>
    <row r="587" spans="1:36" ht="12.75">
      <c r="A587" s="292"/>
      <c r="B587" s="292"/>
      <c r="C587" s="74" t="s">
        <v>2778</v>
      </c>
      <c r="D587" s="74"/>
      <c r="E587" s="194"/>
      <c r="F587" s="9"/>
      <c r="G587" s="9"/>
      <c r="H587" s="74"/>
      <c r="I587" s="75"/>
      <c r="J587" s="74"/>
      <c r="K587" s="74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</row>
    <row r="588" spans="1:36" ht="12.75">
      <c r="A588" s="74" t="s">
        <v>2779</v>
      </c>
      <c r="B588" s="74"/>
      <c r="C588" s="74" t="s">
        <v>2780</v>
      </c>
      <c r="D588" s="74" t="s">
        <v>1912</v>
      </c>
      <c r="E588" s="146">
        <v>794204071</v>
      </c>
      <c r="F588" s="7" t="s">
        <v>342</v>
      </c>
      <c r="G588" s="7"/>
      <c r="H588" s="74" t="s">
        <v>2781</v>
      </c>
      <c r="I588" s="75" t="s">
        <v>41</v>
      </c>
      <c r="J588" s="251">
        <v>254710453693</v>
      </c>
      <c r="K588" s="96" t="s">
        <v>105</v>
      </c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</row>
    <row r="589" spans="1:36" ht="12.75">
      <c r="A589" s="74" t="s">
        <v>2782</v>
      </c>
      <c r="B589" s="74"/>
      <c r="C589" s="74" t="s">
        <v>2783</v>
      </c>
      <c r="D589" s="74" t="s">
        <v>2551</v>
      </c>
      <c r="E589" s="146">
        <v>793704367</v>
      </c>
      <c r="F589" s="7" t="s">
        <v>2650</v>
      </c>
      <c r="G589" s="7"/>
      <c r="H589" s="74" t="s">
        <v>2651</v>
      </c>
      <c r="I589" s="75" t="s">
        <v>599</v>
      </c>
      <c r="J589" s="74">
        <v>722406595</v>
      </c>
      <c r="K589" s="74" t="s">
        <v>2784</v>
      </c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</row>
    <row r="590" spans="1:36" ht="12.75">
      <c r="A590" s="74" t="s">
        <v>2785</v>
      </c>
      <c r="B590" s="74"/>
      <c r="C590" s="74" t="s">
        <v>2786</v>
      </c>
      <c r="D590" s="74" t="s">
        <v>373</v>
      </c>
      <c r="E590" s="146">
        <v>728615275</v>
      </c>
      <c r="F590" s="7" t="s">
        <v>2787</v>
      </c>
      <c r="G590" s="7"/>
      <c r="H590" s="74"/>
      <c r="I590" s="75"/>
      <c r="J590" s="74"/>
      <c r="K590" s="74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</row>
    <row r="591" spans="1:36" ht="12.75">
      <c r="A591" s="74" t="s">
        <v>2788</v>
      </c>
      <c r="B591" s="74"/>
      <c r="C591" s="74" t="s">
        <v>2789</v>
      </c>
      <c r="D591" s="74" t="s">
        <v>2790</v>
      </c>
      <c r="E591" s="146">
        <v>7071819639</v>
      </c>
      <c r="F591" s="7" t="s">
        <v>2791</v>
      </c>
      <c r="G591" s="7"/>
      <c r="H591" s="74" t="s">
        <v>2792</v>
      </c>
      <c r="I591" s="75" t="s">
        <v>2793</v>
      </c>
      <c r="J591" s="74">
        <v>709900000</v>
      </c>
      <c r="K591" s="96" t="s">
        <v>2794</v>
      </c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</row>
    <row r="592" spans="1:36" ht="12.75">
      <c r="A592" s="74" t="s">
        <v>2795</v>
      </c>
      <c r="B592" s="74"/>
      <c r="C592" s="74" t="s">
        <v>2796</v>
      </c>
      <c r="D592" s="74" t="s">
        <v>2797</v>
      </c>
      <c r="E592" s="146">
        <v>114009091</v>
      </c>
      <c r="F592" s="7" t="s">
        <v>2798</v>
      </c>
      <c r="G592" s="7"/>
      <c r="H592" s="74" t="s">
        <v>2799</v>
      </c>
      <c r="I592" s="75" t="s">
        <v>732</v>
      </c>
      <c r="J592" s="74" t="s">
        <v>2800</v>
      </c>
      <c r="K592" s="74" t="s">
        <v>2801</v>
      </c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</row>
    <row r="593" spans="1:40" ht="12.75">
      <c r="A593" s="74" t="s">
        <v>2802</v>
      </c>
      <c r="B593" s="74"/>
      <c r="C593" s="74" t="s">
        <v>2803</v>
      </c>
      <c r="D593" s="74" t="s">
        <v>2797</v>
      </c>
      <c r="E593" s="146">
        <v>716630103</v>
      </c>
      <c r="F593" s="7" t="s">
        <v>2804</v>
      </c>
      <c r="G593" s="7"/>
      <c r="H593" s="76"/>
      <c r="I593" s="84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</row>
    <row r="594" spans="1:40" ht="12.75">
      <c r="A594" s="74" t="s">
        <v>2805</v>
      </c>
      <c r="B594" s="74"/>
      <c r="C594" s="74" t="s">
        <v>2806</v>
      </c>
      <c r="D594" s="74" t="s">
        <v>2807</v>
      </c>
      <c r="E594" s="146">
        <v>798499074</v>
      </c>
      <c r="F594" s="7" t="s">
        <v>2808</v>
      </c>
      <c r="G594" s="7"/>
      <c r="H594" s="76"/>
      <c r="I594" s="75" t="s">
        <v>237</v>
      </c>
      <c r="J594" s="74" t="s">
        <v>2809</v>
      </c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</row>
    <row r="595" spans="1:40" ht="12.75">
      <c r="A595" s="74" t="s">
        <v>2810</v>
      </c>
      <c r="B595" s="74"/>
      <c r="C595" s="74" t="s">
        <v>2811</v>
      </c>
      <c r="D595" s="74" t="s">
        <v>2797</v>
      </c>
      <c r="E595" s="60">
        <v>115113859</v>
      </c>
      <c r="F595" s="7" t="s">
        <v>2812</v>
      </c>
      <c r="G595" s="7"/>
      <c r="H595" s="74" t="s">
        <v>2813</v>
      </c>
      <c r="I595" s="75" t="s">
        <v>218</v>
      </c>
      <c r="J595" s="74">
        <v>115113859</v>
      </c>
      <c r="K595" s="74" t="s">
        <v>2814</v>
      </c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</row>
    <row r="596" spans="1:40" ht="15">
      <c r="A596" s="74" t="s">
        <v>2815</v>
      </c>
      <c r="B596" s="74"/>
      <c r="C596" s="74" t="s">
        <v>2816</v>
      </c>
      <c r="D596" s="74" t="s">
        <v>242</v>
      </c>
      <c r="E596" s="146">
        <v>700764847</v>
      </c>
      <c r="F596" s="7" t="s">
        <v>2817</v>
      </c>
      <c r="G596" s="7"/>
      <c r="H596" s="74" t="s">
        <v>2818</v>
      </c>
      <c r="I596" s="75" t="s">
        <v>2819</v>
      </c>
      <c r="J596" s="253">
        <f>254794781865</f>
        <v>254794781865</v>
      </c>
      <c r="K596" s="254" t="s">
        <v>2820</v>
      </c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</row>
    <row r="597" spans="1:40" ht="15">
      <c r="A597" s="74" t="s">
        <v>2821</v>
      </c>
      <c r="B597" s="74"/>
      <c r="C597" s="74" t="s">
        <v>2822</v>
      </c>
      <c r="D597" s="74" t="s">
        <v>2823</v>
      </c>
      <c r="E597" s="146">
        <v>728230176</v>
      </c>
      <c r="F597" s="7" t="s">
        <v>2824</v>
      </c>
      <c r="G597" s="7"/>
      <c r="H597" s="74" t="s">
        <v>2825</v>
      </c>
      <c r="I597" s="75" t="s">
        <v>2826</v>
      </c>
      <c r="J597" s="74">
        <v>254722440759</v>
      </c>
      <c r="K597" s="254" t="s">
        <v>2827</v>
      </c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</row>
    <row r="598" spans="1:40" ht="12.75">
      <c r="A598" s="74" t="s">
        <v>2828</v>
      </c>
      <c r="B598" s="74"/>
      <c r="C598" s="74" t="s">
        <v>2829</v>
      </c>
      <c r="D598" s="74" t="s">
        <v>2830</v>
      </c>
      <c r="E598" s="146">
        <v>701378484</v>
      </c>
      <c r="F598" s="7" t="s">
        <v>2831</v>
      </c>
      <c r="G598" s="7"/>
      <c r="H598" s="74" t="s">
        <v>2832</v>
      </c>
      <c r="I598" s="75" t="s">
        <v>2833</v>
      </c>
      <c r="J598" s="74">
        <v>725454019</v>
      </c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</row>
    <row r="599" spans="1:40" ht="12.75">
      <c r="A599" s="74" t="s">
        <v>2834</v>
      </c>
      <c r="B599" s="74"/>
      <c r="C599" s="74" t="s">
        <v>2835</v>
      </c>
      <c r="D599" s="74" t="s">
        <v>2697</v>
      </c>
      <c r="E599" s="146">
        <v>701396967</v>
      </c>
      <c r="F599" s="7" t="s">
        <v>2836</v>
      </c>
      <c r="G599" s="255"/>
      <c r="H599" s="235" t="s">
        <v>2220</v>
      </c>
      <c r="I599" s="236" t="s">
        <v>763</v>
      </c>
      <c r="J599" s="237">
        <v>254723661676</v>
      </c>
      <c r="K599" s="235" t="s">
        <v>2221</v>
      </c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</row>
    <row r="600" spans="1:40" ht="12.75">
      <c r="A600" s="74" t="s">
        <v>2837</v>
      </c>
      <c r="B600" s="74"/>
      <c r="C600" s="74" t="s">
        <v>2838</v>
      </c>
      <c r="D600" s="74" t="s">
        <v>2839</v>
      </c>
      <c r="E600" s="60">
        <v>769846152</v>
      </c>
      <c r="F600" s="7" t="s">
        <v>2840</v>
      </c>
      <c r="G600" s="7"/>
      <c r="H600" s="74" t="s">
        <v>2841</v>
      </c>
      <c r="I600" s="75" t="s">
        <v>793</v>
      </c>
      <c r="J600" s="74">
        <v>706935918</v>
      </c>
      <c r="K600" s="74" t="s">
        <v>334</v>
      </c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</row>
    <row r="601" spans="1:40" ht="12.75">
      <c r="A601" s="74" t="s">
        <v>2842</v>
      </c>
      <c r="B601" s="74"/>
      <c r="C601" s="74" t="s">
        <v>2843</v>
      </c>
      <c r="D601" s="74" t="s">
        <v>2830</v>
      </c>
      <c r="E601" s="146">
        <v>757590245</v>
      </c>
      <c r="F601" s="7" t="s">
        <v>2844</v>
      </c>
      <c r="G601" s="7"/>
      <c r="H601" s="74" t="s">
        <v>719</v>
      </c>
      <c r="I601" s="75" t="s">
        <v>59</v>
      </c>
      <c r="J601" s="74">
        <v>717372188</v>
      </c>
      <c r="K601" s="74" t="s">
        <v>2845</v>
      </c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</row>
    <row r="602" spans="1:40" ht="12.75">
      <c r="A602" s="74" t="s">
        <v>2846</v>
      </c>
      <c r="B602" s="74"/>
      <c r="C602" s="74" t="s">
        <v>2847</v>
      </c>
      <c r="D602" s="74" t="s">
        <v>242</v>
      </c>
      <c r="E602" s="146">
        <v>112333082</v>
      </c>
      <c r="F602" s="7" t="s">
        <v>2848</v>
      </c>
      <c r="G602" s="7"/>
      <c r="H602" s="74" t="s">
        <v>2849</v>
      </c>
      <c r="I602" s="75" t="s">
        <v>2850</v>
      </c>
      <c r="J602" s="74">
        <v>706994617</v>
      </c>
      <c r="K602" s="74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</row>
    <row r="603" spans="1:40" ht="12.75">
      <c r="A603" s="74" t="s">
        <v>2851</v>
      </c>
      <c r="B603" s="74"/>
      <c r="C603" s="74" t="s">
        <v>2852</v>
      </c>
      <c r="D603" s="74" t="s">
        <v>2797</v>
      </c>
      <c r="E603" s="146">
        <v>748679725</v>
      </c>
      <c r="F603" s="7" t="s">
        <v>2853</v>
      </c>
      <c r="G603" s="7"/>
      <c r="H603" s="74" t="s">
        <v>2854</v>
      </c>
      <c r="I603" s="75" t="s">
        <v>887</v>
      </c>
      <c r="J603" s="74">
        <v>720334662</v>
      </c>
      <c r="K603" s="74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</row>
    <row r="604" spans="1:40" ht="12.75">
      <c r="A604" s="74" t="s">
        <v>2855</v>
      </c>
      <c r="B604" s="74"/>
      <c r="C604" s="74" t="s">
        <v>2856</v>
      </c>
      <c r="D604" s="74" t="s">
        <v>2697</v>
      </c>
      <c r="E604" s="146">
        <v>798877339</v>
      </c>
      <c r="F604" s="7" t="s">
        <v>2857</v>
      </c>
      <c r="G604" s="7"/>
      <c r="H604" s="74" t="s">
        <v>2858</v>
      </c>
      <c r="I604" s="75" t="s">
        <v>2859</v>
      </c>
      <c r="J604" s="74"/>
      <c r="K604" s="74" t="s">
        <v>2860</v>
      </c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</row>
    <row r="605" spans="1:40" ht="12.75">
      <c r="A605" s="74" t="s">
        <v>2841</v>
      </c>
      <c r="B605" s="74"/>
      <c r="C605" s="74" t="s">
        <v>2861</v>
      </c>
      <c r="D605" s="74" t="s">
        <v>2862</v>
      </c>
      <c r="E605" s="146">
        <v>798428652</v>
      </c>
      <c r="F605" s="34" t="s">
        <v>2863</v>
      </c>
      <c r="G605" s="34"/>
      <c r="H605" s="74" t="s">
        <v>2864</v>
      </c>
      <c r="I605" s="75" t="s">
        <v>1793</v>
      </c>
      <c r="J605" s="74">
        <v>739758447</v>
      </c>
      <c r="K605" s="74" t="s">
        <v>2865</v>
      </c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</row>
    <row r="606" spans="1:40" ht="12.75">
      <c r="A606" s="74" t="s">
        <v>2866</v>
      </c>
      <c r="B606" s="74"/>
      <c r="C606" s="292" t="s">
        <v>2867</v>
      </c>
      <c r="D606" s="292" t="s">
        <v>2862</v>
      </c>
      <c r="E606" s="293">
        <v>702318407</v>
      </c>
      <c r="F606" s="53" t="s">
        <v>2868</v>
      </c>
      <c r="G606" s="53"/>
      <c r="H606" s="292" t="s">
        <v>2866</v>
      </c>
      <c r="I606" s="75" t="s">
        <v>218</v>
      </c>
      <c r="J606" s="292">
        <v>702318407</v>
      </c>
      <c r="K606" s="292" t="s">
        <v>2869</v>
      </c>
      <c r="L606" s="294"/>
      <c r="M606" s="294"/>
      <c r="N606" s="294"/>
      <c r="O606" s="294"/>
      <c r="P606" s="294"/>
      <c r="Q606" s="294"/>
      <c r="R606" s="294"/>
      <c r="S606" s="294"/>
      <c r="T606" s="294"/>
      <c r="U606" s="294"/>
      <c r="V606" s="294"/>
      <c r="W606" s="294"/>
      <c r="X606" s="294"/>
      <c r="Y606" s="294"/>
      <c r="Z606" s="294"/>
      <c r="AA606" s="294"/>
      <c r="AB606" s="294"/>
      <c r="AC606" s="294"/>
      <c r="AD606" s="294"/>
      <c r="AE606" s="294"/>
      <c r="AF606" s="294"/>
      <c r="AG606" s="294"/>
      <c r="AH606" s="294"/>
      <c r="AI606" s="294"/>
      <c r="AJ606" s="294"/>
      <c r="AK606" s="295"/>
      <c r="AL606" s="295"/>
      <c r="AM606" s="295"/>
      <c r="AN606" s="295"/>
    </row>
    <row r="607" spans="1:40" ht="12.75">
      <c r="A607" s="120" t="s">
        <v>2870</v>
      </c>
      <c r="B607" s="120"/>
      <c r="C607" s="74" t="s">
        <v>2871</v>
      </c>
      <c r="D607" s="74" t="s">
        <v>2275</v>
      </c>
      <c r="E607" s="146">
        <v>791200660</v>
      </c>
      <c r="F607" s="7" t="s">
        <v>2872</v>
      </c>
      <c r="G607" s="7"/>
      <c r="H607" s="74" t="s">
        <v>2873</v>
      </c>
      <c r="I607" s="75" t="s">
        <v>1429</v>
      </c>
      <c r="J607" s="74">
        <v>790084027</v>
      </c>
      <c r="K607" s="74" t="s">
        <v>2874</v>
      </c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</row>
    <row r="608" spans="1:40" ht="12.75">
      <c r="A608" s="74" t="s">
        <v>2875</v>
      </c>
      <c r="B608" s="74"/>
      <c r="C608" s="74" t="s">
        <v>2876</v>
      </c>
      <c r="D608" s="74" t="s">
        <v>1753</v>
      </c>
      <c r="E608" s="146">
        <v>769230216</v>
      </c>
      <c r="F608" s="7" t="s">
        <v>2877</v>
      </c>
      <c r="G608" s="7"/>
      <c r="H608" s="74" t="s">
        <v>2878</v>
      </c>
      <c r="I608" s="75" t="s">
        <v>1218</v>
      </c>
      <c r="J608" s="74">
        <v>202718050</v>
      </c>
      <c r="K608" s="74" t="s">
        <v>2879</v>
      </c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</row>
    <row r="609" spans="1:36" ht="12.75">
      <c r="A609" s="74" t="s">
        <v>2880</v>
      </c>
      <c r="B609" s="74"/>
      <c r="C609" s="74" t="s">
        <v>2881</v>
      </c>
      <c r="D609" s="74" t="s">
        <v>266</v>
      </c>
      <c r="E609" s="146">
        <v>701292607</v>
      </c>
      <c r="F609" s="7" t="s">
        <v>2882</v>
      </c>
      <c r="G609" s="7"/>
      <c r="H609" s="74" t="s">
        <v>2883</v>
      </c>
      <c r="I609" s="75" t="s">
        <v>93</v>
      </c>
      <c r="J609" s="74">
        <v>714853000</v>
      </c>
      <c r="K609" s="74" t="s">
        <v>2884</v>
      </c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</row>
    <row r="610" spans="1:36" ht="12.75">
      <c r="A610" s="74"/>
      <c r="B610" s="74"/>
      <c r="C610" s="74" t="s">
        <v>2885</v>
      </c>
      <c r="D610" s="74" t="s">
        <v>341</v>
      </c>
      <c r="E610" s="146">
        <v>798323729</v>
      </c>
      <c r="F610" s="7" t="s">
        <v>2877</v>
      </c>
      <c r="G610" s="7"/>
      <c r="H610" s="74"/>
      <c r="I610" s="75" t="s">
        <v>218</v>
      </c>
      <c r="J610" s="74">
        <v>202718050</v>
      </c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</row>
    <row r="611" spans="1:36" ht="12.75">
      <c r="A611" s="74" t="s">
        <v>2886</v>
      </c>
      <c r="B611" s="74"/>
      <c r="C611" s="74" t="s">
        <v>2887</v>
      </c>
      <c r="D611" s="74" t="s">
        <v>2797</v>
      </c>
      <c r="E611" s="146">
        <v>794799267</v>
      </c>
      <c r="F611" s="7" t="s">
        <v>2010</v>
      </c>
      <c r="G611" s="7"/>
      <c r="H611" s="74" t="s">
        <v>2011</v>
      </c>
      <c r="I611" s="75" t="s">
        <v>1429</v>
      </c>
      <c r="J611" s="74">
        <v>754900551</v>
      </c>
      <c r="K611" s="74" t="s">
        <v>1892</v>
      </c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</row>
    <row r="612" spans="1:36" ht="12.75">
      <c r="A612" s="74" t="s">
        <v>2888</v>
      </c>
      <c r="B612" s="74"/>
      <c r="C612" s="74" t="s">
        <v>2889</v>
      </c>
      <c r="D612" s="74" t="s">
        <v>2890</v>
      </c>
      <c r="E612" s="146">
        <v>113657979</v>
      </c>
      <c r="F612" s="7" t="s">
        <v>2844</v>
      </c>
      <c r="G612" s="7"/>
      <c r="H612" s="74" t="s">
        <v>2891</v>
      </c>
      <c r="I612" s="75" t="s">
        <v>59</v>
      </c>
      <c r="J612" s="74">
        <v>717372188</v>
      </c>
      <c r="K612" s="74" t="s">
        <v>720</v>
      </c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</row>
    <row r="613" spans="1:36" ht="12.75">
      <c r="A613" s="74" t="s">
        <v>2892</v>
      </c>
      <c r="B613" s="74"/>
      <c r="C613" s="74" t="s">
        <v>2893</v>
      </c>
      <c r="D613" s="74" t="s">
        <v>2894</v>
      </c>
      <c r="E613" s="146">
        <v>726353721</v>
      </c>
      <c r="F613" s="7" t="s">
        <v>2895</v>
      </c>
      <c r="G613" s="7"/>
      <c r="H613" s="74"/>
      <c r="I613" s="75" t="s">
        <v>1886</v>
      </c>
      <c r="J613" s="74">
        <v>202342946</v>
      </c>
      <c r="K613" s="74" t="s">
        <v>2896</v>
      </c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</row>
    <row r="614" spans="1:36" ht="12.75">
      <c r="A614" s="74" t="s">
        <v>2897</v>
      </c>
      <c r="B614" s="74"/>
      <c r="C614" s="74" t="s">
        <v>2898</v>
      </c>
      <c r="D614" s="74" t="s">
        <v>341</v>
      </c>
      <c r="E614" s="146">
        <v>707634769</v>
      </c>
      <c r="F614" s="7" t="s">
        <v>2899</v>
      </c>
      <c r="G614" s="7"/>
      <c r="H614" s="74" t="s">
        <v>2900</v>
      </c>
      <c r="I614" s="75" t="s">
        <v>2901</v>
      </c>
      <c r="J614" s="74">
        <v>734611441</v>
      </c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</row>
    <row r="615" spans="1:36" ht="12.75">
      <c r="A615" s="74" t="s">
        <v>2902</v>
      </c>
      <c r="B615" s="74"/>
      <c r="C615" s="74" t="s">
        <v>2903</v>
      </c>
      <c r="D615" s="74" t="s">
        <v>1753</v>
      </c>
      <c r="E615" s="146">
        <v>794127966</v>
      </c>
      <c r="F615" s="7" t="s">
        <v>2904</v>
      </c>
      <c r="G615" s="7"/>
      <c r="H615" s="74" t="s">
        <v>2905</v>
      </c>
      <c r="I615" s="75" t="s">
        <v>2906</v>
      </c>
      <c r="J615" s="74">
        <v>720953065</v>
      </c>
      <c r="K615" s="74" t="s">
        <v>2907</v>
      </c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</row>
    <row r="616" spans="1:36" ht="12.75">
      <c r="A616" s="74" t="s">
        <v>2908</v>
      </c>
      <c r="B616" s="74"/>
      <c r="C616" s="74" t="s">
        <v>2778</v>
      </c>
      <c r="D616" s="74" t="s">
        <v>1661</v>
      </c>
      <c r="E616" s="146">
        <v>711872165</v>
      </c>
      <c r="F616" s="7" t="s">
        <v>2909</v>
      </c>
      <c r="G616" s="7"/>
      <c r="H616" s="74" t="s">
        <v>2910</v>
      </c>
      <c r="I616" s="75" t="s">
        <v>2906</v>
      </c>
      <c r="J616" s="74">
        <v>720953065</v>
      </c>
      <c r="K616" s="74" t="s">
        <v>2907</v>
      </c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</row>
    <row r="617" spans="1:36" ht="12.75">
      <c r="A617" s="74" t="s">
        <v>2911</v>
      </c>
      <c r="B617" s="74"/>
      <c r="C617" s="74" t="s">
        <v>2912</v>
      </c>
      <c r="D617" s="74" t="s">
        <v>2913</v>
      </c>
      <c r="E617" s="146">
        <v>712897177</v>
      </c>
      <c r="F617" s="7" t="s">
        <v>2914</v>
      </c>
      <c r="G617" s="7"/>
      <c r="H617" s="76"/>
      <c r="I617" s="75" t="s">
        <v>237</v>
      </c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</row>
    <row r="618" spans="1:36" ht="12.75">
      <c r="A618" s="74" t="s">
        <v>2915</v>
      </c>
      <c r="B618" s="74"/>
      <c r="C618" s="74" t="s">
        <v>2916</v>
      </c>
      <c r="D618" s="74" t="s">
        <v>2917</v>
      </c>
      <c r="E618" s="146">
        <v>701592667</v>
      </c>
      <c r="F618" s="7" t="s">
        <v>2918</v>
      </c>
      <c r="G618" s="7"/>
      <c r="H618" s="74" t="s">
        <v>2919</v>
      </c>
      <c r="I618" s="75" t="s">
        <v>2920</v>
      </c>
      <c r="J618" s="74">
        <v>731883362</v>
      </c>
      <c r="K618" s="74" t="s">
        <v>1101</v>
      </c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</row>
    <row r="619" spans="1:36" ht="12.75">
      <c r="A619" s="74" t="s">
        <v>2921</v>
      </c>
      <c r="B619" s="74"/>
      <c r="C619" s="74" t="s">
        <v>2922</v>
      </c>
      <c r="D619" s="74" t="s">
        <v>2684</v>
      </c>
      <c r="E619" s="146">
        <v>746979772</v>
      </c>
      <c r="F619" s="7" t="s">
        <v>2923</v>
      </c>
      <c r="G619" s="7"/>
      <c r="H619" s="76"/>
      <c r="I619" s="75" t="s">
        <v>1245</v>
      </c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</row>
    <row r="620" spans="1:36" ht="12.75">
      <c r="A620" s="74" t="s">
        <v>2924</v>
      </c>
      <c r="B620" s="74"/>
      <c r="C620" s="74" t="s">
        <v>2925</v>
      </c>
      <c r="D620" s="74" t="s">
        <v>2926</v>
      </c>
      <c r="E620" s="146">
        <v>716360768</v>
      </c>
      <c r="F620" s="7" t="s">
        <v>2927</v>
      </c>
      <c r="G620" s="7"/>
      <c r="H620" s="76"/>
      <c r="I620" s="84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</row>
    <row r="621" spans="1:36" ht="12.75">
      <c r="A621" s="74" t="s">
        <v>2928</v>
      </c>
      <c r="B621" s="74"/>
      <c r="C621" s="74" t="s">
        <v>2929</v>
      </c>
      <c r="D621" s="74" t="s">
        <v>2797</v>
      </c>
      <c r="E621" s="146">
        <v>707475539</v>
      </c>
      <c r="F621" s="7" t="s">
        <v>2930</v>
      </c>
      <c r="G621" s="7"/>
      <c r="H621" s="74" t="s">
        <v>2931</v>
      </c>
      <c r="I621" s="75" t="s">
        <v>269</v>
      </c>
      <c r="J621" s="76">
        <f>254722817066</f>
        <v>254722817066</v>
      </c>
      <c r="K621" s="74" t="s">
        <v>2932</v>
      </c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</row>
    <row r="622" spans="1:36" ht="18" customHeight="1">
      <c r="A622" s="74" t="s">
        <v>1017</v>
      </c>
      <c r="B622" s="60"/>
      <c r="C622" s="60" t="s">
        <v>1018</v>
      </c>
      <c r="D622" s="74" t="s">
        <v>2797</v>
      </c>
      <c r="E622" s="157">
        <v>741931126</v>
      </c>
      <c r="F622" s="1" t="s">
        <v>1019</v>
      </c>
      <c r="G622" s="1"/>
      <c r="H622" s="60" t="s">
        <v>1020</v>
      </c>
      <c r="I622" s="88" t="s">
        <v>385</v>
      </c>
      <c r="J622" s="74" t="s">
        <v>1021</v>
      </c>
      <c r="K622" s="60" t="s">
        <v>1022</v>
      </c>
      <c r="L622" s="65"/>
      <c r="M622" s="65"/>
      <c r="N622" s="65"/>
      <c r="O622" s="60"/>
      <c r="P622" s="60"/>
      <c r="Q622" s="60"/>
    </row>
    <row r="623" spans="1:36" ht="12.75">
      <c r="A623" s="74" t="s">
        <v>1555</v>
      </c>
      <c r="B623" s="74"/>
      <c r="C623" s="74" t="s">
        <v>1556</v>
      </c>
      <c r="D623" s="74" t="s">
        <v>273</v>
      </c>
      <c r="E623" s="146">
        <v>790706723</v>
      </c>
      <c r="F623" s="7" t="s">
        <v>1557</v>
      </c>
      <c r="G623" s="7"/>
      <c r="H623" s="74" t="s">
        <v>1558</v>
      </c>
      <c r="I623" s="75" t="s">
        <v>1559</v>
      </c>
      <c r="J623" s="74">
        <v>748424757</v>
      </c>
      <c r="K623" s="76"/>
      <c r="L623" s="74"/>
      <c r="M623" s="74"/>
      <c r="N623" s="74"/>
      <c r="O623" s="74"/>
      <c r="P623" s="74"/>
      <c r="Q623" s="74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</row>
    <row r="624" spans="1:36" ht="12.75">
      <c r="A624" s="74" t="s">
        <v>465</v>
      </c>
      <c r="B624" s="74"/>
      <c r="C624" s="74" t="s">
        <v>2716</v>
      </c>
      <c r="D624" s="74" t="s">
        <v>467</v>
      </c>
      <c r="E624" s="146">
        <v>112685689</v>
      </c>
      <c r="F624" s="7" t="s">
        <v>468</v>
      </c>
      <c r="G624" s="7"/>
      <c r="H624" s="74" t="s">
        <v>469</v>
      </c>
      <c r="I624" s="75" t="s">
        <v>65</v>
      </c>
      <c r="J624" s="74">
        <v>722333776</v>
      </c>
      <c r="K624" s="74" t="s">
        <v>470</v>
      </c>
      <c r="L624" s="74"/>
      <c r="M624" s="74"/>
      <c r="N624" s="74"/>
      <c r="O624" s="74"/>
      <c r="P624" s="76"/>
      <c r="Q624" s="74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</row>
    <row r="625" spans="1:36" ht="12.75">
      <c r="A625" s="74" t="s">
        <v>1297</v>
      </c>
      <c r="B625" s="74"/>
      <c r="C625" s="74" t="s">
        <v>1298</v>
      </c>
      <c r="D625" s="60" t="s">
        <v>1299</v>
      </c>
      <c r="E625" s="146">
        <v>719255861</v>
      </c>
      <c r="F625" s="7" t="s">
        <v>1300</v>
      </c>
      <c r="G625" s="7"/>
      <c r="H625" s="74" t="s">
        <v>1301</v>
      </c>
      <c r="I625" s="75" t="s">
        <v>1302</v>
      </c>
      <c r="J625" s="74">
        <v>721756811</v>
      </c>
      <c r="K625" s="74" t="s">
        <v>1303</v>
      </c>
      <c r="L625" s="74"/>
      <c r="M625" s="74"/>
      <c r="N625" s="74"/>
      <c r="O625" s="74"/>
      <c r="P625" s="76"/>
      <c r="Q625" s="74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</row>
    <row r="626" spans="1:36" ht="12.75">
      <c r="A626" s="74" t="s">
        <v>1383</v>
      </c>
      <c r="B626" s="74"/>
      <c r="C626" s="74" t="s">
        <v>1384</v>
      </c>
      <c r="D626" s="74" t="s">
        <v>1385</v>
      </c>
      <c r="E626" s="146">
        <v>746565579</v>
      </c>
      <c r="F626" s="7" t="s">
        <v>1386</v>
      </c>
      <c r="G626" s="7"/>
      <c r="H626" s="74" t="s">
        <v>1387</v>
      </c>
      <c r="I626" s="75" t="s">
        <v>1245</v>
      </c>
      <c r="J626" s="74">
        <v>790984292</v>
      </c>
      <c r="K626" s="74" t="s">
        <v>1388</v>
      </c>
      <c r="L626" s="74"/>
      <c r="M626" s="74"/>
      <c r="N626" s="74"/>
      <c r="O626" s="74"/>
      <c r="P626" s="74"/>
      <c r="Q626" s="74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</row>
    <row r="627" spans="1:36" ht="12.75">
      <c r="A627" s="74" t="s">
        <v>2933</v>
      </c>
      <c r="B627" s="60"/>
      <c r="C627" s="265" t="s">
        <v>2934</v>
      </c>
      <c r="D627" s="159" t="s">
        <v>31</v>
      </c>
      <c r="E627" s="262">
        <v>708609096</v>
      </c>
      <c r="F627" s="7" t="s">
        <v>32</v>
      </c>
      <c r="G627" s="7"/>
      <c r="H627" s="74" t="s">
        <v>33</v>
      </c>
      <c r="I627" s="75" t="s">
        <v>34</v>
      </c>
      <c r="J627" s="74">
        <v>712547078</v>
      </c>
      <c r="K627" s="82" t="s">
        <v>35</v>
      </c>
      <c r="L627" s="74"/>
      <c r="M627" s="74"/>
      <c r="N627" s="74"/>
      <c r="O627" s="74"/>
      <c r="P627" s="74"/>
      <c r="Q627" s="74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</row>
    <row r="628" spans="1:36" ht="12.75">
      <c r="A628" s="74" t="s">
        <v>499</v>
      </c>
      <c r="B628" s="74"/>
      <c r="C628" s="74" t="s">
        <v>500</v>
      </c>
      <c r="D628" s="74" t="s">
        <v>501</v>
      </c>
      <c r="E628" s="146">
        <v>114558240</v>
      </c>
      <c r="F628" s="7" t="s">
        <v>502</v>
      </c>
      <c r="G628" s="7"/>
      <c r="H628" s="74" t="s">
        <v>503</v>
      </c>
      <c r="I628" s="75" t="s">
        <v>504</v>
      </c>
      <c r="J628" s="74">
        <v>798145347</v>
      </c>
      <c r="K628" s="74" t="s">
        <v>505</v>
      </c>
      <c r="L628" s="74"/>
      <c r="M628" s="74"/>
      <c r="N628" s="74"/>
      <c r="O628" s="74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</row>
    <row r="629" spans="1:36" ht="18.75">
      <c r="A629" s="74" t="s">
        <v>1578</v>
      </c>
      <c r="B629" s="74"/>
      <c r="C629" s="74" t="s">
        <v>1579</v>
      </c>
      <c r="D629" s="74" t="s">
        <v>1580</v>
      </c>
      <c r="E629" s="146">
        <v>725462985</v>
      </c>
      <c r="F629" s="7" t="s">
        <v>1581</v>
      </c>
      <c r="G629" s="7"/>
      <c r="H629" s="74" t="s">
        <v>1582</v>
      </c>
      <c r="I629" s="75" t="s">
        <v>1218</v>
      </c>
      <c r="J629" s="74">
        <v>709987000</v>
      </c>
      <c r="K629" s="74" t="s">
        <v>1583</v>
      </c>
      <c r="L629" s="60"/>
      <c r="M629" s="60"/>
      <c r="N629" s="60"/>
      <c r="O629" s="60"/>
      <c r="P629" s="85"/>
      <c r="Q629" s="8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</row>
    <row r="630" spans="1:36" ht="18.75">
      <c r="A630" s="74" t="s">
        <v>1823</v>
      </c>
      <c r="B630" s="74"/>
      <c r="C630" s="74" t="s">
        <v>1824</v>
      </c>
      <c r="D630" s="74" t="s">
        <v>1825</v>
      </c>
      <c r="E630" s="146">
        <v>784388520</v>
      </c>
      <c r="F630" s="7" t="s">
        <v>1826</v>
      </c>
      <c r="G630" s="7"/>
      <c r="H630" s="76"/>
      <c r="I630" s="84"/>
      <c r="J630" s="76"/>
      <c r="K630" s="76"/>
      <c r="L630" s="60"/>
      <c r="M630" s="60"/>
      <c r="N630" s="60"/>
      <c r="O630" s="60"/>
      <c r="P630" s="85"/>
      <c r="Q630" s="8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</row>
    <row r="631" spans="1:36" ht="12.75">
      <c r="A631" s="74" t="s">
        <v>1347</v>
      </c>
      <c r="B631" s="74"/>
      <c r="C631" s="74" t="s">
        <v>1348</v>
      </c>
      <c r="D631" s="74" t="s">
        <v>1349</v>
      </c>
      <c r="E631" s="146">
        <v>713734602</v>
      </c>
      <c r="F631" s="7" t="s">
        <v>1350</v>
      </c>
      <c r="G631" s="7"/>
      <c r="H631" s="74" t="s">
        <v>1351</v>
      </c>
      <c r="I631" s="75" t="s">
        <v>726</v>
      </c>
      <c r="J631" s="74">
        <v>254704896831</v>
      </c>
      <c r="K631" s="173" t="s">
        <v>1352</v>
      </c>
      <c r="L631" s="74"/>
      <c r="M631" s="74"/>
      <c r="N631" s="74"/>
      <c r="O631" s="74"/>
      <c r="P631" s="74"/>
      <c r="Q631" s="74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</row>
    <row r="632" spans="1:36" ht="12.75">
      <c r="A632" s="74" t="s">
        <v>1149</v>
      </c>
      <c r="B632" s="74"/>
      <c r="C632" s="74" t="s">
        <v>1150</v>
      </c>
      <c r="D632" s="74" t="s">
        <v>1151</v>
      </c>
      <c r="E632" s="157">
        <v>700779642</v>
      </c>
      <c r="F632" s="1" t="s">
        <v>1152</v>
      </c>
      <c r="G632" s="1"/>
      <c r="H632" s="74" t="s">
        <v>1153</v>
      </c>
      <c r="I632" s="88" t="s">
        <v>1154</v>
      </c>
      <c r="J632" s="74">
        <v>713101289</v>
      </c>
      <c r="K632" s="60" t="s">
        <v>1155</v>
      </c>
      <c r="L632" s="60"/>
      <c r="M632" s="60"/>
      <c r="N632" s="60"/>
      <c r="O632" s="60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</row>
    <row r="633" spans="1:36" ht="12.75">
      <c r="A633" s="74" t="s">
        <v>168</v>
      </c>
      <c r="B633" s="74"/>
      <c r="C633" s="98" t="s">
        <v>169</v>
      </c>
      <c r="D633" s="296" t="s">
        <v>170</v>
      </c>
      <c r="E633" s="146">
        <v>254769784597</v>
      </c>
      <c r="F633" s="16" t="s">
        <v>171</v>
      </c>
      <c r="G633" s="16"/>
      <c r="H633" s="98"/>
      <c r="I633" s="100"/>
      <c r="J633" s="98"/>
      <c r="K633" s="74"/>
      <c r="L633" s="74"/>
      <c r="M633" s="74"/>
      <c r="N633" s="74"/>
      <c r="O633" s="74"/>
      <c r="P633" s="74"/>
      <c r="Q633" s="74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</row>
    <row r="634" spans="1:36" ht="12.75">
      <c r="A634" s="74" t="s">
        <v>335</v>
      </c>
      <c r="B634" s="74"/>
      <c r="C634" s="74" t="s">
        <v>336</v>
      </c>
      <c r="D634" s="74" t="s">
        <v>337</v>
      </c>
      <c r="E634" s="146">
        <v>745214781</v>
      </c>
      <c r="F634" s="7" t="s">
        <v>338</v>
      </c>
      <c r="G634" s="7"/>
      <c r="H634" s="74"/>
      <c r="I634" s="75"/>
      <c r="J634" s="74"/>
      <c r="K634" s="74"/>
      <c r="L634" s="90"/>
      <c r="M634" s="90"/>
      <c r="N634" s="90"/>
      <c r="O634" s="90"/>
      <c r="P634" s="74"/>
      <c r="Q634" s="74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</row>
    <row r="635" spans="1:36" ht="12.75">
      <c r="A635" s="74" t="s">
        <v>1365</v>
      </c>
      <c r="B635" s="74"/>
      <c r="C635" s="74" t="s">
        <v>1366</v>
      </c>
      <c r="D635" s="74" t="s">
        <v>1328</v>
      </c>
      <c r="E635" s="146">
        <v>711639421</v>
      </c>
      <c r="F635" s="7" t="s">
        <v>1367</v>
      </c>
      <c r="G635" s="7"/>
      <c r="H635" s="74" t="s">
        <v>1368</v>
      </c>
      <c r="I635" s="75" t="s">
        <v>1369</v>
      </c>
      <c r="J635" s="74">
        <v>702243217</v>
      </c>
      <c r="K635" s="74" t="s">
        <v>1370</v>
      </c>
      <c r="L635" s="74"/>
      <c r="M635" s="74"/>
      <c r="N635" s="74"/>
      <c r="O635" s="74"/>
      <c r="P635" s="74"/>
      <c r="Q635" s="91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</row>
    <row r="636" spans="1:36" ht="12.75">
      <c r="A636" s="74" t="s">
        <v>106</v>
      </c>
      <c r="B636" s="74"/>
      <c r="C636" s="74" t="s">
        <v>107</v>
      </c>
      <c r="D636" s="74" t="s">
        <v>108</v>
      </c>
      <c r="E636" s="146">
        <v>112713144</v>
      </c>
      <c r="F636" s="7" t="s">
        <v>109</v>
      </c>
      <c r="G636" s="7"/>
      <c r="H636" s="74" t="s">
        <v>110</v>
      </c>
      <c r="I636" s="75" t="s">
        <v>111</v>
      </c>
      <c r="J636" s="74">
        <v>729333444</v>
      </c>
      <c r="K636" s="74" t="s">
        <v>112</v>
      </c>
      <c r="L636" s="90"/>
      <c r="M636" s="90"/>
      <c r="N636" s="90"/>
      <c r="O636" s="90"/>
      <c r="P636" s="74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</row>
    <row r="637" spans="1:36" ht="12.75">
      <c r="A637" s="74" t="s">
        <v>1475</v>
      </c>
      <c r="B637" s="74"/>
      <c r="C637" s="74" t="s">
        <v>1476</v>
      </c>
      <c r="D637" s="74" t="s">
        <v>1477</v>
      </c>
      <c r="E637" s="74">
        <v>792959297</v>
      </c>
      <c r="F637" s="74" t="s">
        <v>1478</v>
      </c>
      <c r="G637" s="74"/>
      <c r="H637" s="74" t="s">
        <v>1479</v>
      </c>
      <c r="I637" s="75" t="s">
        <v>218</v>
      </c>
      <c r="J637" s="74">
        <v>715525242</v>
      </c>
      <c r="K637" s="74" t="s">
        <v>1480</v>
      </c>
      <c r="L637" s="74"/>
      <c r="M637" s="74"/>
      <c r="N637" s="74"/>
      <c r="O637" s="74"/>
      <c r="P637" s="74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</row>
    <row r="638" spans="1:36" ht="12.75">
      <c r="A638" s="74" t="s">
        <v>1475</v>
      </c>
      <c r="B638" s="74"/>
      <c r="C638" s="74" t="s">
        <v>1476</v>
      </c>
      <c r="D638" s="74" t="s">
        <v>1477</v>
      </c>
      <c r="E638" s="60">
        <v>792959297</v>
      </c>
      <c r="F638" s="74" t="s">
        <v>1478</v>
      </c>
      <c r="G638" s="74"/>
      <c r="H638" s="74" t="s">
        <v>1479</v>
      </c>
      <c r="I638" s="75" t="s">
        <v>218</v>
      </c>
      <c r="J638" s="74">
        <v>715525242</v>
      </c>
      <c r="K638" s="74" t="s">
        <v>1480</v>
      </c>
      <c r="L638" s="74"/>
      <c r="M638" s="74"/>
      <c r="N638" s="74"/>
      <c r="O638" s="74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</row>
    <row r="639" spans="1:36" ht="12.75">
      <c r="A639" s="103" t="s">
        <v>1475</v>
      </c>
      <c r="B639" s="103"/>
      <c r="C639" s="103" t="s">
        <v>1476</v>
      </c>
      <c r="D639" s="103" t="s">
        <v>1476</v>
      </c>
      <c r="E639" s="194"/>
      <c r="F639" s="108" t="s">
        <v>1478</v>
      </c>
      <c r="G639" s="108"/>
      <c r="H639" s="103" t="s">
        <v>1481</v>
      </c>
      <c r="I639" s="104" t="s">
        <v>218</v>
      </c>
      <c r="J639" s="105">
        <f>254715525242</f>
        <v>254715525242</v>
      </c>
      <c r="K639" s="103" t="s">
        <v>1480</v>
      </c>
      <c r="L639" s="74"/>
      <c r="M639" s="74"/>
      <c r="N639" s="74"/>
      <c r="O639" s="74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</row>
    <row r="640" spans="1:36" ht="12.75">
      <c r="A640" s="297" t="s">
        <v>1227</v>
      </c>
      <c r="B640" s="297"/>
      <c r="C640" s="159" t="s">
        <v>206</v>
      </c>
      <c r="D640" s="159" t="s">
        <v>529</v>
      </c>
      <c r="E640" s="298">
        <v>742057152</v>
      </c>
      <c r="F640" s="1" t="s">
        <v>1228</v>
      </c>
      <c r="G640" s="1"/>
      <c r="H640" s="60" t="s">
        <v>1229</v>
      </c>
      <c r="I640" s="88" t="s">
        <v>1230</v>
      </c>
      <c r="J640" s="60">
        <f>254710816305</f>
        <v>254710816305</v>
      </c>
      <c r="K640" s="60" t="s">
        <v>1231</v>
      </c>
    </row>
    <row r="641" spans="1:36" ht="12.75">
      <c r="A641" s="74" t="s">
        <v>865</v>
      </c>
      <c r="B641" s="74"/>
      <c r="C641" s="74" t="s">
        <v>866</v>
      </c>
      <c r="D641" s="60" t="s">
        <v>301</v>
      </c>
      <c r="E641" s="157">
        <v>740202630</v>
      </c>
      <c r="F641" s="7" t="s">
        <v>867</v>
      </c>
      <c r="G641" s="7"/>
      <c r="H641" s="74" t="s">
        <v>868</v>
      </c>
      <c r="I641" s="75" t="s">
        <v>869</v>
      </c>
      <c r="J641" s="74">
        <v>711060540</v>
      </c>
      <c r="K641" s="74" t="s">
        <v>870</v>
      </c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</row>
    <row r="642" spans="1:36" ht="12.75">
      <c r="A642" s="60" t="s">
        <v>683</v>
      </c>
      <c r="B642" s="60"/>
      <c r="C642" s="74" t="s">
        <v>684</v>
      </c>
      <c r="D642" s="74" t="s">
        <v>330</v>
      </c>
      <c r="E642" s="146">
        <v>713162836</v>
      </c>
      <c r="F642" s="7" t="s">
        <v>685</v>
      </c>
      <c r="G642" s="7"/>
      <c r="H642" s="74" t="s">
        <v>686</v>
      </c>
      <c r="I642" s="75" t="s">
        <v>687</v>
      </c>
      <c r="J642" s="74">
        <v>716278428</v>
      </c>
      <c r="K642" s="74" t="s">
        <v>688</v>
      </c>
      <c r="L642" s="74"/>
      <c r="M642" s="74"/>
      <c r="N642" s="74"/>
      <c r="O642" s="74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</row>
    <row r="643" spans="1:36" ht="12.75">
      <c r="A643" s="74" t="s">
        <v>1640</v>
      </c>
      <c r="B643" s="74"/>
      <c r="C643" s="74" t="s">
        <v>1641</v>
      </c>
      <c r="D643" s="74" t="s">
        <v>501</v>
      </c>
      <c r="E643" s="146">
        <v>113426979</v>
      </c>
      <c r="F643" s="7" t="s">
        <v>1642</v>
      </c>
      <c r="G643" s="7"/>
      <c r="H643" s="74" t="s">
        <v>1643</v>
      </c>
      <c r="I643" s="75" t="s">
        <v>218</v>
      </c>
      <c r="J643" s="74">
        <v>703360107</v>
      </c>
      <c r="K643" s="74">
        <v>703360107</v>
      </c>
      <c r="L643" s="74"/>
      <c r="M643" s="74"/>
      <c r="N643" s="74"/>
      <c r="O643" s="74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</row>
    <row r="644" spans="1:36" ht="12.75">
      <c r="A644" s="74" t="s">
        <v>602</v>
      </c>
      <c r="B644" s="74"/>
      <c r="C644" s="74" t="s">
        <v>603</v>
      </c>
      <c r="D644" s="74" t="s">
        <v>604</v>
      </c>
      <c r="E644" s="146">
        <v>111557959</v>
      </c>
      <c r="F644" s="7" t="s">
        <v>605</v>
      </c>
      <c r="G644" s="7"/>
      <c r="H644" s="74" t="s">
        <v>606</v>
      </c>
      <c r="I644" s="75" t="s">
        <v>607</v>
      </c>
      <c r="J644" s="74">
        <v>727248680</v>
      </c>
      <c r="K644" s="74" t="s">
        <v>608</v>
      </c>
      <c r="L644" s="74"/>
      <c r="M644" s="74"/>
      <c r="N644" s="74"/>
      <c r="O644" s="74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</row>
    <row r="645" spans="1:36" ht="14.25">
      <c r="A645" s="103" t="s">
        <v>1405</v>
      </c>
      <c r="B645" s="103"/>
      <c r="C645" s="118" t="s">
        <v>1406</v>
      </c>
      <c r="D645" s="74" t="s">
        <v>1407</v>
      </c>
      <c r="E645" s="146">
        <v>111230353</v>
      </c>
      <c r="F645" s="74" t="s">
        <v>1408</v>
      </c>
      <c r="G645" s="74"/>
      <c r="H645" s="74" t="s">
        <v>1409</v>
      </c>
      <c r="I645" s="75" t="s">
        <v>1410</v>
      </c>
      <c r="J645" s="177" t="s">
        <v>1411</v>
      </c>
      <c r="K645" s="74" t="s">
        <v>1412</v>
      </c>
      <c r="L645" s="74"/>
      <c r="M645" s="74"/>
      <c r="N645" s="74"/>
      <c r="O645" s="74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</row>
    <row r="646" spans="1:36" ht="12.75">
      <c r="A646" s="60" t="s">
        <v>1413</v>
      </c>
      <c r="B646" s="60"/>
      <c r="C646" s="60" t="s">
        <v>1414</v>
      </c>
      <c r="D646" s="60" t="s">
        <v>1415</v>
      </c>
      <c r="E646" s="146">
        <v>254769884890</v>
      </c>
      <c r="F646" s="7" t="s">
        <v>1416</v>
      </c>
      <c r="G646" s="7"/>
      <c r="H646" s="74" t="s">
        <v>1417</v>
      </c>
      <c r="I646" s="75" t="s">
        <v>237</v>
      </c>
      <c r="J646" s="60">
        <v>732514883</v>
      </c>
      <c r="K646" s="74" t="s">
        <v>1418</v>
      </c>
      <c r="L646" s="74"/>
      <c r="M646" s="74"/>
      <c r="N646" s="74"/>
      <c r="O646" s="74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</row>
    <row r="647" spans="1:36" ht="12.75">
      <c r="A647" s="74" t="s">
        <v>671</v>
      </c>
      <c r="B647" s="74"/>
      <c r="C647" s="74" t="s">
        <v>672</v>
      </c>
      <c r="D647" s="74" t="s">
        <v>673</v>
      </c>
      <c r="E647" s="146" t="s">
        <v>674</v>
      </c>
      <c r="F647" s="7" t="s">
        <v>675</v>
      </c>
      <c r="G647" s="7"/>
      <c r="H647" s="74" t="s">
        <v>676</v>
      </c>
      <c r="I647" s="75" t="s">
        <v>677</v>
      </c>
      <c r="J647" s="74">
        <v>254727592119</v>
      </c>
      <c r="K647" s="74" t="s">
        <v>678</v>
      </c>
      <c r="L647" s="74"/>
      <c r="M647" s="74"/>
      <c r="N647" s="74"/>
      <c r="O647" s="74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</row>
    <row r="648" spans="1:36" ht="12.75">
      <c r="A648" s="74" t="s">
        <v>1425</v>
      </c>
      <c r="B648" s="74"/>
      <c r="C648" s="74" t="s">
        <v>1426</v>
      </c>
      <c r="D648" s="74" t="s">
        <v>301</v>
      </c>
      <c r="E648" s="146">
        <v>791334536</v>
      </c>
      <c r="F648" s="7" t="s">
        <v>1427</v>
      </c>
      <c r="G648" s="7"/>
      <c r="H648" s="74" t="s">
        <v>1428</v>
      </c>
      <c r="I648" s="75" t="s">
        <v>1429</v>
      </c>
      <c r="J648" s="111">
        <v>739465082</v>
      </c>
      <c r="K648" s="74" t="s">
        <v>1430</v>
      </c>
      <c r="L648" s="74"/>
      <c r="M648" s="74"/>
      <c r="N648" s="74"/>
      <c r="O648" s="74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</row>
    <row r="649" spans="1:36" ht="12.75">
      <c r="A649" s="60" t="s">
        <v>2935</v>
      </c>
      <c r="B649" s="60"/>
      <c r="C649" s="60" t="s">
        <v>2936</v>
      </c>
      <c r="D649" s="60" t="s">
        <v>691</v>
      </c>
      <c r="E649" s="146">
        <v>769504262</v>
      </c>
      <c r="F649" s="7" t="s">
        <v>2937</v>
      </c>
      <c r="G649" s="7"/>
      <c r="H649" s="74" t="s">
        <v>2938</v>
      </c>
      <c r="I649" s="75" t="s">
        <v>218</v>
      </c>
      <c r="J649" s="299">
        <v>729444999</v>
      </c>
      <c r="K649" s="74" t="s">
        <v>3564</v>
      </c>
      <c r="L649" s="74"/>
      <c r="M649" s="74"/>
      <c r="N649" s="74"/>
      <c r="O649" s="74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</row>
    <row r="650" spans="1:36" ht="12.75">
      <c r="A650" s="108" t="s">
        <v>200</v>
      </c>
      <c r="B650" s="108"/>
      <c r="C650" s="108" t="s">
        <v>201</v>
      </c>
      <c r="D650" s="108" t="s">
        <v>201</v>
      </c>
      <c r="E650" s="267"/>
      <c r="F650" s="108" t="s">
        <v>202</v>
      </c>
      <c r="G650" s="108"/>
      <c r="I650" s="109" t="s">
        <v>203</v>
      </c>
      <c r="J650" s="110">
        <v>720175015</v>
      </c>
      <c r="K650" s="103" t="s">
        <v>204</v>
      </c>
      <c r="L650" s="74"/>
      <c r="M650" s="74"/>
      <c r="N650" s="74"/>
      <c r="O650" s="74"/>
      <c r="P650" s="74"/>
      <c r="Q650" s="74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</row>
    <row r="651" spans="1:36" ht="12.75">
      <c r="A651" s="60" t="s">
        <v>626</v>
      </c>
      <c r="B651" s="60"/>
      <c r="C651" s="60" t="s">
        <v>627</v>
      </c>
      <c r="D651" s="60" t="s">
        <v>628</v>
      </c>
      <c r="E651" s="157">
        <v>111503727</v>
      </c>
      <c r="F651" s="1" t="s">
        <v>629</v>
      </c>
      <c r="G651" s="1"/>
      <c r="H651" s="60" t="s">
        <v>630</v>
      </c>
      <c r="I651" s="88" t="s">
        <v>218</v>
      </c>
      <c r="J651" s="212">
        <v>254207903260</v>
      </c>
      <c r="K651" s="74" t="s">
        <v>631</v>
      </c>
      <c r="L651" s="74"/>
      <c r="M651" s="74"/>
      <c r="N651" s="74"/>
      <c r="O651" s="74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</row>
    <row r="652" spans="1:36" ht="12.75">
      <c r="A652" s="74" t="s">
        <v>626</v>
      </c>
      <c r="B652" s="74"/>
      <c r="C652" s="74" t="s">
        <v>627</v>
      </c>
      <c r="D652" s="74" t="s">
        <v>628</v>
      </c>
      <c r="E652" s="146">
        <v>111503727</v>
      </c>
      <c r="F652" s="7" t="s">
        <v>629</v>
      </c>
      <c r="G652" s="7"/>
      <c r="H652" s="74" t="s">
        <v>630</v>
      </c>
      <c r="I652" s="75" t="s">
        <v>218</v>
      </c>
      <c r="J652" s="76">
        <v>254207903260</v>
      </c>
      <c r="K652" s="74" t="s">
        <v>631</v>
      </c>
      <c r="L652" s="74"/>
      <c r="M652" s="74"/>
      <c r="N652" s="74"/>
      <c r="O652" s="74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</row>
    <row r="653" spans="1:36" ht="12.75">
      <c r="A653" s="74" t="s">
        <v>1768</v>
      </c>
      <c r="B653" s="74"/>
      <c r="C653" s="74" t="s">
        <v>1769</v>
      </c>
      <c r="D653" s="74" t="s">
        <v>1770</v>
      </c>
      <c r="E653" s="146">
        <v>740953711</v>
      </c>
      <c r="F653" s="7" t="s">
        <v>1771</v>
      </c>
      <c r="G653" s="7"/>
      <c r="H653" s="74" t="s">
        <v>1772</v>
      </c>
      <c r="I653" s="75" t="s">
        <v>1773</v>
      </c>
      <c r="J653" s="60">
        <v>715663018</v>
      </c>
      <c r="K653" s="74" t="s">
        <v>1774</v>
      </c>
      <c r="L653" s="74"/>
      <c r="M653" s="74"/>
      <c r="N653" s="74"/>
      <c r="O653" s="74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</row>
    <row r="654" spans="1:36" ht="12.75">
      <c r="A654" s="74" t="s">
        <v>1023</v>
      </c>
      <c r="B654" s="74"/>
      <c r="C654" s="74" t="s">
        <v>1024</v>
      </c>
      <c r="D654" s="74" t="s">
        <v>1025</v>
      </c>
      <c r="E654" s="146">
        <v>768551090</v>
      </c>
      <c r="F654" s="7" t="s">
        <v>1026</v>
      </c>
      <c r="G654" s="7"/>
      <c r="H654" s="74" t="s">
        <v>1027</v>
      </c>
      <c r="I654" s="147" t="s">
        <v>1028</v>
      </c>
      <c r="J654" s="146">
        <v>797860600</v>
      </c>
      <c r="K654" s="74" t="s">
        <v>1029</v>
      </c>
      <c r="L654" s="74"/>
      <c r="M654" s="74"/>
      <c r="N654" s="74"/>
      <c r="O654" s="74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</row>
    <row r="655" spans="1:36" ht="12.75">
      <c r="A655" s="74" t="s">
        <v>701</v>
      </c>
      <c r="B655" s="74"/>
      <c r="C655" s="74" t="s">
        <v>702</v>
      </c>
      <c r="D655" s="74" t="s">
        <v>62</v>
      </c>
      <c r="E655" s="146">
        <v>706684022</v>
      </c>
      <c r="F655" s="7" t="s">
        <v>703</v>
      </c>
      <c r="G655" s="7"/>
      <c r="H655" s="74" t="s">
        <v>704</v>
      </c>
      <c r="I655" s="75" t="s">
        <v>705</v>
      </c>
      <c r="J655" s="74">
        <v>728226333</v>
      </c>
      <c r="K655" s="74" t="s">
        <v>129</v>
      </c>
      <c r="L655" s="74"/>
      <c r="M655" s="74"/>
      <c r="N655" s="74"/>
      <c r="O655" s="74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</row>
    <row r="656" spans="1:36" ht="12.75">
      <c r="A656" s="60" t="s">
        <v>123</v>
      </c>
      <c r="B656" s="60"/>
      <c r="C656" s="74" t="s">
        <v>124</v>
      </c>
      <c r="D656" s="74" t="s">
        <v>125</v>
      </c>
      <c r="E656" s="146">
        <v>706083236</v>
      </c>
      <c r="F656" s="74" t="s">
        <v>126</v>
      </c>
      <c r="G656" s="74"/>
      <c r="H656" s="74" t="s">
        <v>127</v>
      </c>
      <c r="I656" s="75" t="s">
        <v>128</v>
      </c>
      <c r="J656" s="74">
        <v>728226333</v>
      </c>
      <c r="K656" s="74" t="s">
        <v>129</v>
      </c>
      <c r="L656" s="74"/>
      <c r="M656" s="74"/>
      <c r="N656" s="74"/>
      <c r="O656" s="74"/>
      <c r="P656" s="74"/>
      <c r="Q656" s="74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</row>
    <row r="657" spans="1:36" ht="12.75">
      <c r="A657" s="74" t="s">
        <v>1754</v>
      </c>
      <c r="B657" s="74"/>
      <c r="C657" s="74" t="s">
        <v>1755</v>
      </c>
      <c r="D657" s="74" t="s">
        <v>1756</v>
      </c>
      <c r="E657" s="146">
        <v>254114559812</v>
      </c>
      <c r="F657" s="7" t="s">
        <v>1757</v>
      </c>
      <c r="G657" s="7"/>
      <c r="H657" s="76"/>
      <c r="I657" s="84"/>
      <c r="J657" s="76"/>
      <c r="K657" s="76"/>
      <c r="L657" s="74"/>
      <c r="M657" s="74"/>
      <c r="N657" s="74"/>
      <c r="O657" s="74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</row>
    <row r="658" spans="1:36" ht="12.75">
      <c r="A658" s="74" t="s">
        <v>1374</v>
      </c>
      <c r="B658" s="74"/>
      <c r="C658" s="74" t="s">
        <v>1375</v>
      </c>
      <c r="D658" s="74" t="s">
        <v>1376</v>
      </c>
      <c r="E658" s="146">
        <v>792422561</v>
      </c>
      <c r="F658" s="7" t="s">
        <v>1377</v>
      </c>
      <c r="G658" s="7"/>
      <c r="H658" s="76"/>
      <c r="I658" s="84"/>
      <c r="J658" s="76"/>
      <c r="K658" s="76"/>
      <c r="L658" s="74"/>
      <c r="M658" s="74"/>
      <c r="N658" s="74"/>
      <c r="O658" s="74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</row>
    <row r="659" spans="1:36" ht="25.5">
      <c r="A659" s="264" t="s">
        <v>1162</v>
      </c>
      <c r="B659" s="264"/>
      <c r="C659" s="264" t="s">
        <v>1163</v>
      </c>
      <c r="D659" s="264" t="s">
        <v>1116</v>
      </c>
      <c r="E659" s="262">
        <v>115605859</v>
      </c>
      <c r="F659" s="7" t="s">
        <v>1164</v>
      </c>
      <c r="G659" s="7"/>
      <c r="H659" s="74" t="s">
        <v>1165</v>
      </c>
      <c r="I659" s="75" t="s">
        <v>1166</v>
      </c>
      <c r="J659" s="74">
        <v>717627108</v>
      </c>
      <c r="K659" s="90" t="s">
        <v>526</v>
      </c>
      <c r="L659" s="74"/>
      <c r="M659" s="74"/>
      <c r="N659" s="74"/>
      <c r="O659" s="74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</row>
    <row r="660" spans="1:36" ht="18">
      <c r="A660" s="74" t="s">
        <v>1378</v>
      </c>
      <c r="B660" s="74"/>
      <c r="C660" s="74" t="s">
        <v>1379</v>
      </c>
      <c r="D660" s="74" t="s">
        <v>475</v>
      </c>
      <c r="E660" s="146">
        <v>743367267</v>
      </c>
      <c r="F660" s="7" t="s">
        <v>1380</v>
      </c>
      <c r="G660" s="7"/>
      <c r="H660" s="74" t="s">
        <v>1381</v>
      </c>
      <c r="I660" s="75" t="s">
        <v>1382</v>
      </c>
      <c r="J660" s="74">
        <v>723583259</v>
      </c>
      <c r="K660" s="174" t="s">
        <v>224</v>
      </c>
      <c r="L660" s="74"/>
      <c r="M660" s="74"/>
      <c r="N660" s="74"/>
      <c r="O660" s="74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</row>
    <row r="661" spans="1:36" ht="12.75">
      <c r="A661" s="98" t="s">
        <v>618</v>
      </c>
      <c r="B661" s="98"/>
      <c r="C661" s="74" t="s">
        <v>619</v>
      </c>
      <c r="D661" s="74" t="s">
        <v>475</v>
      </c>
      <c r="E661" s="146" t="s">
        <v>620</v>
      </c>
      <c r="F661" s="7" t="s">
        <v>621</v>
      </c>
      <c r="G661" s="7"/>
      <c r="H661" s="74" t="s">
        <v>622</v>
      </c>
      <c r="I661" s="75" t="s">
        <v>623</v>
      </c>
      <c r="J661" s="74" t="s">
        <v>624</v>
      </c>
      <c r="K661" s="74" t="s">
        <v>625</v>
      </c>
      <c r="L661" s="74"/>
      <c r="M661" s="74"/>
      <c r="N661" s="74"/>
      <c r="O661" s="74"/>
      <c r="P661" s="74"/>
      <c r="Q661" s="74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</row>
    <row r="662" spans="1:36" ht="12.75">
      <c r="A662" s="74" t="s">
        <v>277</v>
      </c>
      <c r="B662" s="74"/>
      <c r="C662" s="74" t="s">
        <v>278</v>
      </c>
      <c r="D662" s="98" t="s">
        <v>279</v>
      </c>
      <c r="E662" s="146">
        <v>254114760545</v>
      </c>
      <c r="F662" s="7" t="s">
        <v>280</v>
      </c>
      <c r="G662" s="7"/>
      <c r="H662" s="76"/>
      <c r="I662" s="84"/>
      <c r="J662" s="76"/>
      <c r="K662" s="76"/>
      <c r="L662" s="74"/>
      <c r="M662" s="74"/>
      <c r="N662" s="74"/>
      <c r="O662" s="74"/>
      <c r="P662" s="74"/>
      <c r="Q662" s="74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</row>
    <row r="663" spans="1:36" ht="25.5">
      <c r="A663" s="264" t="s">
        <v>520</v>
      </c>
      <c r="B663" s="264"/>
      <c r="C663" s="264" t="s">
        <v>521</v>
      </c>
      <c r="D663" s="264" t="s">
        <v>522</v>
      </c>
      <c r="E663" s="262">
        <v>798833762</v>
      </c>
      <c r="F663" s="138" t="s">
        <v>523</v>
      </c>
      <c r="G663" s="138"/>
      <c r="H663" s="74" t="s">
        <v>524</v>
      </c>
      <c r="I663" s="75" t="s">
        <v>525</v>
      </c>
      <c r="J663" s="74">
        <v>717627108</v>
      </c>
      <c r="K663" s="90" t="s">
        <v>526</v>
      </c>
      <c r="L663" s="74"/>
      <c r="M663" s="74"/>
      <c r="N663" s="74"/>
      <c r="O663" s="74"/>
      <c r="P663" s="74"/>
      <c r="Q663" s="74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</row>
    <row r="664" spans="1:36" ht="12.75">
      <c r="A664" s="74" t="s">
        <v>715</v>
      </c>
      <c r="B664" s="74"/>
      <c r="C664" s="74" t="s">
        <v>716</v>
      </c>
      <c r="D664" s="74" t="s">
        <v>717</v>
      </c>
      <c r="E664" s="146">
        <v>746800549</v>
      </c>
      <c r="F664" s="74" t="s">
        <v>2940</v>
      </c>
      <c r="G664" s="74"/>
      <c r="H664" s="74" t="s">
        <v>719</v>
      </c>
      <c r="I664" s="75" t="s">
        <v>59</v>
      </c>
      <c r="J664" s="74">
        <v>717372188</v>
      </c>
      <c r="K664" s="74" t="s">
        <v>720</v>
      </c>
      <c r="L664" s="74"/>
      <c r="M664" s="74"/>
      <c r="N664" s="74"/>
      <c r="O664" s="74"/>
      <c r="P664" s="74"/>
      <c r="Q664" s="74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</row>
    <row r="665" spans="1:36" ht="12.75">
      <c r="A665" s="74" t="s">
        <v>1682</v>
      </c>
      <c r="B665" s="74"/>
      <c r="C665" s="74" t="s">
        <v>1683</v>
      </c>
      <c r="D665" s="74" t="s">
        <v>891</v>
      </c>
      <c r="E665" s="146">
        <v>769790972</v>
      </c>
      <c r="F665" s="7" t="s">
        <v>1684</v>
      </c>
      <c r="G665" s="7"/>
      <c r="H665" s="74" t="s">
        <v>1685</v>
      </c>
      <c r="I665" s="75" t="s">
        <v>1686</v>
      </c>
      <c r="J665" s="74">
        <v>206676999</v>
      </c>
      <c r="K665" s="74" t="s">
        <v>924</v>
      </c>
      <c r="L665" s="74"/>
      <c r="M665" s="74"/>
      <c r="N665" s="74"/>
      <c r="O665" s="74"/>
      <c r="P665" s="74"/>
      <c r="Q665" s="74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</row>
    <row r="666" spans="1:36" ht="12.75">
      <c r="A666" s="74" t="s">
        <v>1259</v>
      </c>
      <c r="B666" s="74"/>
      <c r="C666" s="74" t="s">
        <v>1260</v>
      </c>
      <c r="D666" s="74" t="s">
        <v>341</v>
      </c>
      <c r="E666" s="146">
        <v>701566448</v>
      </c>
      <c r="F666" s="7" t="s">
        <v>1262</v>
      </c>
      <c r="G666" s="7"/>
      <c r="H666" s="74" t="s">
        <v>2035</v>
      </c>
      <c r="I666" s="75" t="s">
        <v>1263</v>
      </c>
      <c r="J666" s="74">
        <v>7202582237</v>
      </c>
      <c r="K666" s="74" t="s">
        <v>180</v>
      </c>
      <c r="L666" s="74"/>
      <c r="M666" s="74"/>
      <c r="N666" s="74"/>
      <c r="O666" s="74"/>
      <c r="P666" s="74"/>
      <c r="Q666" s="74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</row>
    <row r="667" spans="1:36" ht="12.75">
      <c r="A667" s="74" t="s">
        <v>991</v>
      </c>
      <c r="B667" s="74"/>
      <c r="C667" s="74" t="s">
        <v>992</v>
      </c>
      <c r="D667" s="74" t="s">
        <v>341</v>
      </c>
      <c r="E667" s="146">
        <v>706684040</v>
      </c>
      <c r="F667" s="7" t="s">
        <v>993</v>
      </c>
      <c r="G667" s="7"/>
      <c r="H667" s="74" t="s">
        <v>994</v>
      </c>
      <c r="I667" s="75" t="s">
        <v>269</v>
      </c>
      <c r="J667" s="74">
        <v>706684040</v>
      </c>
      <c r="K667" s="74" t="s">
        <v>995</v>
      </c>
      <c r="L667" s="74"/>
      <c r="M667" s="74"/>
      <c r="N667" s="74"/>
      <c r="O667" s="74"/>
      <c r="P667" s="74"/>
      <c r="Q667" s="74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</row>
    <row r="668" spans="1:36" ht="12.75">
      <c r="A668" s="74" t="s">
        <v>1431</v>
      </c>
      <c r="B668" s="74"/>
      <c r="C668" s="74" t="s">
        <v>1432</v>
      </c>
      <c r="D668" s="74" t="s">
        <v>1433</v>
      </c>
      <c r="E668" s="146">
        <v>702780880</v>
      </c>
      <c r="F668" s="7" t="s">
        <v>1434</v>
      </c>
      <c r="G668" s="7"/>
      <c r="H668" s="74" t="s">
        <v>1133</v>
      </c>
      <c r="I668" s="75" t="s">
        <v>223</v>
      </c>
      <c r="J668" s="74">
        <v>7202582237</v>
      </c>
      <c r="K668" s="74" t="s">
        <v>180</v>
      </c>
      <c r="L668" s="74"/>
      <c r="M668" s="74"/>
      <c r="N668" s="74"/>
      <c r="O668" s="74"/>
      <c r="P668" s="74"/>
      <c r="Q668" s="74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</row>
    <row r="669" spans="1:36" ht="12.75">
      <c r="A669" s="74" t="s">
        <v>1746</v>
      </c>
      <c r="B669" s="74"/>
      <c r="C669" s="74" t="s">
        <v>1747</v>
      </c>
      <c r="D669" s="74" t="s">
        <v>301</v>
      </c>
      <c r="E669" s="146">
        <v>799997183</v>
      </c>
      <c r="F669" s="7" t="s">
        <v>1748</v>
      </c>
      <c r="G669" s="7"/>
      <c r="H669" s="74" t="s">
        <v>1749</v>
      </c>
      <c r="I669" s="75" t="s">
        <v>677</v>
      </c>
      <c r="J669" s="74">
        <v>725393939</v>
      </c>
      <c r="K669" s="74" t="s">
        <v>1750</v>
      </c>
      <c r="L669" s="74"/>
      <c r="M669" s="74"/>
      <c r="N669" s="74"/>
      <c r="O669" s="74"/>
      <c r="P669" s="74"/>
      <c r="Q669" s="74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</row>
    <row r="670" spans="1:36" ht="12.75">
      <c r="A670" s="74" t="s">
        <v>1358</v>
      </c>
      <c r="B670" s="74"/>
      <c r="C670" s="74" t="s">
        <v>1359</v>
      </c>
      <c r="D670" s="74" t="s">
        <v>1360</v>
      </c>
      <c r="E670" s="146">
        <v>791858089</v>
      </c>
      <c r="F670" s="7" t="s">
        <v>1361</v>
      </c>
      <c r="G670" s="7"/>
      <c r="H670" s="74" t="s">
        <v>1362</v>
      </c>
      <c r="I670" s="75" t="s">
        <v>1363</v>
      </c>
      <c r="J670" s="74">
        <v>725393939</v>
      </c>
      <c r="K670" s="74" t="s">
        <v>1364</v>
      </c>
      <c r="L670" s="74"/>
      <c r="M670" s="74"/>
      <c r="N670" s="74"/>
      <c r="O670" s="74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</row>
    <row r="671" spans="1:36" ht="12.75">
      <c r="A671" s="74" t="s">
        <v>747</v>
      </c>
      <c r="B671" s="74"/>
      <c r="C671" s="74" t="s">
        <v>748</v>
      </c>
      <c r="D671" s="263" t="s">
        <v>749</v>
      </c>
      <c r="E671" s="194">
        <v>254111639419</v>
      </c>
      <c r="F671" s="7" t="s">
        <v>750</v>
      </c>
      <c r="G671" s="7"/>
      <c r="H671" s="74" t="s">
        <v>751</v>
      </c>
      <c r="I671" s="75" t="s">
        <v>752</v>
      </c>
      <c r="J671" s="74">
        <v>724280219</v>
      </c>
      <c r="K671" s="74"/>
      <c r="L671" s="74"/>
      <c r="M671" s="74"/>
      <c r="N671" s="74"/>
      <c r="O671" s="74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</row>
    <row r="672" spans="1:36" ht="12.75">
      <c r="A672" s="273" t="s">
        <v>925</v>
      </c>
      <c r="B672" s="273"/>
      <c r="C672" s="74" t="s">
        <v>926</v>
      </c>
      <c r="D672" s="74" t="s">
        <v>78</v>
      </c>
      <c r="E672" s="146">
        <v>254713319696</v>
      </c>
      <c r="F672" s="7" t="s">
        <v>927</v>
      </c>
      <c r="G672" s="7"/>
      <c r="H672" s="74" t="s">
        <v>2941</v>
      </c>
      <c r="I672" s="75" t="s">
        <v>929</v>
      </c>
      <c r="J672" s="74">
        <v>254727961801</v>
      </c>
      <c r="K672" s="74" t="s">
        <v>930</v>
      </c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</row>
    <row r="673" spans="1:40" ht="12.75">
      <c r="A673" s="120" t="s">
        <v>1248</v>
      </c>
      <c r="B673" s="120"/>
      <c r="C673" s="74" t="s">
        <v>1249</v>
      </c>
      <c r="D673" s="74" t="s">
        <v>78</v>
      </c>
      <c r="E673" s="146">
        <v>758060462</v>
      </c>
      <c r="F673" s="7" t="s">
        <v>1250</v>
      </c>
      <c r="G673" s="7"/>
      <c r="H673" s="74" t="s">
        <v>1251</v>
      </c>
      <c r="I673" s="75" t="s">
        <v>1252</v>
      </c>
      <c r="J673" s="74">
        <v>721520060</v>
      </c>
      <c r="K673" s="74" t="s">
        <v>1253</v>
      </c>
      <c r="L673" s="74"/>
      <c r="M673" s="74"/>
      <c r="N673" s="74"/>
      <c r="O673" s="74"/>
      <c r="P673" s="74"/>
      <c r="Q673" s="74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</row>
    <row r="674" spans="1:40" ht="12.75">
      <c r="A674" s="74" t="s">
        <v>1618</v>
      </c>
      <c r="B674" s="74"/>
      <c r="C674" s="74" t="s">
        <v>1619</v>
      </c>
      <c r="D674" s="74" t="s">
        <v>604</v>
      </c>
      <c r="E674" s="146">
        <v>707089859</v>
      </c>
      <c r="F674" s="7" t="s">
        <v>1620</v>
      </c>
      <c r="G674" s="7"/>
      <c r="H674" s="76"/>
      <c r="I674" s="84"/>
      <c r="J674" s="76"/>
      <c r="K674" s="76"/>
      <c r="L674" s="74"/>
      <c r="M674" s="74"/>
      <c r="N674" s="74"/>
      <c r="O674" s="74"/>
      <c r="P674" s="74"/>
      <c r="Q674" s="74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</row>
    <row r="675" spans="1:40" ht="12.75">
      <c r="A675" s="74" t="s">
        <v>838</v>
      </c>
      <c r="B675" s="74"/>
      <c r="C675" s="74" t="s">
        <v>839</v>
      </c>
      <c r="D675" s="74" t="s">
        <v>604</v>
      </c>
      <c r="E675" s="194">
        <v>254759934818</v>
      </c>
      <c r="F675" s="7" t="s">
        <v>840</v>
      </c>
      <c r="G675" s="7"/>
      <c r="H675" s="74" t="s">
        <v>26</v>
      </c>
      <c r="I675" s="75" t="s">
        <v>223</v>
      </c>
      <c r="J675" s="74" t="s">
        <v>28</v>
      </c>
      <c r="K675" s="74" t="s">
        <v>224</v>
      </c>
      <c r="L675" s="74"/>
      <c r="M675" s="74"/>
      <c r="N675" s="74"/>
      <c r="O675" s="74"/>
      <c r="P675" s="74"/>
      <c r="Q675" s="74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</row>
    <row r="676" spans="1:40" ht="12.75">
      <c r="A676" s="74" t="s">
        <v>22</v>
      </c>
      <c r="B676" s="74"/>
      <c r="C676" s="74" t="s">
        <v>23</v>
      </c>
      <c r="D676" s="74" t="s">
        <v>24</v>
      </c>
      <c r="E676" s="146">
        <v>799617124</v>
      </c>
      <c r="F676" s="7" t="s">
        <v>25</v>
      </c>
      <c r="G676" s="7"/>
      <c r="H676" s="74" t="s">
        <v>26</v>
      </c>
      <c r="I676" s="75" t="s">
        <v>27</v>
      </c>
      <c r="J676" s="74" t="s">
        <v>28</v>
      </c>
      <c r="K676" s="74" t="s">
        <v>29</v>
      </c>
      <c r="L676" s="74"/>
      <c r="M676" s="74"/>
      <c r="N676" s="74"/>
      <c r="O676" s="74"/>
      <c r="P676" s="74"/>
      <c r="Q676" s="74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</row>
    <row r="677" spans="1:40" ht="12.75">
      <c r="A677" s="74" t="s">
        <v>1129</v>
      </c>
      <c r="B677" s="74"/>
      <c r="C677" s="74" t="s">
        <v>1130</v>
      </c>
      <c r="D677" s="74" t="s">
        <v>1131</v>
      </c>
      <c r="E677" s="146">
        <v>708747126</v>
      </c>
      <c r="F677" s="7" t="s">
        <v>1132</v>
      </c>
      <c r="G677" s="7"/>
      <c r="H677" s="74" t="s">
        <v>1133</v>
      </c>
      <c r="I677" s="75" t="s">
        <v>223</v>
      </c>
      <c r="J677" s="74">
        <v>7202582237</v>
      </c>
      <c r="K677" s="74" t="s">
        <v>180</v>
      </c>
      <c r="L677" s="74"/>
      <c r="M677" s="74"/>
      <c r="N677" s="74"/>
      <c r="O677" s="74"/>
      <c r="P677" s="74"/>
      <c r="Q677" s="74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</row>
    <row r="678" spans="1:40" ht="12.75">
      <c r="A678" s="74" t="s">
        <v>1129</v>
      </c>
      <c r="B678" s="74"/>
      <c r="C678" s="74" t="s">
        <v>1130</v>
      </c>
      <c r="D678" s="74" t="s">
        <v>1131</v>
      </c>
      <c r="E678" s="146">
        <v>708747126</v>
      </c>
      <c r="F678" s="7" t="s">
        <v>1132</v>
      </c>
      <c r="G678" s="7"/>
      <c r="H678" s="74" t="s">
        <v>1133</v>
      </c>
      <c r="I678" s="75" t="s">
        <v>223</v>
      </c>
      <c r="J678" s="74">
        <v>7202582237</v>
      </c>
      <c r="K678" s="74" t="s">
        <v>180</v>
      </c>
      <c r="L678" s="74"/>
      <c r="M678" s="74"/>
      <c r="N678" s="74"/>
      <c r="O678" s="74"/>
      <c r="P678" s="74"/>
      <c r="Q678" s="74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</row>
    <row r="679" spans="1:40" ht="12.75">
      <c r="A679" s="74" t="s">
        <v>854</v>
      </c>
      <c r="B679" s="74"/>
      <c r="C679" s="74" t="s">
        <v>855</v>
      </c>
      <c r="D679" s="74" t="s">
        <v>856</v>
      </c>
      <c r="E679" s="146">
        <v>759414963</v>
      </c>
      <c r="F679" s="7" t="s">
        <v>25</v>
      </c>
      <c r="G679" s="7"/>
      <c r="H679" s="74" t="s">
        <v>857</v>
      </c>
      <c r="I679" s="75" t="s">
        <v>858</v>
      </c>
      <c r="J679" s="74">
        <v>711234567</v>
      </c>
      <c r="K679" s="74" t="s">
        <v>859</v>
      </c>
      <c r="L679" s="120"/>
      <c r="M679" s="120"/>
      <c r="N679" s="120"/>
      <c r="O679" s="120"/>
      <c r="P679" s="114"/>
      <c r="Q679" s="114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  <c r="AC679" s="121"/>
      <c r="AD679" s="121"/>
      <c r="AE679" s="121"/>
      <c r="AF679" s="121"/>
      <c r="AG679" s="121"/>
      <c r="AH679" s="121"/>
      <c r="AI679" s="121"/>
      <c r="AJ679" s="121"/>
      <c r="AK679" s="122"/>
      <c r="AL679" s="122"/>
      <c r="AM679" s="122"/>
      <c r="AN679" s="122"/>
    </row>
    <row r="680" spans="1:40" ht="12.75">
      <c r="A680" s="74" t="s">
        <v>1129</v>
      </c>
      <c r="B680" s="74"/>
      <c r="C680" s="74" t="s">
        <v>1130</v>
      </c>
      <c r="D680" s="74" t="s">
        <v>1131</v>
      </c>
      <c r="E680" s="146">
        <v>708747126</v>
      </c>
      <c r="F680" s="7" t="s">
        <v>1132</v>
      </c>
      <c r="G680" s="7"/>
      <c r="H680" s="74" t="s">
        <v>1133</v>
      </c>
      <c r="I680" s="75" t="s">
        <v>223</v>
      </c>
      <c r="J680" s="74">
        <v>7202582237</v>
      </c>
      <c r="K680" s="74" t="s">
        <v>180</v>
      </c>
      <c r="L680" s="74"/>
      <c r="M680" s="74"/>
      <c r="N680" s="74"/>
      <c r="O680" s="74"/>
      <c r="P680" s="74"/>
      <c r="Q680" s="74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</row>
    <row r="681" spans="1:40" ht="12.75">
      <c r="A681" s="74" t="s">
        <v>1275</v>
      </c>
      <c r="B681" s="60"/>
      <c r="C681" s="60" t="s">
        <v>1276</v>
      </c>
      <c r="D681" s="60" t="s">
        <v>1276</v>
      </c>
      <c r="E681" s="146">
        <v>254114460268</v>
      </c>
      <c r="F681" s="7" t="s">
        <v>1277</v>
      </c>
      <c r="G681" s="7"/>
      <c r="H681" s="74" t="s">
        <v>1278</v>
      </c>
      <c r="I681" s="75" t="s">
        <v>983</v>
      </c>
      <c r="J681" s="74">
        <v>254740031031</v>
      </c>
      <c r="K681" s="74" t="s">
        <v>1279</v>
      </c>
      <c r="L681" s="74"/>
      <c r="M681" s="74"/>
      <c r="N681" s="74"/>
      <c r="O681" s="74"/>
      <c r="P681" s="74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</row>
    <row r="682" spans="1:40" ht="14.25">
      <c r="A682" s="74" t="s">
        <v>328</v>
      </c>
      <c r="B682" s="74"/>
      <c r="C682" s="74" t="s">
        <v>329</v>
      </c>
      <c r="D682" s="74" t="s">
        <v>330</v>
      </c>
      <c r="E682" s="146">
        <v>758352417</v>
      </c>
      <c r="F682" s="7" t="s">
        <v>331</v>
      </c>
      <c r="G682" s="7"/>
      <c r="H682" s="74" t="s">
        <v>332</v>
      </c>
      <c r="I682" s="75" t="s">
        <v>333</v>
      </c>
      <c r="J682" s="74">
        <v>705920928</v>
      </c>
      <c r="K682" s="74" t="s">
        <v>334</v>
      </c>
      <c r="L682" s="60"/>
      <c r="M682" s="60"/>
      <c r="N682" s="60"/>
      <c r="O682" s="60"/>
      <c r="P682" s="124"/>
      <c r="Q682" s="125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</row>
    <row r="683" spans="1:40" ht="12.75">
      <c r="A683" s="74" t="s">
        <v>1235</v>
      </c>
      <c r="B683" s="60"/>
      <c r="C683" s="60" t="s">
        <v>1236</v>
      </c>
      <c r="D683" s="60" t="s">
        <v>78</v>
      </c>
      <c r="E683" s="157">
        <v>113105177</v>
      </c>
      <c r="F683" s="7" t="s">
        <v>1237</v>
      </c>
      <c r="G683" s="1"/>
      <c r="H683" s="60" t="s">
        <v>1238</v>
      </c>
      <c r="I683" s="88" t="s">
        <v>1239</v>
      </c>
      <c r="J683" s="74">
        <v>7255559329</v>
      </c>
      <c r="K683" s="60" t="s">
        <v>1240</v>
      </c>
      <c r="L683" s="60"/>
      <c r="M683" s="60"/>
      <c r="N683" s="60"/>
      <c r="O683" s="60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</row>
    <row r="684" spans="1:40" ht="12.75">
      <c r="A684" s="269" t="s">
        <v>1799</v>
      </c>
      <c r="B684" s="269"/>
      <c r="C684" s="264" t="s">
        <v>1800</v>
      </c>
      <c r="D684" s="264" t="s">
        <v>604</v>
      </c>
      <c r="E684" s="262">
        <v>725114024</v>
      </c>
      <c r="F684" s="7" t="s">
        <v>1801</v>
      </c>
      <c r="G684" s="7"/>
      <c r="H684" s="74" t="s">
        <v>1802</v>
      </c>
      <c r="I684" s="75" t="s">
        <v>1803</v>
      </c>
      <c r="J684" s="60" t="s">
        <v>1804</v>
      </c>
      <c r="K684" s="60" t="s">
        <v>1805</v>
      </c>
      <c r="L684" s="60"/>
      <c r="M684" s="60"/>
      <c r="N684" s="60"/>
      <c r="O684" s="60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</row>
    <row r="685" spans="1:40" ht="12.75">
      <c r="A685" s="74" t="s">
        <v>804</v>
      </c>
      <c r="B685" s="74"/>
      <c r="C685" s="74" t="s">
        <v>805</v>
      </c>
      <c r="D685" s="74" t="s">
        <v>78</v>
      </c>
      <c r="E685" s="194">
        <f>254757734404</f>
        <v>254757734404</v>
      </c>
      <c r="F685" s="30" t="s">
        <v>806</v>
      </c>
      <c r="G685" s="30"/>
      <c r="H685" s="146" t="s">
        <v>807</v>
      </c>
      <c r="I685" s="147" t="s">
        <v>356</v>
      </c>
      <c r="J685" s="146">
        <f>254722841136</f>
        <v>254722841136</v>
      </c>
      <c r="K685" s="74" t="s">
        <v>808</v>
      </c>
      <c r="L685" s="74"/>
      <c r="M685" s="74"/>
      <c r="N685" s="74"/>
      <c r="O685" s="74"/>
      <c r="P685" s="74"/>
      <c r="Q685" s="74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</row>
    <row r="686" spans="1:40" ht="12.75">
      <c r="A686" s="74" t="s">
        <v>1766</v>
      </c>
      <c r="B686" s="74"/>
      <c r="C686" s="74" t="s">
        <v>1767</v>
      </c>
      <c r="D686" s="74" t="s">
        <v>1441</v>
      </c>
      <c r="E686" s="194">
        <f>254708373009</f>
        <v>254708373009</v>
      </c>
      <c r="F686" s="193" t="s">
        <v>806</v>
      </c>
      <c r="G686" s="193"/>
      <c r="H686" s="146" t="s">
        <v>807</v>
      </c>
      <c r="I686" s="147" t="s">
        <v>356</v>
      </c>
      <c r="J686" s="194">
        <f>254722841136</f>
        <v>254722841136</v>
      </c>
      <c r="K686" s="74" t="s">
        <v>808</v>
      </c>
      <c r="L686" s="74"/>
      <c r="M686" s="74"/>
      <c r="N686" s="74"/>
      <c r="O686" s="74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</row>
    <row r="687" spans="1:40" ht="12.75">
      <c r="A687" s="74" t="s">
        <v>1659</v>
      </c>
      <c r="B687" s="74"/>
      <c r="C687" s="74" t="s">
        <v>1660</v>
      </c>
      <c r="D687" s="74" t="s">
        <v>1661</v>
      </c>
      <c r="E687" s="146">
        <v>743684461</v>
      </c>
      <c r="F687" s="7" t="s">
        <v>1662</v>
      </c>
      <c r="G687" s="7"/>
      <c r="H687" s="74" t="s">
        <v>1663</v>
      </c>
      <c r="I687" s="75" t="s">
        <v>1664</v>
      </c>
      <c r="J687" s="74">
        <v>800720370</v>
      </c>
      <c r="K687" s="74" t="s">
        <v>1665</v>
      </c>
      <c r="L687" s="74"/>
      <c r="M687" s="74"/>
      <c r="N687" s="74"/>
      <c r="O687" s="74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</row>
    <row r="688" spans="1:40" ht="12.75">
      <c r="A688" s="74" t="s">
        <v>2942</v>
      </c>
      <c r="B688" s="74"/>
      <c r="C688" s="74" t="s">
        <v>1634</v>
      </c>
      <c r="D688" s="74" t="s">
        <v>1550</v>
      </c>
      <c r="E688" s="146">
        <v>115523988</v>
      </c>
      <c r="F688" s="56" t="s">
        <v>1262</v>
      </c>
      <c r="G688" s="56"/>
      <c r="H688" s="74"/>
      <c r="I688" s="75"/>
      <c r="J688" s="74"/>
      <c r="K688" s="74"/>
      <c r="L688" s="74"/>
      <c r="M688" s="74"/>
      <c r="N688" s="74"/>
      <c r="O688" s="74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</row>
    <row r="689" spans="1:36" ht="12.75">
      <c r="A689" s="74" t="s">
        <v>1012</v>
      </c>
      <c r="B689" s="74"/>
      <c r="C689" s="74" t="s">
        <v>1013</v>
      </c>
      <c r="D689" s="74" t="s">
        <v>266</v>
      </c>
      <c r="E689" s="146">
        <v>723771963</v>
      </c>
      <c r="F689" s="21" t="s">
        <v>1014</v>
      </c>
      <c r="G689" s="21"/>
      <c r="H689" s="74" t="s">
        <v>1015</v>
      </c>
      <c r="I689" s="75" t="s">
        <v>964</v>
      </c>
      <c r="J689" s="74">
        <v>5320160000</v>
      </c>
      <c r="K689" s="74" t="s">
        <v>1016</v>
      </c>
      <c r="L689" s="74"/>
      <c r="M689" s="74"/>
      <c r="N689" s="74"/>
      <c r="O689" s="74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</row>
    <row r="690" spans="1:36">
      <c r="A690" s="74" t="s">
        <v>1400</v>
      </c>
      <c r="B690" s="74"/>
      <c r="C690" s="74" t="s">
        <v>1401</v>
      </c>
      <c r="D690" s="74" t="s">
        <v>1234</v>
      </c>
      <c r="E690" s="146">
        <v>254704828328</v>
      </c>
      <c r="F690" s="16" t="s">
        <v>1402</v>
      </c>
      <c r="G690" s="16"/>
      <c r="H690" s="74" t="s">
        <v>1403</v>
      </c>
      <c r="I690" s="75" t="s">
        <v>193</v>
      </c>
      <c r="J690" s="38">
        <v>5320160000</v>
      </c>
      <c r="K690" s="38" t="s">
        <v>1404</v>
      </c>
      <c r="L690" s="74"/>
      <c r="M690" s="74"/>
      <c r="N690" s="74"/>
      <c r="O690" s="74"/>
      <c r="P690" s="74"/>
      <c r="Q690" s="74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</row>
    <row r="691" spans="1:36" ht="12.75">
      <c r="A691" s="74" t="s">
        <v>1012</v>
      </c>
      <c r="B691" s="74"/>
      <c r="C691" s="74" t="s">
        <v>1013</v>
      </c>
      <c r="D691" s="74" t="s">
        <v>266</v>
      </c>
      <c r="E691" s="146">
        <v>723771963</v>
      </c>
      <c r="F691" s="300" t="s">
        <v>1014</v>
      </c>
      <c r="G691" s="301"/>
      <c r="H691" s="127" t="s">
        <v>1015</v>
      </c>
      <c r="I691" s="128" t="s">
        <v>964</v>
      </c>
      <c r="J691" s="127">
        <v>5320160000</v>
      </c>
      <c r="K691" s="127" t="s">
        <v>1016</v>
      </c>
      <c r="L691" s="130"/>
      <c r="M691" s="130"/>
      <c r="N691" s="130"/>
      <c r="O691" s="74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</row>
    <row r="692" spans="1:36" ht="12.75">
      <c r="A692" s="74" t="s">
        <v>2943</v>
      </c>
      <c r="B692" s="74"/>
      <c r="C692" s="74" t="s">
        <v>2944</v>
      </c>
      <c r="D692" s="74" t="s">
        <v>2945</v>
      </c>
      <c r="E692" s="146">
        <v>794948876</v>
      </c>
      <c r="F692" s="300" t="s">
        <v>2946</v>
      </c>
      <c r="G692" s="301"/>
      <c r="H692" s="127" t="s">
        <v>2947</v>
      </c>
      <c r="I692" s="128" t="s">
        <v>237</v>
      </c>
      <c r="J692" s="127"/>
      <c r="K692" s="127" t="s">
        <v>2948</v>
      </c>
      <c r="L692" s="132"/>
      <c r="M692" s="132"/>
      <c r="N692" s="132"/>
      <c r="O692" s="74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</row>
    <row r="693" spans="1:36" ht="12.75">
      <c r="A693" s="74" t="s">
        <v>1607</v>
      </c>
      <c r="B693" s="74"/>
      <c r="C693" s="74" t="s">
        <v>1608</v>
      </c>
      <c r="D693" s="74" t="s">
        <v>1609</v>
      </c>
      <c r="E693" s="146">
        <v>254716182160</v>
      </c>
      <c r="F693" s="270" t="s">
        <v>1610</v>
      </c>
      <c r="G693" s="126"/>
      <c r="H693" s="127" t="s">
        <v>1611</v>
      </c>
      <c r="I693" s="128" t="s">
        <v>134</v>
      </c>
      <c r="J693" s="127">
        <v>2540532016304</v>
      </c>
      <c r="K693" s="127" t="s">
        <v>1612</v>
      </c>
      <c r="L693" s="130"/>
      <c r="M693" s="130"/>
      <c r="N693" s="130"/>
      <c r="O693" s="74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</row>
    <row r="694" spans="1:36" ht="12.75">
      <c r="A694" s="74" t="s">
        <v>938</v>
      </c>
      <c r="B694" s="74"/>
      <c r="C694" s="74" t="s">
        <v>939</v>
      </c>
      <c r="D694" s="74" t="s">
        <v>71</v>
      </c>
      <c r="E694" s="146">
        <v>798177842</v>
      </c>
      <c r="F694" s="7" t="s">
        <v>940</v>
      </c>
      <c r="G694" s="7"/>
      <c r="H694" s="74" t="s">
        <v>941</v>
      </c>
      <c r="I694" s="75" t="s">
        <v>218</v>
      </c>
      <c r="J694" s="74">
        <v>704215496</v>
      </c>
      <c r="K694" s="74" t="s">
        <v>942</v>
      </c>
      <c r="L694" s="74"/>
      <c r="M694" s="74"/>
      <c r="N694" s="74"/>
      <c r="O694" s="74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</row>
    <row r="695" spans="1:36" ht="12.75">
      <c r="A695" s="7" t="s">
        <v>563</v>
      </c>
      <c r="B695" s="7"/>
      <c r="C695" s="74" t="s">
        <v>564</v>
      </c>
      <c r="D695" s="60" t="s">
        <v>565</v>
      </c>
      <c r="E695" s="146">
        <v>720711717</v>
      </c>
      <c r="F695" s="7" t="s">
        <v>566</v>
      </c>
      <c r="G695" s="7"/>
      <c r="H695" s="74" t="s">
        <v>567</v>
      </c>
      <c r="I695" s="75" t="s">
        <v>568</v>
      </c>
      <c r="J695" s="74">
        <v>721372383</v>
      </c>
      <c r="K695" s="74" t="s">
        <v>569</v>
      </c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</row>
    <row r="696" spans="1:36" ht="12.75">
      <c r="A696" s="118" t="s">
        <v>9</v>
      </c>
      <c r="B696" s="118"/>
      <c r="C696" s="118" t="s">
        <v>10</v>
      </c>
      <c r="D696" s="118" t="s">
        <v>11</v>
      </c>
      <c r="E696" s="146">
        <v>113149476</v>
      </c>
      <c r="F696" s="118" t="s">
        <v>12</v>
      </c>
      <c r="G696" s="118"/>
      <c r="H696" s="118"/>
      <c r="I696" s="119" t="s">
        <v>14</v>
      </c>
      <c r="J696" s="71">
        <v>721998308</v>
      </c>
      <c r="K696" s="118" t="s">
        <v>15</v>
      </c>
      <c r="L696" s="74"/>
      <c r="M696" s="74"/>
      <c r="N696" s="74"/>
      <c r="O696" s="74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</row>
    <row r="697" spans="1:36" ht="12.75">
      <c r="A697" s="264" t="s">
        <v>287</v>
      </c>
      <c r="B697" s="264"/>
      <c r="C697" s="264" t="s">
        <v>288</v>
      </c>
      <c r="D697" s="264" t="s">
        <v>289</v>
      </c>
      <c r="E697" s="262">
        <v>743624994</v>
      </c>
      <c r="F697" s="7" t="s">
        <v>290</v>
      </c>
      <c r="G697" s="7"/>
      <c r="H697" s="74"/>
      <c r="I697" s="75" t="s">
        <v>237</v>
      </c>
      <c r="J697" s="74"/>
      <c r="K697" s="74" t="s">
        <v>291</v>
      </c>
      <c r="L697" s="74"/>
      <c r="M697" s="74"/>
      <c r="N697" s="74"/>
      <c r="O697" s="74"/>
      <c r="P697" s="74"/>
      <c r="Q697" s="74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</row>
    <row r="698" spans="1:36" ht="12.75">
      <c r="A698" s="74" t="s">
        <v>1567</v>
      </c>
      <c r="B698" s="74"/>
      <c r="C698" s="74" t="s">
        <v>1568</v>
      </c>
      <c r="D698" s="74" t="s">
        <v>227</v>
      </c>
      <c r="E698" s="146">
        <v>254115669992</v>
      </c>
      <c r="F698" s="7" t="s">
        <v>1569</v>
      </c>
      <c r="G698" s="7"/>
      <c r="H698" s="74" t="s">
        <v>1570</v>
      </c>
      <c r="I698" s="75" t="s">
        <v>237</v>
      </c>
      <c r="J698" s="74">
        <v>254796135006</v>
      </c>
      <c r="K698" s="74" t="s">
        <v>1571</v>
      </c>
      <c r="L698" s="74"/>
      <c r="M698" s="74"/>
      <c r="N698" s="74"/>
      <c r="O698" s="74"/>
      <c r="P698" s="74"/>
      <c r="Q698" s="74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</row>
    <row r="699" spans="1:36" ht="12.75">
      <c r="A699" s="74" t="s">
        <v>781</v>
      </c>
      <c r="B699" s="74"/>
      <c r="C699" s="74" t="s">
        <v>782</v>
      </c>
      <c r="D699" s="74" t="s">
        <v>783</v>
      </c>
      <c r="E699" s="146">
        <v>793642867</v>
      </c>
      <c r="F699" s="7" t="s">
        <v>784</v>
      </c>
      <c r="G699" s="7"/>
      <c r="H699" s="74" t="s">
        <v>785</v>
      </c>
      <c r="I699" s="75" t="s">
        <v>786</v>
      </c>
      <c r="J699" s="74">
        <v>719212730</v>
      </c>
      <c r="K699" s="74" t="s">
        <v>787</v>
      </c>
      <c r="L699" s="74"/>
      <c r="M699" s="74"/>
      <c r="N699" s="74"/>
      <c r="O699" s="74"/>
      <c r="P699" s="74"/>
      <c r="Q699" s="74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</row>
    <row r="700" spans="1:36" ht="12.75">
      <c r="A700" s="74" t="s">
        <v>1393</v>
      </c>
      <c r="B700" s="74"/>
      <c r="C700" s="74" t="s">
        <v>1394</v>
      </c>
      <c r="D700" s="74" t="s">
        <v>891</v>
      </c>
      <c r="E700" s="146">
        <v>254742200714</v>
      </c>
      <c r="F700" s="7" t="s">
        <v>1395</v>
      </c>
      <c r="G700" s="1"/>
      <c r="H700" s="60" t="s">
        <v>1396</v>
      </c>
      <c r="I700" s="88" t="s">
        <v>186</v>
      </c>
      <c r="J700" s="74">
        <v>254723764424</v>
      </c>
      <c r="K700" s="74" t="s">
        <v>1397</v>
      </c>
      <c r="L700" s="74"/>
      <c r="M700" s="74"/>
      <c r="N700" s="74"/>
      <c r="O700" s="74"/>
      <c r="P700" s="74"/>
      <c r="Q700" s="74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</row>
    <row r="701" spans="1:36" ht="12.75">
      <c r="A701" s="74" t="s">
        <v>1393</v>
      </c>
      <c r="B701" s="74"/>
      <c r="C701" s="74" t="s">
        <v>1394</v>
      </c>
      <c r="D701" s="74" t="s">
        <v>891</v>
      </c>
      <c r="E701" s="146">
        <v>254742200714</v>
      </c>
      <c r="F701" s="7" t="s">
        <v>1395</v>
      </c>
      <c r="G701" s="7"/>
      <c r="H701" s="74" t="s">
        <v>1396</v>
      </c>
      <c r="I701" s="75" t="s">
        <v>186</v>
      </c>
      <c r="J701" s="74">
        <v>254723764424</v>
      </c>
      <c r="K701" s="74" t="s">
        <v>1397</v>
      </c>
      <c r="L701" s="74"/>
      <c r="M701" s="74"/>
      <c r="N701" s="74"/>
      <c r="O701" s="74"/>
      <c r="P701" s="74"/>
      <c r="Q701" s="74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</row>
    <row r="702" spans="1:36" ht="12.75">
      <c r="A702" s="103" t="s">
        <v>1813</v>
      </c>
      <c r="B702" s="103"/>
      <c r="C702" s="103" t="s">
        <v>1814</v>
      </c>
      <c r="D702" s="103" t="s">
        <v>1814</v>
      </c>
      <c r="E702" s="194"/>
      <c r="F702" s="103" t="s">
        <v>1815</v>
      </c>
      <c r="G702" s="103"/>
      <c r="H702" s="103" t="s">
        <v>1816</v>
      </c>
      <c r="I702" s="104" t="s">
        <v>218</v>
      </c>
      <c r="J702" s="105">
        <v>254759441965</v>
      </c>
      <c r="K702" s="103" t="s">
        <v>1817</v>
      </c>
      <c r="L702" s="74"/>
      <c r="M702" s="74"/>
      <c r="N702" s="74"/>
      <c r="O702" s="74"/>
      <c r="P702" s="74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</row>
    <row r="703" spans="1:36" ht="12.75">
      <c r="A703" s="275" t="s">
        <v>1000</v>
      </c>
      <c r="B703" s="275"/>
      <c r="C703" s="264" t="s">
        <v>2949</v>
      </c>
      <c r="D703" s="264" t="s">
        <v>306</v>
      </c>
      <c r="E703" s="262">
        <v>748018182</v>
      </c>
      <c r="F703" s="7" t="s">
        <v>1002</v>
      </c>
      <c r="G703" s="7"/>
      <c r="H703" s="74" t="s">
        <v>1003</v>
      </c>
      <c r="I703" s="75" t="s">
        <v>1004</v>
      </c>
      <c r="J703" s="74" t="s">
        <v>1005</v>
      </c>
      <c r="K703" s="74" t="s">
        <v>1006</v>
      </c>
      <c r="L703" s="74"/>
      <c r="M703" s="74"/>
      <c r="N703" s="74"/>
      <c r="O703" s="74"/>
      <c r="P703" s="74"/>
      <c r="Q703" s="74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</row>
    <row r="704" spans="1:36" ht="12.75">
      <c r="A704" s="74" t="s">
        <v>146</v>
      </c>
      <c r="B704" s="74"/>
      <c r="C704" s="74" t="s">
        <v>147</v>
      </c>
      <c r="D704" s="74" t="s">
        <v>148</v>
      </c>
      <c r="E704" s="146">
        <v>759960969</v>
      </c>
      <c r="F704" s="7" t="s">
        <v>149</v>
      </c>
      <c r="G704" s="7"/>
      <c r="H704" s="74" t="s">
        <v>150</v>
      </c>
      <c r="I704" s="75" t="s">
        <v>151</v>
      </c>
      <c r="J704" s="74">
        <v>726773795</v>
      </c>
      <c r="K704" s="74" t="s">
        <v>152</v>
      </c>
      <c r="L704" s="74"/>
      <c r="M704" s="74"/>
      <c r="N704" s="74"/>
      <c r="O704" s="74"/>
      <c r="P704" s="74"/>
      <c r="Q704" s="74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</row>
    <row r="705" spans="1:36" ht="12.75">
      <c r="A705" s="74" t="s">
        <v>253</v>
      </c>
      <c r="B705" s="74"/>
      <c r="C705" s="74" t="s">
        <v>254</v>
      </c>
      <c r="D705" s="74" t="s">
        <v>255</v>
      </c>
      <c r="E705" s="146">
        <v>798263946</v>
      </c>
      <c r="F705" s="7" t="s">
        <v>149</v>
      </c>
      <c r="G705" s="7"/>
      <c r="H705" s="74" t="s">
        <v>150</v>
      </c>
      <c r="I705" s="75" t="s">
        <v>151</v>
      </c>
      <c r="J705" s="74">
        <v>726773795</v>
      </c>
      <c r="K705" s="74" t="s">
        <v>152</v>
      </c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</row>
    <row r="706" spans="1:36" ht="12.75">
      <c r="A706" s="74" t="s">
        <v>1326</v>
      </c>
      <c r="B706" s="74"/>
      <c r="C706" s="74" t="s">
        <v>1327</v>
      </c>
      <c r="D706" s="74" t="s">
        <v>1328</v>
      </c>
      <c r="E706" s="146">
        <v>721763235</v>
      </c>
      <c r="F706" s="7" t="s">
        <v>1329</v>
      </c>
      <c r="G706" s="7"/>
      <c r="H706" s="74" t="s">
        <v>1330</v>
      </c>
      <c r="I706" s="75" t="s">
        <v>1331</v>
      </c>
      <c r="J706" s="74">
        <v>512217987</v>
      </c>
      <c r="K706" s="74" t="s">
        <v>1332</v>
      </c>
      <c r="L706" s="74"/>
      <c r="M706" s="74"/>
      <c r="N706" s="74"/>
      <c r="O706" s="74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</row>
    <row r="707" spans="1:36" ht="12.75">
      <c r="A707" s="74" t="s">
        <v>1785</v>
      </c>
      <c r="B707" s="74"/>
      <c r="C707" s="74" t="s">
        <v>1786</v>
      </c>
      <c r="D707" s="74" t="s">
        <v>1328</v>
      </c>
      <c r="E707" s="146">
        <v>743871944</v>
      </c>
      <c r="F707" s="7" t="s">
        <v>1329</v>
      </c>
      <c r="G707" s="7"/>
      <c r="H707" s="74" t="s">
        <v>1330</v>
      </c>
      <c r="I707" s="75" t="s">
        <v>1331</v>
      </c>
      <c r="J707" s="74">
        <v>512217987</v>
      </c>
      <c r="K707" s="74" t="s">
        <v>1332</v>
      </c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</row>
    <row r="708" spans="1:36" ht="12.75">
      <c r="A708" s="74" t="s">
        <v>943</v>
      </c>
      <c r="B708" s="74"/>
      <c r="C708" s="74" t="s">
        <v>944</v>
      </c>
      <c r="D708" s="74" t="s">
        <v>880</v>
      </c>
      <c r="E708" s="146">
        <v>723242610</v>
      </c>
      <c r="F708" s="7" t="s">
        <v>945</v>
      </c>
      <c r="G708" s="7"/>
      <c r="H708" s="74" t="s">
        <v>946</v>
      </c>
      <c r="I708" s="75" t="s">
        <v>947</v>
      </c>
      <c r="J708" s="74">
        <v>512217987</v>
      </c>
      <c r="K708" s="74" t="s">
        <v>948</v>
      </c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</row>
    <row r="709" spans="1:36" ht="12.75">
      <c r="A709" s="74" t="s">
        <v>1737</v>
      </c>
      <c r="B709" s="74"/>
      <c r="C709" s="74" t="s">
        <v>1738</v>
      </c>
      <c r="D709" s="74" t="s">
        <v>454</v>
      </c>
      <c r="E709" s="146">
        <v>113961791</v>
      </c>
      <c r="F709" s="7" t="s">
        <v>1065</v>
      </c>
      <c r="G709" s="7"/>
      <c r="H709" s="74" t="s">
        <v>1739</v>
      </c>
      <c r="I709" s="75" t="s">
        <v>1067</v>
      </c>
      <c r="J709" s="74">
        <v>722897169</v>
      </c>
      <c r="K709" s="74" t="s">
        <v>1068</v>
      </c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</row>
    <row r="710" spans="1:36" ht="12.75">
      <c r="A710" s="74" t="s">
        <v>1063</v>
      </c>
      <c r="B710" s="74"/>
      <c r="C710" s="74" t="s">
        <v>1064</v>
      </c>
      <c r="D710" s="74" t="s">
        <v>266</v>
      </c>
      <c r="E710" s="146">
        <v>722101609</v>
      </c>
      <c r="F710" s="7" t="s">
        <v>1065</v>
      </c>
      <c r="G710" s="7"/>
      <c r="H710" s="74" t="s">
        <v>1066</v>
      </c>
      <c r="I710" s="75" t="s">
        <v>1067</v>
      </c>
      <c r="J710" s="74">
        <v>722897169</v>
      </c>
      <c r="K710" s="74" t="s">
        <v>1068</v>
      </c>
      <c r="L710" s="74"/>
      <c r="M710" s="74"/>
      <c r="N710" s="74"/>
      <c r="O710" s="74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</row>
    <row r="711" spans="1:36" ht="12.75">
      <c r="A711" s="74" t="s">
        <v>485</v>
      </c>
      <c r="B711" s="74"/>
      <c r="C711" s="74" t="s">
        <v>486</v>
      </c>
      <c r="D711" s="74" t="s">
        <v>294</v>
      </c>
      <c r="E711" s="74">
        <v>790482014</v>
      </c>
      <c r="F711" s="7" t="s">
        <v>487</v>
      </c>
      <c r="G711" s="7"/>
      <c r="H711" s="74" t="s">
        <v>488</v>
      </c>
      <c r="I711" s="75" t="s">
        <v>489</v>
      </c>
      <c r="J711" s="74">
        <v>114203510</v>
      </c>
      <c r="K711" s="74" t="s">
        <v>490</v>
      </c>
      <c r="L711" s="74"/>
      <c r="M711" s="74"/>
      <c r="N711" s="74"/>
      <c r="O711" s="74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</row>
    <row r="712" spans="1:36" ht="12.75">
      <c r="A712" s="74" t="s">
        <v>1584</v>
      </c>
      <c r="B712" s="74"/>
      <c r="C712" s="74" t="s">
        <v>1585</v>
      </c>
      <c r="D712" s="74" t="s">
        <v>799</v>
      </c>
      <c r="E712" s="146">
        <v>113627130</v>
      </c>
      <c r="F712" s="7" t="s">
        <v>962</v>
      </c>
      <c r="G712" s="7"/>
      <c r="H712" s="76"/>
      <c r="I712" s="84"/>
      <c r="J712" s="76"/>
      <c r="K712" s="76"/>
      <c r="L712" s="74"/>
      <c r="M712" s="74"/>
      <c r="N712" s="74"/>
      <c r="O712" s="74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</row>
    <row r="713" spans="1:36" ht="12.75">
      <c r="A713" s="74" t="s">
        <v>2950</v>
      </c>
      <c r="B713" s="74"/>
      <c r="C713" s="74" t="s">
        <v>2951</v>
      </c>
      <c r="D713" s="74" t="s">
        <v>799</v>
      </c>
      <c r="E713" s="146">
        <v>797103160</v>
      </c>
      <c r="F713" s="7" t="s">
        <v>1262</v>
      </c>
      <c r="G713" s="7"/>
      <c r="H713" s="74"/>
      <c r="I713" s="75"/>
      <c r="J713" s="74"/>
      <c r="K713" s="74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</row>
    <row r="714" spans="1:36" ht="12.75">
      <c r="A714" s="74" t="s">
        <v>960</v>
      </c>
      <c r="B714" s="74"/>
      <c r="C714" s="74" t="s">
        <v>961</v>
      </c>
      <c r="D714" s="74" t="s">
        <v>508</v>
      </c>
      <c r="E714" s="146">
        <v>706102418</v>
      </c>
      <c r="F714" s="7" t="s">
        <v>962</v>
      </c>
      <c r="G714" s="7"/>
      <c r="H714" s="74" t="s">
        <v>963</v>
      </c>
      <c r="I714" s="75" t="s">
        <v>964</v>
      </c>
      <c r="J714" s="74">
        <v>724255538</v>
      </c>
      <c r="K714" s="74" t="s">
        <v>965</v>
      </c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</row>
    <row r="715" spans="1:36" ht="12.75">
      <c r="A715" s="74" t="s">
        <v>960</v>
      </c>
      <c r="B715" s="74"/>
      <c r="C715" s="74" t="s">
        <v>961</v>
      </c>
      <c r="D715" s="74" t="s">
        <v>508</v>
      </c>
      <c r="E715" s="146">
        <v>706102418</v>
      </c>
      <c r="F715" s="7" t="s">
        <v>962</v>
      </c>
      <c r="G715" s="7"/>
      <c r="H715" s="74" t="s">
        <v>963</v>
      </c>
      <c r="I715" s="75" t="s">
        <v>964</v>
      </c>
      <c r="J715" s="74">
        <v>724255538</v>
      </c>
      <c r="K715" s="74" t="s">
        <v>965</v>
      </c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</row>
    <row r="716" spans="1:36" ht="12.75">
      <c r="A716" s="74" t="s">
        <v>281</v>
      </c>
      <c r="B716" s="74"/>
      <c r="C716" s="74" t="s">
        <v>282</v>
      </c>
      <c r="D716" s="74" t="s">
        <v>283</v>
      </c>
      <c r="E716" s="194">
        <v>254799574955</v>
      </c>
      <c r="F716" s="7" t="s">
        <v>284</v>
      </c>
      <c r="G716" s="7"/>
      <c r="H716" s="74" t="s">
        <v>285</v>
      </c>
      <c r="I716" s="75" t="s">
        <v>286</v>
      </c>
      <c r="J716" s="74">
        <v>682230033</v>
      </c>
      <c r="K716" s="74" t="s">
        <v>204</v>
      </c>
      <c r="L716" s="74"/>
      <c r="M716" s="74"/>
      <c r="N716" s="74"/>
      <c r="O716" s="74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</row>
    <row r="717" spans="1:36" ht="12.75">
      <c r="A717" s="7" t="s">
        <v>1435</v>
      </c>
      <c r="B717" s="7"/>
      <c r="C717" s="74" t="s">
        <v>1436</v>
      </c>
      <c r="D717" s="74" t="s">
        <v>1116</v>
      </c>
      <c r="E717" s="146" t="s">
        <v>1437</v>
      </c>
      <c r="F717" s="7" t="s">
        <v>1438</v>
      </c>
      <c r="G717" s="7"/>
      <c r="H717" s="76"/>
      <c r="I717" s="84"/>
      <c r="J717" s="76"/>
      <c r="K717" s="76"/>
      <c r="L717" s="74"/>
      <c r="M717" s="74"/>
      <c r="N717" s="74"/>
      <c r="O717" s="74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</row>
    <row r="718" spans="1:36" ht="14.25">
      <c r="A718" s="74" t="s">
        <v>1705</v>
      </c>
      <c r="B718" s="74"/>
      <c r="C718" s="74" t="s">
        <v>1706</v>
      </c>
      <c r="D718" s="74" t="s">
        <v>460</v>
      </c>
      <c r="E718" s="146">
        <v>110447025</v>
      </c>
      <c r="F718" s="7" t="s">
        <v>1707</v>
      </c>
      <c r="G718" s="7"/>
      <c r="H718" s="74" t="s">
        <v>1708</v>
      </c>
      <c r="I718" s="75" t="s">
        <v>599</v>
      </c>
      <c r="J718" s="191" t="s">
        <v>1709</v>
      </c>
      <c r="K718" s="191" t="s">
        <v>1710</v>
      </c>
      <c r="L718" s="74"/>
      <c r="M718" s="74"/>
      <c r="N718" s="74"/>
      <c r="O718" s="74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</row>
    <row r="719" spans="1:36" ht="12.75">
      <c r="A719" s="74" t="s">
        <v>734</v>
      </c>
      <c r="B719" s="74"/>
      <c r="C719" s="74" t="s">
        <v>735</v>
      </c>
      <c r="D719" s="74" t="s">
        <v>736</v>
      </c>
      <c r="E719" s="146">
        <v>110447025</v>
      </c>
      <c r="F719" s="7" t="s">
        <v>737</v>
      </c>
      <c r="G719" s="7"/>
      <c r="H719" s="74" t="s">
        <v>738</v>
      </c>
      <c r="I719" s="75" t="s">
        <v>739</v>
      </c>
      <c r="J719" s="74">
        <v>709988714</v>
      </c>
      <c r="K719" s="74" t="s">
        <v>740</v>
      </c>
      <c r="L719" s="74"/>
      <c r="M719" s="74"/>
      <c r="N719" s="74"/>
      <c r="O719" s="74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</row>
    <row r="720" spans="1:36" ht="12.75">
      <c r="A720" s="7" t="s">
        <v>979</v>
      </c>
      <c r="B720" s="7"/>
      <c r="C720" s="74" t="s">
        <v>980</v>
      </c>
      <c r="D720" s="60" t="s">
        <v>799</v>
      </c>
      <c r="E720" s="194">
        <v>254759408435</v>
      </c>
      <c r="F720" s="7" t="s">
        <v>981</v>
      </c>
      <c r="G720" s="7"/>
      <c r="H720" s="76"/>
      <c r="I720" s="84"/>
      <c r="J720" s="76"/>
      <c r="K720" s="76"/>
      <c r="L720" s="74"/>
      <c r="M720" s="74"/>
      <c r="N720" s="74"/>
      <c r="O720" s="74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</row>
    <row r="721" spans="1:36" ht="12.75">
      <c r="A721" s="74" t="s">
        <v>1653</v>
      </c>
      <c r="B721" s="74"/>
      <c r="C721" s="74" t="s">
        <v>1654</v>
      </c>
      <c r="D721" s="60" t="s">
        <v>108</v>
      </c>
      <c r="E721" s="146">
        <v>743787768</v>
      </c>
      <c r="F721" s="7" t="s">
        <v>1655</v>
      </c>
      <c r="G721" s="7"/>
      <c r="H721" s="74" t="s">
        <v>1656</v>
      </c>
      <c r="I721" s="75" t="s">
        <v>1657</v>
      </c>
      <c r="J721" s="74">
        <v>798720923</v>
      </c>
      <c r="K721" s="60" t="s">
        <v>1658</v>
      </c>
      <c r="L721" s="60"/>
      <c r="M721" s="60"/>
      <c r="N721" s="60"/>
      <c r="O721" s="74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</row>
    <row r="722" spans="1:36" ht="12.75">
      <c r="A722" s="74" t="s">
        <v>527</v>
      </c>
      <c r="B722" s="74"/>
      <c r="C722" s="74" t="s">
        <v>528</v>
      </c>
      <c r="D722" s="74" t="s">
        <v>529</v>
      </c>
      <c r="E722" s="146">
        <v>745689907</v>
      </c>
      <c r="F722" s="7" t="s">
        <v>530</v>
      </c>
      <c r="G722" s="7"/>
      <c r="H722" s="76"/>
      <c r="I722" s="84"/>
      <c r="J722" s="76"/>
      <c r="K722" s="76"/>
      <c r="L722" s="74"/>
      <c r="M722" s="74"/>
      <c r="N722" s="74"/>
      <c r="O722" s="74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</row>
    <row r="723" spans="1:36" ht="14.25">
      <c r="A723" s="74" t="s">
        <v>345</v>
      </c>
      <c r="B723" s="74"/>
      <c r="C723" s="74" t="s">
        <v>346</v>
      </c>
      <c r="D723" s="74" t="s">
        <v>347</v>
      </c>
      <c r="E723" s="146">
        <v>748269069</v>
      </c>
      <c r="F723" s="7" t="s">
        <v>348</v>
      </c>
      <c r="G723" s="7"/>
      <c r="H723" s="74" t="s">
        <v>349</v>
      </c>
      <c r="I723" s="75" t="s">
        <v>203</v>
      </c>
      <c r="J723" s="116">
        <v>795096576</v>
      </c>
      <c r="K723" s="117" t="s">
        <v>350</v>
      </c>
      <c r="L723" s="74"/>
      <c r="M723" s="74"/>
      <c r="N723" s="74"/>
      <c r="O723" s="74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</row>
    <row r="724" spans="1:36" ht="12.75">
      <c r="A724" s="74" t="s">
        <v>632</v>
      </c>
      <c r="B724" s="74"/>
      <c r="C724" s="74" t="s">
        <v>633</v>
      </c>
      <c r="D724" s="98" t="s">
        <v>395</v>
      </c>
      <c r="E724" s="146">
        <v>110856452</v>
      </c>
      <c r="F724" s="7" t="s">
        <v>634</v>
      </c>
      <c r="G724" s="7"/>
      <c r="H724" s="74" t="s">
        <v>635</v>
      </c>
      <c r="I724" s="75" t="s">
        <v>186</v>
      </c>
      <c r="J724" s="74">
        <v>723799647</v>
      </c>
      <c r="K724" s="74" t="s">
        <v>636</v>
      </c>
      <c r="L724" s="74"/>
      <c r="M724" s="74"/>
      <c r="N724" s="74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</row>
    <row r="725" spans="1:36" ht="12.75">
      <c r="A725" s="74" t="s">
        <v>632</v>
      </c>
      <c r="B725" s="74"/>
      <c r="C725" s="74" t="s">
        <v>633</v>
      </c>
      <c r="D725" s="98" t="s">
        <v>395</v>
      </c>
      <c r="E725" s="146">
        <v>110856452</v>
      </c>
      <c r="F725" s="7" t="s">
        <v>634</v>
      </c>
      <c r="G725" s="7"/>
      <c r="H725" s="74" t="s">
        <v>635</v>
      </c>
      <c r="I725" s="75" t="s">
        <v>186</v>
      </c>
      <c r="J725" s="74">
        <v>723799647</v>
      </c>
      <c r="K725" s="74" t="s">
        <v>636</v>
      </c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</row>
    <row r="726" spans="1:36" ht="12.75">
      <c r="A726" s="74" t="s">
        <v>632</v>
      </c>
      <c r="B726" s="74"/>
      <c r="C726" s="74" t="s">
        <v>633</v>
      </c>
      <c r="D726" s="98" t="s">
        <v>395</v>
      </c>
      <c r="E726" s="146">
        <v>110856452</v>
      </c>
      <c r="F726" s="7" t="s">
        <v>634</v>
      </c>
      <c r="G726" s="7"/>
      <c r="H726" s="74" t="s">
        <v>635</v>
      </c>
      <c r="I726" s="75" t="s">
        <v>186</v>
      </c>
      <c r="J726" s="74">
        <v>723799647</v>
      </c>
      <c r="K726" s="74" t="s">
        <v>636</v>
      </c>
      <c r="L726" s="74"/>
      <c r="M726" s="74"/>
      <c r="N726" s="74"/>
      <c r="O726" s="74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</row>
    <row r="727" spans="1:36">
      <c r="A727" s="274" t="s">
        <v>966</v>
      </c>
      <c r="B727" s="274"/>
      <c r="C727" s="74" t="s">
        <v>967</v>
      </c>
      <c r="D727" s="74" t="s">
        <v>183</v>
      </c>
      <c r="E727" s="146">
        <v>254748143442</v>
      </c>
      <c r="F727" s="1" t="s">
        <v>968</v>
      </c>
      <c r="G727" s="1"/>
      <c r="H727" s="74" t="s">
        <v>969</v>
      </c>
      <c r="I727" s="136" t="s">
        <v>970</v>
      </c>
      <c r="J727" s="60">
        <v>25490171131</v>
      </c>
      <c r="K727" s="60" t="s">
        <v>971</v>
      </c>
      <c r="L727" s="26"/>
      <c r="M727" s="26"/>
      <c r="N727" s="26"/>
      <c r="O727" s="2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</row>
    <row r="728" spans="1:36" ht="12.75">
      <c r="A728" s="103" t="s">
        <v>531</v>
      </c>
      <c r="B728" s="103"/>
      <c r="C728" s="198" t="s">
        <v>532</v>
      </c>
      <c r="D728" s="74" t="s">
        <v>533</v>
      </c>
      <c r="E728" s="194"/>
      <c r="F728" s="74" t="s">
        <v>534</v>
      </c>
      <c r="G728" s="74"/>
      <c r="H728" s="74" t="s">
        <v>535</v>
      </c>
      <c r="I728" s="75" t="s">
        <v>536</v>
      </c>
      <c r="J728" s="74">
        <v>254112877556</v>
      </c>
      <c r="K728" s="74" t="s">
        <v>537</v>
      </c>
      <c r="L728" s="74"/>
      <c r="M728" s="74"/>
      <c r="N728" s="74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</row>
    <row r="729" spans="1:36" ht="15">
      <c r="A729" s="74" t="s">
        <v>47</v>
      </c>
      <c r="B729" s="74"/>
      <c r="C729" s="74" t="s">
        <v>48</v>
      </c>
      <c r="D729" s="74" t="s">
        <v>49</v>
      </c>
      <c r="E729" s="146">
        <v>114400964</v>
      </c>
      <c r="F729" s="7" t="s">
        <v>50</v>
      </c>
      <c r="G729" s="7"/>
      <c r="H729" s="74" t="s">
        <v>51</v>
      </c>
      <c r="I729" s="75" t="s">
        <v>52</v>
      </c>
      <c r="J729" s="74">
        <v>746608000</v>
      </c>
      <c r="K729" s="12" t="s">
        <v>53</v>
      </c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</row>
    <row r="730" spans="1:36" ht="15">
      <c r="A730" s="74" t="s">
        <v>47</v>
      </c>
      <c r="B730" s="74"/>
      <c r="C730" s="74" t="s">
        <v>48</v>
      </c>
      <c r="D730" s="74" t="s">
        <v>49</v>
      </c>
      <c r="E730" s="146">
        <v>114400964</v>
      </c>
      <c r="F730" s="7" t="s">
        <v>50</v>
      </c>
      <c r="G730" s="7"/>
      <c r="H730" s="74" t="s">
        <v>51</v>
      </c>
      <c r="I730" s="75" t="s">
        <v>52</v>
      </c>
      <c r="J730" s="74">
        <v>746608000</v>
      </c>
      <c r="K730" s="12" t="s">
        <v>53</v>
      </c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</row>
    <row r="731" spans="1:36" ht="12.75">
      <c r="A731" s="269" t="s">
        <v>308</v>
      </c>
      <c r="B731" s="269"/>
      <c r="C731" s="261" t="s">
        <v>309</v>
      </c>
      <c r="D731" s="261" t="s">
        <v>310</v>
      </c>
      <c r="E731" s="262">
        <v>716568609</v>
      </c>
      <c r="F731" s="7" t="s">
        <v>311</v>
      </c>
      <c r="G731" s="7"/>
      <c r="H731" s="74" t="s">
        <v>312</v>
      </c>
      <c r="I731" s="75" t="s">
        <v>313</v>
      </c>
      <c r="J731" s="74">
        <v>790566616</v>
      </c>
      <c r="K731" s="74" t="s">
        <v>314</v>
      </c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</row>
    <row r="732" spans="1:36" ht="12.75">
      <c r="A732" s="74" t="s">
        <v>1500</v>
      </c>
      <c r="B732" s="74"/>
      <c r="C732" s="74" t="s">
        <v>1501</v>
      </c>
      <c r="D732" s="74" t="s">
        <v>1502</v>
      </c>
      <c r="E732" s="146" t="s">
        <v>1503</v>
      </c>
      <c r="F732" s="7" t="s">
        <v>1504</v>
      </c>
      <c r="G732" s="7"/>
      <c r="H732" s="74" t="s">
        <v>1505</v>
      </c>
      <c r="I732" s="75" t="s">
        <v>1506</v>
      </c>
      <c r="J732" s="74" t="s">
        <v>1507</v>
      </c>
      <c r="K732" s="74" t="s">
        <v>1508</v>
      </c>
      <c r="L732" s="74"/>
      <c r="M732" s="74"/>
      <c r="N732" s="74"/>
      <c r="O732" s="74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</row>
    <row r="733" spans="1:36" ht="12.75">
      <c r="A733" s="74" t="s">
        <v>871</v>
      </c>
      <c r="B733" s="74"/>
      <c r="C733" s="74" t="s">
        <v>872</v>
      </c>
      <c r="D733" s="74" t="s">
        <v>873</v>
      </c>
      <c r="E733" s="146">
        <v>716822349</v>
      </c>
      <c r="F733" s="7" t="s">
        <v>874</v>
      </c>
      <c r="G733" s="7"/>
      <c r="H733" s="74" t="s">
        <v>875</v>
      </c>
      <c r="I733" s="75" t="s">
        <v>237</v>
      </c>
      <c r="J733" s="74">
        <v>254721611202</v>
      </c>
      <c r="K733" s="76"/>
      <c r="L733" s="74"/>
      <c r="M733" s="74"/>
      <c r="N733" s="74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</row>
    <row r="734" spans="1:36" ht="12.75">
      <c r="A734" s="74" t="s">
        <v>1938</v>
      </c>
      <c r="B734" s="74"/>
      <c r="C734" s="74" t="s">
        <v>16</v>
      </c>
      <c r="D734" s="74" t="s">
        <v>17</v>
      </c>
      <c r="E734" s="146">
        <v>757182774</v>
      </c>
      <c r="F734" s="7" t="s">
        <v>18</v>
      </c>
      <c r="G734" s="7"/>
      <c r="H734" s="74" t="s">
        <v>19</v>
      </c>
      <c r="I734" s="75" t="s">
        <v>20</v>
      </c>
      <c r="J734" s="74">
        <v>704335222</v>
      </c>
      <c r="K734" s="74" t="s">
        <v>21</v>
      </c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</row>
    <row r="735" spans="1:36" ht="12.75">
      <c r="A735" s="74" t="s">
        <v>1389</v>
      </c>
      <c r="B735" s="74"/>
      <c r="C735" s="74" t="s">
        <v>1390</v>
      </c>
      <c r="D735" s="74" t="s">
        <v>974</v>
      </c>
      <c r="E735" s="146">
        <v>714196401</v>
      </c>
      <c r="F735" s="7" t="s">
        <v>1391</v>
      </c>
      <c r="G735" s="7"/>
      <c r="H735" s="74" t="s">
        <v>1392</v>
      </c>
      <c r="I735" s="75" t="s">
        <v>269</v>
      </c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</row>
    <row r="736" spans="1:36" ht="12.75">
      <c r="A736" s="74" t="s">
        <v>412</v>
      </c>
      <c r="B736" s="74"/>
      <c r="C736" s="74" t="s">
        <v>413</v>
      </c>
      <c r="D736" s="74" t="s">
        <v>353</v>
      </c>
      <c r="E736" s="146">
        <v>254769021762</v>
      </c>
      <c r="F736" s="7" t="s">
        <v>414</v>
      </c>
      <c r="G736" s="7"/>
      <c r="H736" s="74" t="s">
        <v>415</v>
      </c>
      <c r="I736" s="75" t="s">
        <v>416</v>
      </c>
      <c r="J736" s="74">
        <v>728848622</v>
      </c>
      <c r="K736" s="74" t="s">
        <v>417</v>
      </c>
      <c r="L736" s="74"/>
      <c r="M736" s="74"/>
      <c r="N736" s="74"/>
      <c r="O736" s="74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</row>
    <row r="737" spans="1:36" ht="12.75">
      <c r="A737" s="74" t="s">
        <v>299</v>
      </c>
      <c r="B737" s="74"/>
      <c r="C737" s="74" t="s">
        <v>300</v>
      </c>
      <c r="D737" s="74" t="s">
        <v>301</v>
      </c>
      <c r="E737" s="146">
        <v>795829464</v>
      </c>
      <c r="F737" s="7" t="s">
        <v>302</v>
      </c>
      <c r="G737" s="7"/>
      <c r="H737" s="74" t="s">
        <v>303</v>
      </c>
      <c r="I737" s="75" t="s">
        <v>20</v>
      </c>
      <c r="J737" s="74">
        <v>704335222</v>
      </c>
      <c r="K737" s="74" t="s">
        <v>21</v>
      </c>
      <c r="L737" s="74"/>
      <c r="M737" s="74"/>
      <c r="N737" s="74"/>
      <c r="O737" s="74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</row>
    <row r="738" spans="1:36" ht="12.75">
      <c r="A738" s="74" t="s">
        <v>918</v>
      </c>
      <c r="B738" s="74"/>
      <c r="C738" s="74" t="s">
        <v>919</v>
      </c>
      <c r="D738" s="74" t="s">
        <v>266</v>
      </c>
      <c r="E738" s="146">
        <v>254115666759</v>
      </c>
      <c r="F738" s="7" t="s">
        <v>920</v>
      </c>
      <c r="G738" s="7"/>
      <c r="H738" s="74" t="s">
        <v>921</v>
      </c>
      <c r="I738" s="75" t="s">
        <v>922</v>
      </c>
      <c r="J738" s="74" t="s">
        <v>923</v>
      </c>
      <c r="K738" s="74" t="s">
        <v>924</v>
      </c>
      <c r="L738" s="74"/>
      <c r="M738" s="74"/>
      <c r="N738" s="74"/>
      <c r="O738" s="74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</row>
    <row r="739" spans="1:36" ht="12.75">
      <c r="A739" s="74" t="s">
        <v>985</v>
      </c>
      <c r="B739" s="74"/>
      <c r="C739" s="74" t="s">
        <v>986</v>
      </c>
      <c r="D739" s="74" t="s">
        <v>616</v>
      </c>
      <c r="E739" s="146">
        <v>741289114</v>
      </c>
      <c r="F739" s="7" t="s">
        <v>987</v>
      </c>
      <c r="G739" s="7"/>
      <c r="H739" s="74" t="s">
        <v>988</v>
      </c>
      <c r="I739" s="75" t="s">
        <v>989</v>
      </c>
      <c r="J739" s="74">
        <v>725760657</v>
      </c>
      <c r="K739" s="74" t="s">
        <v>990</v>
      </c>
      <c r="L739" s="74"/>
      <c r="M739" s="74"/>
      <c r="N739" s="74"/>
      <c r="O739" s="74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</row>
    <row r="740" spans="1:36" ht="15">
      <c r="A740" s="74" t="s">
        <v>1317</v>
      </c>
      <c r="B740" s="74"/>
      <c r="C740" s="74" t="s">
        <v>1318</v>
      </c>
      <c r="D740" s="74" t="s">
        <v>183</v>
      </c>
      <c r="E740" s="146">
        <v>794566102</v>
      </c>
      <c r="F740" s="7" t="s">
        <v>987</v>
      </c>
      <c r="G740" s="7"/>
      <c r="H740" s="74" t="s">
        <v>988</v>
      </c>
      <c r="I740" s="75" t="s">
        <v>989</v>
      </c>
      <c r="J740" s="74">
        <v>725760657</v>
      </c>
      <c r="K740" s="60" t="s">
        <v>990</v>
      </c>
      <c r="L740" s="28"/>
      <c r="M740" s="28"/>
      <c r="N740" s="28"/>
      <c r="O740" s="28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</row>
    <row r="741" spans="1:36" ht="12.75">
      <c r="A741" s="74" t="s">
        <v>458</v>
      </c>
      <c r="B741" s="74"/>
      <c r="C741" s="74" t="s">
        <v>459</v>
      </c>
      <c r="D741" s="74" t="s">
        <v>460</v>
      </c>
      <c r="E741" s="146">
        <v>769943744</v>
      </c>
      <c r="F741" s="7" t="s">
        <v>461</v>
      </c>
      <c r="G741" s="7"/>
      <c r="H741" s="7" t="s">
        <v>462</v>
      </c>
      <c r="I741" s="8" t="s">
        <v>463</v>
      </c>
      <c r="J741" s="76">
        <v>254726001458</v>
      </c>
      <c r="K741" s="60" t="s">
        <v>464</v>
      </c>
      <c r="L741" s="60"/>
      <c r="M741" s="60"/>
      <c r="N741" s="60"/>
      <c r="O741" s="60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</row>
    <row r="742" spans="1:36" ht="12.75">
      <c r="A742" s="74" t="s">
        <v>88</v>
      </c>
      <c r="B742" s="74"/>
      <c r="C742" s="74" t="s">
        <v>89</v>
      </c>
      <c r="D742" s="74" t="s">
        <v>90</v>
      </c>
      <c r="E742" s="146">
        <v>713707338</v>
      </c>
      <c r="F742" s="7" t="s">
        <v>91</v>
      </c>
      <c r="G742" s="7"/>
      <c r="H742" s="74" t="s">
        <v>92</v>
      </c>
      <c r="I742" s="75" t="s">
        <v>93</v>
      </c>
      <c r="J742" s="74">
        <v>723838579</v>
      </c>
      <c r="K742" s="60" t="s">
        <v>94</v>
      </c>
      <c r="L742" s="60"/>
      <c r="M742" s="60"/>
      <c r="N742" s="60"/>
      <c r="O742" s="60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</row>
    <row r="743" spans="1:36" ht="12.75">
      <c r="A743" s="74" t="s">
        <v>1207</v>
      </c>
      <c r="B743" s="74"/>
      <c r="C743" s="74" t="s">
        <v>1208</v>
      </c>
      <c r="D743" s="74" t="s">
        <v>1209</v>
      </c>
      <c r="E743" s="146">
        <v>707288967</v>
      </c>
      <c r="F743" s="7" t="s">
        <v>1210</v>
      </c>
      <c r="G743" s="7"/>
      <c r="H743" s="74" t="s">
        <v>1211</v>
      </c>
      <c r="I743" s="75" t="s">
        <v>218</v>
      </c>
      <c r="J743" s="74">
        <v>254726129900</v>
      </c>
      <c r="K743" s="74" t="s">
        <v>1212</v>
      </c>
      <c r="L743" s="74"/>
      <c r="M743" s="74"/>
      <c r="N743" s="74"/>
      <c r="O743" s="74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</row>
    <row r="744" spans="1:36" ht="12.75">
      <c r="A744" s="74" t="s">
        <v>1207</v>
      </c>
      <c r="B744" s="60"/>
      <c r="C744" s="60" t="s">
        <v>1208</v>
      </c>
      <c r="D744" s="60" t="s">
        <v>1209</v>
      </c>
      <c r="E744" s="157">
        <v>707288967</v>
      </c>
      <c r="F744" s="1" t="s">
        <v>1210</v>
      </c>
      <c r="G744" s="1"/>
      <c r="H744" s="60" t="s">
        <v>1213</v>
      </c>
      <c r="I744" s="75" t="s">
        <v>218</v>
      </c>
      <c r="J744" s="60">
        <v>202728348</v>
      </c>
      <c r="K744" s="76"/>
      <c r="L744" s="74"/>
      <c r="M744" s="74"/>
      <c r="N744" s="74"/>
      <c r="O744" s="74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</row>
    <row r="745" spans="1:36" ht="15">
      <c r="A745" s="74" t="s">
        <v>1036</v>
      </c>
      <c r="B745" s="74"/>
      <c r="C745" s="74" t="s">
        <v>1037</v>
      </c>
      <c r="D745" s="74" t="s">
        <v>1038</v>
      </c>
      <c r="E745" s="194">
        <v>254718140367</v>
      </c>
      <c r="F745" s="7" t="s">
        <v>1039</v>
      </c>
      <c r="G745" s="7"/>
      <c r="H745" s="74" t="s">
        <v>1040</v>
      </c>
      <c r="I745" s="75" t="s">
        <v>218</v>
      </c>
      <c r="J745" s="74">
        <v>721285886</v>
      </c>
      <c r="K745" s="60" t="s">
        <v>1041</v>
      </c>
      <c r="L745" s="28"/>
      <c r="M745" s="28"/>
      <c r="N745" s="28"/>
      <c r="O745" s="28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</row>
    <row r="746" spans="1:36" ht="12.75">
      <c r="A746" s="74" t="s">
        <v>1036</v>
      </c>
      <c r="B746" s="74"/>
      <c r="C746" s="74" t="s">
        <v>1042</v>
      </c>
      <c r="D746" s="74" t="s">
        <v>402</v>
      </c>
      <c r="E746" s="146">
        <v>254718140367</v>
      </c>
      <c r="F746" s="7" t="s">
        <v>1043</v>
      </c>
      <c r="G746" s="7"/>
      <c r="H746" s="74" t="s">
        <v>1044</v>
      </c>
      <c r="I746" s="75" t="s">
        <v>218</v>
      </c>
      <c r="J746" s="74">
        <v>721285886</v>
      </c>
      <c r="K746" s="74" t="s">
        <v>1041</v>
      </c>
      <c r="L746" s="74"/>
      <c r="M746" s="74"/>
      <c r="N746" s="74"/>
      <c r="O746" s="74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</row>
    <row r="747" spans="1:36" ht="12.75">
      <c r="A747" s="103" t="s">
        <v>1870</v>
      </c>
      <c r="B747" s="108"/>
      <c r="C747" s="108" t="s">
        <v>616</v>
      </c>
      <c r="D747" s="108" t="s">
        <v>616</v>
      </c>
      <c r="E747" s="267"/>
      <c r="F747" s="108" t="s">
        <v>1871</v>
      </c>
      <c r="G747" s="108"/>
      <c r="I747" s="104" t="s">
        <v>1872</v>
      </c>
      <c r="J747" s="108" t="s">
        <v>218</v>
      </c>
      <c r="K747" s="103"/>
      <c r="L747" s="74"/>
      <c r="M747" s="74"/>
      <c r="N747" s="74"/>
      <c r="O747" s="74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</row>
    <row r="748" spans="1:36" ht="12.75">
      <c r="A748" s="74" t="s">
        <v>1045</v>
      </c>
      <c r="B748" s="74"/>
      <c r="C748" s="74" t="s">
        <v>1046</v>
      </c>
      <c r="D748" s="74" t="s">
        <v>790</v>
      </c>
      <c r="E748" s="74">
        <v>748936784</v>
      </c>
      <c r="F748" s="74" t="s">
        <v>1047</v>
      </c>
      <c r="G748" s="74"/>
      <c r="H748" s="74" t="s">
        <v>1048</v>
      </c>
      <c r="I748" s="75" t="s">
        <v>1049</v>
      </c>
      <c r="J748" s="74">
        <v>25472066232</v>
      </c>
      <c r="K748" s="74" t="s">
        <v>1050</v>
      </c>
      <c r="L748" s="74"/>
      <c r="M748" s="74"/>
      <c r="N748" s="74"/>
      <c r="O748" s="74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</row>
    <row r="749" spans="1:36" ht="12.75">
      <c r="A749" s="74" t="s">
        <v>247</v>
      </c>
      <c r="B749" s="74"/>
      <c r="C749" s="74" t="s">
        <v>248</v>
      </c>
      <c r="D749" s="74" t="s">
        <v>227</v>
      </c>
      <c r="E749" s="194">
        <f>254759130352</f>
        <v>254759130352</v>
      </c>
      <c r="F749" s="7" t="s">
        <v>249</v>
      </c>
      <c r="G749" s="7"/>
      <c r="H749" s="74" t="s">
        <v>250</v>
      </c>
      <c r="I749" s="75" t="s">
        <v>251</v>
      </c>
      <c r="J749" s="74">
        <v>703126166</v>
      </c>
      <c r="K749" s="74" t="s">
        <v>252</v>
      </c>
      <c r="L749" s="74"/>
      <c r="M749" s="74"/>
      <c r="N749" s="74"/>
      <c r="O749" s="74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</row>
    <row r="750" spans="1:36" ht="12.75">
      <c r="A750" s="74" t="s">
        <v>709</v>
      </c>
      <c r="B750" s="74"/>
      <c r="C750" s="74" t="s">
        <v>710</v>
      </c>
      <c r="D750" s="74" t="s">
        <v>115</v>
      </c>
      <c r="E750" s="146">
        <v>794353043</v>
      </c>
      <c r="F750" s="7" t="s">
        <v>711</v>
      </c>
      <c r="G750" s="7"/>
      <c r="H750" s="74" t="s">
        <v>712</v>
      </c>
      <c r="I750" s="75" t="s">
        <v>713</v>
      </c>
      <c r="J750" s="74">
        <v>727618228</v>
      </c>
      <c r="K750" s="74" t="s">
        <v>714</v>
      </c>
      <c r="L750" s="74"/>
      <c r="M750" s="74"/>
      <c r="N750" s="74"/>
      <c r="O750" s="74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</row>
    <row r="751" spans="1:36" ht="12.75">
      <c r="A751" s="74" t="s">
        <v>1687</v>
      </c>
      <c r="B751" s="74"/>
      <c r="C751" s="74" t="s">
        <v>1688</v>
      </c>
      <c r="D751" s="74" t="s">
        <v>1689</v>
      </c>
      <c r="E751" s="146">
        <v>793929801</v>
      </c>
      <c r="F751" s="7" t="s">
        <v>711</v>
      </c>
      <c r="G751" s="7"/>
      <c r="H751" s="74" t="s">
        <v>1690</v>
      </c>
      <c r="I751" s="75" t="s">
        <v>713</v>
      </c>
      <c r="J751" s="74">
        <v>727618228</v>
      </c>
      <c r="K751" s="74" t="s">
        <v>714</v>
      </c>
      <c r="L751" s="74"/>
      <c r="M751" s="74"/>
      <c r="N751" s="74"/>
      <c r="O751" s="74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</row>
    <row r="752" spans="1:36" ht="12.75">
      <c r="A752" s="120" t="s">
        <v>433</v>
      </c>
      <c r="B752" s="120"/>
      <c r="C752" s="74" t="s">
        <v>434</v>
      </c>
      <c r="D752" s="74" t="s">
        <v>373</v>
      </c>
      <c r="E752" s="146">
        <v>748929074</v>
      </c>
      <c r="F752" s="7" t="s">
        <v>435</v>
      </c>
      <c r="G752" s="7"/>
      <c r="H752" s="74" t="s">
        <v>436</v>
      </c>
      <c r="I752" s="75" t="s">
        <v>437</v>
      </c>
      <c r="J752" s="114">
        <v>202390930</v>
      </c>
      <c r="K752" s="74" t="s">
        <v>438</v>
      </c>
      <c r="L752" s="74"/>
      <c r="M752" s="74"/>
      <c r="N752" s="74"/>
      <c r="O752" s="74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</row>
    <row r="753" spans="1:36" ht="12.75">
      <c r="A753" s="74" t="s">
        <v>1548</v>
      </c>
      <c r="B753" s="74"/>
      <c r="C753" s="74" t="s">
        <v>1549</v>
      </c>
      <c r="D753" s="74" t="s">
        <v>1550</v>
      </c>
      <c r="E753" s="146">
        <v>115020736</v>
      </c>
      <c r="F753" s="7" t="s">
        <v>1551</v>
      </c>
      <c r="G753" s="7"/>
      <c r="H753" s="74" t="s">
        <v>1552</v>
      </c>
      <c r="I753" s="75" t="s">
        <v>1553</v>
      </c>
      <c r="J753" s="74" t="s">
        <v>1554</v>
      </c>
      <c r="K753" s="74" t="s">
        <v>438</v>
      </c>
      <c r="L753" s="74"/>
      <c r="M753" s="74"/>
      <c r="N753" s="74"/>
      <c r="O753" s="74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</row>
    <row r="754" spans="1:36" ht="12.75">
      <c r="A754" s="74" t="s">
        <v>1456</v>
      </c>
      <c r="B754" s="74"/>
      <c r="C754" s="74" t="s">
        <v>1457</v>
      </c>
      <c r="D754" s="74" t="s">
        <v>1458</v>
      </c>
      <c r="E754" s="146">
        <v>115350710</v>
      </c>
      <c r="F754" s="7" t="s">
        <v>1459</v>
      </c>
      <c r="G754" s="7"/>
      <c r="H754" s="74" t="s">
        <v>1460</v>
      </c>
      <c r="I754" s="75" t="s">
        <v>1461</v>
      </c>
      <c r="J754" s="74">
        <v>721327905</v>
      </c>
      <c r="K754" s="74" t="s">
        <v>1462</v>
      </c>
      <c r="L754" s="74"/>
      <c r="M754" s="74"/>
      <c r="N754" s="74"/>
      <c r="O754" s="74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</row>
    <row r="755" spans="1:36" ht="12.75">
      <c r="A755" s="74" t="s">
        <v>1635</v>
      </c>
      <c r="B755" s="74"/>
      <c r="C755" s="74" t="s">
        <v>1636</v>
      </c>
      <c r="D755" s="74" t="s">
        <v>475</v>
      </c>
      <c r="E755" s="146">
        <v>740810735</v>
      </c>
      <c r="F755" s="7" t="s">
        <v>1637</v>
      </c>
      <c r="G755" s="7"/>
      <c r="H755" s="74" t="s">
        <v>1638</v>
      </c>
      <c r="I755" s="75" t="s">
        <v>237</v>
      </c>
      <c r="J755" s="74">
        <v>722206986</v>
      </c>
      <c r="K755" s="74" t="s">
        <v>1639</v>
      </c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</row>
    <row r="756" spans="1:36" ht="12.75">
      <c r="A756" s="74" t="s">
        <v>788</v>
      </c>
      <c r="B756" s="74"/>
      <c r="C756" s="74" t="s">
        <v>789</v>
      </c>
      <c r="D756" s="74" t="s">
        <v>790</v>
      </c>
      <c r="E756" s="146">
        <v>796539303</v>
      </c>
      <c r="F756" s="7" t="s">
        <v>791</v>
      </c>
      <c r="G756" s="7"/>
      <c r="H756" s="74" t="s">
        <v>792</v>
      </c>
      <c r="I756" s="75" t="s">
        <v>793</v>
      </c>
      <c r="J756" s="76"/>
      <c r="K756" s="76"/>
      <c r="L756" s="74"/>
      <c r="M756" s="74"/>
      <c r="N756" s="74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</row>
    <row r="757" spans="1:36" ht="12.75">
      <c r="A757" s="74" t="s">
        <v>546</v>
      </c>
      <c r="B757" s="74"/>
      <c r="C757" s="74" t="s">
        <v>547</v>
      </c>
      <c r="D757" s="74" t="s">
        <v>266</v>
      </c>
      <c r="E757" s="146">
        <v>712796313</v>
      </c>
      <c r="F757" s="7" t="s">
        <v>548</v>
      </c>
      <c r="G757" s="7"/>
      <c r="H757" s="74" t="s">
        <v>549</v>
      </c>
      <c r="I757" s="75" t="s">
        <v>550</v>
      </c>
      <c r="J757" s="74">
        <v>711645955</v>
      </c>
      <c r="K757" s="74" t="s">
        <v>551</v>
      </c>
      <c r="L757" s="74"/>
      <c r="M757" s="74"/>
      <c r="N757" s="74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</row>
    <row r="758" spans="1:36" ht="12.75">
      <c r="A758" s="74" t="s">
        <v>1073</v>
      </c>
      <c r="B758" s="74"/>
      <c r="C758" s="74" t="s">
        <v>1074</v>
      </c>
      <c r="D758" s="74" t="s">
        <v>83</v>
      </c>
      <c r="E758" s="146">
        <v>706387759</v>
      </c>
      <c r="F758" s="7" t="s">
        <v>1075</v>
      </c>
      <c r="G758" s="7"/>
      <c r="H758" s="74" t="s">
        <v>1076</v>
      </c>
      <c r="I758" s="75" t="s">
        <v>59</v>
      </c>
      <c r="J758" s="74">
        <v>703890895</v>
      </c>
      <c r="K758" s="74" t="s">
        <v>1077</v>
      </c>
      <c r="L758" s="74"/>
      <c r="M758" s="74"/>
      <c r="N758" s="74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</row>
    <row r="759" spans="1:36" ht="12.75">
      <c r="A759" s="264" t="s">
        <v>205</v>
      </c>
      <c r="B759" s="264"/>
      <c r="C759" s="74" t="s">
        <v>206</v>
      </c>
      <c r="D759" s="98" t="s">
        <v>207</v>
      </c>
      <c r="E759" s="262" t="s">
        <v>208</v>
      </c>
      <c r="F759" s="7" t="s">
        <v>209</v>
      </c>
      <c r="G759" s="7"/>
      <c r="H759" s="74" t="s">
        <v>210</v>
      </c>
      <c r="I759" s="75" t="s">
        <v>211</v>
      </c>
      <c r="J759" s="74" t="s">
        <v>212</v>
      </c>
      <c r="K759" s="74" t="s">
        <v>213</v>
      </c>
      <c r="L759" s="74"/>
      <c r="M759" s="74"/>
      <c r="N759" s="74"/>
      <c r="O759" s="74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</row>
    <row r="760" spans="1:36" ht="12.75">
      <c r="A760" s="98" t="s">
        <v>1473</v>
      </c>
      <c r="B760" s="98"/>
      <c r="C760" s="74" t="s">
        <v>1474</v>
      </c>
      <c r="D760" s="74" t="s">
        <v>1312</v>
      </c>
      <c r="E760" s="146">
        <f>254718569004</f>
        <v>254718569004</v>
      </c>
      <c r="F760" s="7" t="s">
        <v>1313</v>
      </c>
      <c r="G760" s="7"/>
      <c r="H760" s="74" t="s">
        <v>1314</v>
      </c>
      <c r="I760" s="75" t="s">
        <v>1315</v>
      </c>
      <c r="J760" s="76">
        <f>254723669945</f>
        <v>254723669945</v>
      </c>
      <c r="K760" s="74" t="s">
        <v>1316</v>
      </c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</row>
    <row r="761" spans="1:36" ht="12.75">
      <c r="A761" s="74" t="s">
        <v>1310</v>
      </c>
      <c r="B761" s="74"/>
      <c r="C761" s="74" t="s">
        <v>1311</v>
      </c>
      <c r="D761" s="74" t="s">
        <v>1312</v>
      </c>
      <c r="E761" s="146">
        <v>254705197012</v>
      </c>
      <c r="F761" s="7" t="s">
        <v>1313</v>
      </c>
      <c r="G761" s="7"/>
      <c r="H761" s="74" t="s">
        <v>1314</v>
      </c>
      <c r="I761" s="75" t="s">
        <v>1315</v>
      </c>
      <c r="J761" s="74">
        <v>254723669945</v>
      </c>
      <c r="K761" s="74" t="s">
        <v>1316</v>
      </c>
      <c r="L761" s="74"/>
      <c r="M761" s="74"/>
      <c r="N761" s="74"/>
      <c r="O761" s="74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</row>
    <row r="762" spans="1:36" ht="12.75">
      <c r="A762" s="74" t="s">
        <v>1860</v>
      </c>
      <c r="B762" s="74"/>
      <c r="C762" s="74" t="s">
        <v>1861</v>
      </c>
      <c r="D762" s="74" t="s">
        <v>1862</v>
      </c>
      <c r="E762" s="146">
        <v>792106242</v>
      </c>
      <c r="F762" s="7" t="s">
        <v>116</v>
      </c>
      <c r="G762" s="7"/>
      <c r="H762" s="74" t="s">
        <v>1863</v>
      </c>
      <c r="I762" s="75" t="s">
        <v>1410</v>
      </c>
      <c r="J762" s="74">
        <v>724259781</v>
      </c>
      <c r="K762" s="74" t="s">
        <v>1864</v>
      </c>
      <c r="L762" s="74"/>
      <c r="M762" s="74"/>
      <c r="N762" s="74"/>
      <c r="O762" s="74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</row>
    <row r="763" spans="1:36" ht="12.75">
      <c r="A763" s="74" t="s">
        <v>540</v>
      </c>
      <c r="B763" s="74"/>
      <c r="C763" s="74" t="s">
        <v>541</v>
      </c>
      <c r="D763" s="74" t="s">
        <v>542</v>
      </c>
      <c r="E763" s="146">
        <v>790315526</v>
      </c>
      <c r="F763" s="7" t="s">
        <v>116</v>
      </c>
      <c r="G763" s="7"/>
      <c r="H763" s="76"/>
      <c r="I763" s="84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</row>
    <row r="764" spans="1:36" ht="12.75">
      <c r="A764" s="74" t="s">
        <v>113</v>
      </c>
      <c r="B764" s="74"/>
      <c r="C764" s="74" t="s">
        <v>114</v>
      </c>
      <c r="D764" s="74" t="s">
        <v>115</v>
      </c>
      <c r="E764" s="146">
        <v>758863974</v>
      </c>
      <c r="F764" s="7" t="s">
        <v>116</v>
      </c>
      <c r="G764" s="7"/>
      <c r="H764" s="76"/>
      <c r="I764" s="84"/>
      <c r="J764" s="76"/>
      <c r="K764" s="76"/>
      <c r="L764" s="74"/>
      <c r="M764" s="74"/>
      <c r="N764" s="74"/>
      <c r="O764" s="74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</row>
    <row r="765" spans="1:36" ht="12.75">
      <c r="A765" s="278" t="s">
        <v>1196</v>
      </c>
      <c r="B765" s="278"/>
      <c r="C765" s="74" t="s">
        <v>1197</v>
      </c>
      <c r="D765" s="74" t="s">
        <v>1142</v>
      </c>
      <c r="E765" s="146">
        <v>254737463052</v>
      </c>
      <c r="F765" s="7" t="s">
        <v>1198</v>
      </c>
      <c r="G765" s="7"/>
      <c r="H765" s="74" t="s">
        <v>1199</v>
      </c>
      <c r="I765" s="75" t="s">
        <v>237</v>
      </c>
      <c r="J765" s="74" t="s">
        <v>1200</v>
      </c>
      <c r="K765" s="74" t="s">
        <v>1201</v>
      </c>
      <c r="L765" s="74"/>
      <c r="M765" s="74"/>
      <c r="N765" s="74"/>
      <c r="O765" s="74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</row>
    <row r="766" spans="1:36" ht="12.75">
      <c r="A766" s="269" t="s">
        <v>1671</v>
      </c>
      <c r="B766" s="269"/>
      <c r="C766" s="264" t="s">
        <v>1672</v>
      </c>
      <c r="D766" s="98" t="s">
        <v>207</v>
      </c>
      <c r="E766" s="262">
        <v>792088927</v>
      </c>
      <c r="F766" s="7" t="s">
        <v>1673</v>
      </c>
      <c r="G766" s="7"/>
      <c r="H766" s="7" t="s">
        <v>1674</v>
      </c>
      <c r="I766" s="8" t="s">
        <v>437</v>
      </c>
      <c r="J766" s="74" t="s">
        <v>1675</v>
      </c>
      <c r="K766" s="74" t="s">
        <v>1676</v>
      </c>
      <c r="L766" s="74"/>
      <c r="M766" s="74"/>
      <c r="N766" s="74"/>
      <c r="O766" s="74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</row>
    <row r="767" spans="1:36" ht="12.75">
      <c r="A767" s="74" t="s">
        <v>841</v>
      </c>
      <c r="B767" s="74"/>
      <c r="C767" s="74" t="s">
        <v>842</v>
      </c>
      <c r="D767" s="74" t="s">
        <v>306</v>
      </c>
      <c r="E767" s="194">
        <v>254700344104</v>
      </c>
      <c r="F767" s="7" t="s">
        <v>843</v>
      </c>
      <c r="G767" s="7"/>
      <c r="H767" s="74" t="s">
        <v>844</v>
      </c>
      <c r="I767" s="75" t="s">
        <v>845</v>
      </c>
      <c r="J767" s="74">
        <v>721218305</v>
      </c>
      <c r="K767" s="74" t="s">
        <v>846</v>
      </c>
      <c r="L767" s="74"/>
      <c r="M767" s="74"/>
      <c r="N767" s="74"/>
      <c r="O767" s="74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</row>
    <row r="768" spans="1:36" ht="12.75">
      <c r="A768" s="74" t="s">
        <v>905</v>
      </c>
      <c r="B768" s="74"/>
      <c r="C768" s="74" t="s">
        <v>906</v>
      </c>
      <c r="D768" s="74" t="s">
        <v>475</v>
      </c>
      <c r="E768" s="146">
        <v>793640387</v>
      </c>
      <c r="F768" s="120" t="s">
        <v>907</v>
      </c>
      <c r="G768" s="120"/>
      <c r="H768" s="74" t="s">
        <v>908</v>
      </c>
      <c r="I768" s="75" t="s">
        <v>909</v>
      </c>
      <c r="J768" s="74">
        <v>722561388</v>
      </c>
      <c r="K768" s="74" t="s">
        <v>910</v>
      </c>
      <c r="L768" s="74"/>
      <c r="M768" s="74"/>
      <c r="N768" s="74"/>
      <c r="O768" s="74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</row>
    <row r="769" spans="1:36" ht="12.75">
      <c r="A769" s="74" t="s">
        <v>814</v>
      </c>
      <c r="B769" s="74"/>
      <c r="C769" s="74" t="s">
        <v>815</v>
      </c>
      <c r="D769" s="74" t="s">
        <v>816</v>
      </c>
      <c r="E769" s="146">
        <v>768191961</v>
      </c>
      <c r="F769" s="7" t="s">
        <v>817</v>
      </c>
      <c r="G769" s="7"/>
      <c r="H769" s="74" t="s">
        <v>818</v>
      </c>
      <c r="I769" s="75" t="s">
        <v>819</v>
      </c>
      <c r="J769" s="76"/>
      <c r="K769" s="74" t="s">
        <v>820</v>
      </c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</row>
    <row r="770" spans="1:36" ht="12.75">
      <c r="A770" s="60" t="s">
        <v>1173</v>
      </c>
      <c r="B770" s="60"/>
      <c r="C770" s="74" t="s">
        <v>1174</v>
      </c>
      <c r="D770" s="74" t="s">
        <v>266</v>
      </c>
      <c r="E770" s="146">
        <v>721861621</v>
      </c>
      <c r="F770" s="7" t="s">
        <v>1175</v>
      </c>
      <c r="G770" s="7"/>
      <c r="H770" s="74" t="s">
        <v>1176</v>
      </c>
      <c r="I770" s="75" t="s">
        <v>1177</v>
      </c>
      <c r="J770" s="74">
        <v>254202606500</v>
      </c>
      <c r="K770" s="60" t="s">
        <v>1178</v>
      </c>
      <c r="L770" s="149"/>
      <c r="M770" s="149"/>
      <c r="N770" s="149"/>
      <c r="O770" s="149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</row>
    <row r="771" spans="1:36" ht="12.75">
      <c r="A771" s="74" t="s">
        <v>473</v>
      </c>
      <c r="B771" s="74"/>
      <c r="C771" s="74" t="s">
        <v>474</v>
      </c>
      <c r="D771" s="74" t="s">
        <v>475</v>
      </c>
      <c r="E771" s="146">
        <v>254726130834</v>
      </c>
      <c r="F771" s="7" t="s">
        <v>476</v>
      </c>
      <c r="G771" s="7"/>
      <c r="H771" s="74" t="s">
        <v>477</v>
      </c>
      <c r="I771" s="75" t="s">
        <v>237</v>
      </c>
      <c r="J771" s="76">
        <v>254724637993</v>
      </c>
      <c r="K771" s="74" t="s">
        <v>478</v>
      </c>
      <c r="L771" s="74"/>
      <c r="M771" s="74"/>
      <c r="N771" s="74"/>
      <c r="O771" s="74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</row>
    <row r="772" spans="1:36" ht="12.75">
      <c r="A772" s="74" t="s">
        <v>1241</v>
      </c>
      <c r="B772" s="74"/>
      <c r="C772" s="74" t="s">
        <v>1242</v>
      </c>
      <c r="D772" s="74" t="s">
        <v>306</v>
      </c>
      <c r="E772" s="146">
        <v>797848559</v>
      </c>
      <c r="F772" s="7" t="s">
        <v>1243</v>
      </c>
      <c r="G772" s="7"/>
      <c r="H772" s="74" t="s">
        <v>1244</v>
      </c>
      <c r="I772" s="75" t="s">
        <v>1245</v>
      </c>
      <c r="J772" s="74" t="s">
        <v>1246</v>
      </c>
      <c r="K772" s="74" t="s">
        <v>1247</v>
      </c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</row>
    <row r="773" spans="1:36" ht="12.75">
      <c r="A773" s="74" t="s">
        <v>1717</v>
      </c>
      <c r="B773" s="74"/>
      <c r="C773" s="74" t="s">
        <v>1718</v>
      </c>
      <c r="D773" s="74" t="s">
        <v>1719</v>
      </c>
      <c r="E773" s="146">
        <v>745276852</v>
      </c>
      <c r="F773" s="7" t="s">
        <v>1720</v>
      </c>
      <c r="G773" s="7"/>
      <c r="H773" s="74" t="s">
        <v>1721</v>
      </c>
      <c r="I773" s="75" t="s">
        <v>218</v>
      </c>
      <c r="J773" s="74">
        <v>254203201000</v>
      </c>
      <c r="K773" s="192" t="s">
        <v>1722</v>
      </c>
      <c r="L773" s="74"/>
      <c r="M773" s="74"/>
      <c r="N773" s="74"/>
      <c r="O773" s="74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</row>
    <row r="774" spans="1:36" ht="12.75">
      <c r="A774" s="74" t="s">
        <v>393</v>
      </c>
      <c r="B774" s="74"/>
      <c r="C774" s="74" t="s">
        <v>394</v>
      </c>
      <c r="D774" s="74" t="s">
        <v>395</v>
      </c>
      <c r="E774" s="146">
        <v>701526064</v>
      </c>
      <c r="F774" s="7" t="s">
        <v>396</v>
      </c>
      <c r="G774" s="7"/>
      <c r="H774" s="74" t="s">
        <v>397</v>
      </c>
      <c r="I774" s="75" t="s">
        <v>398</v>
      </c>
      <c r="J774" s="74">
        <v>254208703000</v>
      </c>
      <c r="K774" s="74" t="s">
        <v>399</v>
      </c>
      <c r="L774" s="74"/>
      <c r="M774" s="74"/>
      <c r="N774" s="74"/>
      <c r="O774" s="74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</row>
    <row r="775" spans="1:36" ht="12.75">
      <c r="A775" s="74" t="s">
        <v>393</v>
      </c>
      <c r="B775" s="74"/>
      <c r="C775" s="74" t="s">
        <v>394</v>
      </c>
      <c r="D775" s="74" t="s">
        <v>395</v>
      </c>
      <c r="E775" s="146">
        <v>701526064</v>
      </c>
      <c r="F775" s="7" t="s">
        <v>396</v>
      </c>
      <c r="G775" s="7"/>
      <c r="H775" s="74" t="s">
        <v>397</v>
      </c>
      <c r="I775" s="75" t="s">
        <v>398</v>
      </c>
      <c r="J775" s="74">
        <v>254208703000</v>
      </c>
      <c r="K775" s="74" t="s">
        <v>399</v>
      </c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</row>
    <row r="776" spans="1:36" ht="12.75">
      <c r="A776" s="74" t="s">
        <v>1264</v>
      </c>
      <c r="B776" s="74"/>
      <c r="C776" s="74" t="s">
        <v>1265</v>
      </c>
      <c r="D776" s="74" t="s">
        <v>425</v>
      </c>
      <c r="E776" s="194"/>
      <c r="F776" s="74" t="s">
        <v>1266</v>
      </c>
      <c r="G776" s="74"/>
      <c r="H776" s="74" t="s">
        <v>1267</v>
      </c>
      <c r="I776" s="75" t="s">
        <v>218</v>
      </c>
      <c r="J776" s="74">
        <v>254115800123</v>
      </c>
      <c r="K776" s="76"/>
      <c r="L776" s="74"/>
      <c r="M776" s="74"/>
      <c r="N776" s="74"/>
      <c r="O776" s="74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</row>
    <row r="777" spans="1:36" ht="12.75">
      <c r="A777" s="103" t="s">
        <v>1264</v>
      </c>
      <c r="B777" s="103"/>
      <c r="C777" s="103" t="s">
        <v>1265</v>
      </c>
      <c r="D777" s="103" t="s">
        <v>425</v>
      </c>
      <c r="E777" s="194"/>
      <c r="F777" s="169" t="s">
        <v>1266</v>
      </c>
      <c r="G777" s="169"/>
      <c r="H777" s="76"/>
      <c r="I777" s="104" t="s">
        <v>218</v>
      </c>
      <c r="J777" s="76"/>
      <c r="K777" s="103" t="s">
        <v>1267</v>
      </c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</row>
    <row r="778" spans="1:36" ht="12.75">
      <c r="A778" s="74" t="s">
        <v>759</v>
      </c>
      <c r="B778" s="74"/>
      <c r="C778" s="74" t="s">
        <v>760</v>
      </c>
      <c r="D778" s="74" t="s">
        <v>723</v>
      </c>
      <c r="E778" s="146">
        <v>110272267</v>
      </c>
      <c r="F778" s="7" t="s">
        <v>761</v>
      </c>
      <c r="G778" s="7"/>
      <c r="H778" s="74" t="s">
        <v>762</v>
      </c>
      <c r="I778" s="75" t="s">
        <v>763</v>
      </c>
      <c r="J778" s="74">
        <v>254723661676</v>
      </c>
      <c r="K778" s="74" t="s">
        <v>101</v>
      </c>
      <c r="L778" s="74"/>
      <c r="M778" s="74"/>
      <c r="N778" s="74"/>
      <c r="O778" s="74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</row>
    <row r="779" spans="1:36" ht="21">
      <c r="A779" s="74" t="s">
        <v>759</v>
      </c>
      <c r="B779" s="74"/>
      <c r="C779" s="74" t="s">
        <v>760</v>
      </c>
      <c r="D779" s="74" t="s">
        <v>723</v>
      </c>
      <c r="E779" s="146">
        <v>110272267</v>
      </c>
      <c r="F779" s="7" t="s">
        <v>761</v>
      </c>
      <c r="G779" s="7"/>
      <c r="H779" s="74" t="s">
        <v>762</v>
      </c>
      <c r="I779" s="75" t="s">
        <v>763</v>
      </c>
      <c r="J779" s="74">
        <v>254723661676</v>
      </c>
      <c r="K779" s="60" t="s">
        <v>101</v>
      </c>
      <c r="L779" s="151"/>
      <c r="M779" s="151"/>
      <c r="N779" s="151"/>
      <c r="O779" s="151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</row>
    <row r="780" spans="1:36" ht="12.75">
      <c r="A780" s="74" t="s">
        <v>1138</v>
      </c>
      <c r="B780" s="74"/>
      <c r="C780" s="74" t="s">
        <v>1139</v>
      </c>
      <c r="D780" s="74" t="s">
        <v>430</v>
      </c>
      <c r="E780" s="146">
        <v>254708770426</v>
      </c>
      <c r="F780" s="7" t="s">
        <v>98</v>
      </c>
      <c r="G780" s="7"/>
      <c r="H780" s="74" t="s">
        <v>99</v>
      </c>
      <c r="I780" s="75" t="s">
        <v>100</v>
      </c>
      <c r="J780" s="74">
        <v>254758722020</v>
      </c>
      <c r="K780" s="74" t="s">
        <v>101</v>
      </c>
      <c r="L780" s="74"/>
      <c r="M780" s="74"/>
      <c r="N780" s="74"/>
      <c r="O780" s="74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</row>
    <row r="781" spans="1:36" ht="12.75">
      <c r="A781" s="74" t="s">
        <v>1398</v>
      </c>
      <c r="B781" s="74"/>
      <c r="C781" s="74" t="s">
        <v>1399</v>
      </c>
      <c r="D781" s="74" t="s">
        <v>430</v>
      </c>
      <c r="E781" s="146">
        <v>254725978947</v>
      </c>
      <c r="F781" s="7" t="s">
        <v>98</v>
      </c>
      <c r="G781" s="7"/>
      <c r="H781" s="74" t="s">
        <v>99</v>
      </c>
      <c r="I781" s="75" t="s">
        <v>100</v>
      </c>
      <c r="J781" s="74">
        <v>25458722020</v>
      </c>
      <c r="K781" s="74" t="s">
        <v>101</v>
      </c>
      <c r="L781" s="74"/>
      <c r="M781" s="74"/>
      <c r="N781" s="74"/>
      <c r="O781" s="74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</row>
    <row r="782" spans="1:36" ht="12.75">
      <c r="A782" s="74" t="s">
        <v>95</v>
      </c>
      <c r="B782" s="74"/>
      <c r="C782" s="74" t="s">
        <v>96</v>
      </c>
      <c r="D782" s="74" t="s">
        <v>97</v>
      </c>
      <c r="E782" s="146">
        <v>254114826691</v>
      </c>
      <c r="F782" s="7" t="s">
        <v>98</v>
      </c>
      <c r="G782" s="7"/>
      <c r="H782" s="74" t="s">
        <v>99</v>
      </c>
      <c r="I782" s="75" t="s">
        <v>100</v>
      </c>
      <c r="J782" s="74">
        <v>254758722020</v>
      </c>
      <c r="K782" s="74" t="s">
        <v>101</v>
      </c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</row>
    <row r="783" spans="1:36" ht="12.75">
      <c r="A783" s="74" t="s">
        <v>1069</v>
      </c>
      <c r="B783" s="74"/>
      <c r="C783" s="74" t="s">
        <v>1070</v>
      </c>
      <c r="D783" s="74" t="s">
        <v>628</v>
      </c>
      <c r="E783" s="194">
        <v>254758466097</v>
      </c>
      <c r="F783" s="7" t="s">
        <v>1071</v>
      </c>
      <c r="G783" s="7"/>
      <c r="H783" s="74" t="s">
        <v>762</v>
      </c>
      <c r="I783" s="75" t="s">
        <v>1072</v>
      </c>
      <c r="J783" s="74">
        <v>254723661676</v>
      </c>
      <c r="K783" s="74" t="s">
        <v>101</v>
      </c>
      <c r="L783" s="60"/>
      <c r="M783" s="60"/>
      <c r="N783" s="60"/>
      <c r="O783" s="60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</row>
    <row r="784" spans="1:36" ht="12.75">
      <c r="A784" s="74" t="s">
        <v>1069</v>
      </c>
      <c r="B784" s="74"/>
      <c r="C784" s="74" t="s">
        <v>1070</v>
      </c>
      <c r="D784" s="74" t="s">
        <v>628</v>
      </c>
      <c r="E784" s="194">
        <v>254758466097</v>
      </c>
      <c r="F784" s="7" t="s">
        <v>1071</v>
      </c>
      <c r="G784" s="7"/>
      <c r="H784" s="74" t="s">
        <v>762</v>
      </c>
      <c r="I784" s="75" t="s">
        <v>1072</v>
      </c>
      <c r="J784" s="74">
        <v>254723661676</v>
      </c>
      <c r="K784" s="74" t="s">
        <v>101</v>
      </c>
      <c r="L784" s="74"/>
      <c r="M784" s="74"/>
      <c r="N784" s="74"/>
      <c r="O784" s="74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</row>
    <row r="785" spans="1:36" ht="12.75">
      <c r="A785" s="74" t="s">
        <v>1114</v>
      </c>
      <c r="B785" s="74"/>
      <c r="C785" s="74" t="s">
        <v>1115</v>
      </c>
      <c r="D785" s="264" t="s">
        <v>1116</v>
      </c>
      <c r="E785" s="146">
        <v>790454240</v>
      </c>
      <c r="F785" s="7" t="s">
        <v>1117</v>
      </c>
      <c r="G785" s="7"/>
      <c r="H785" s="74" t="s">
        <v>1118</v>
      </c>
      <c r="I785" s="75" t="s">
        <v>650</v>
      </c>
      <c r="J785" s="74">
        <v>723927833</v>
      </c>
      <c r="K785" s="74" t="s">
        <v>651</v>
      </c>
      <c r="L785" s="74"/>
      <c r="M785" s="74"/>
      <c r="N785" s="74"/>
      <c r="O785" s="74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</row>
    <row r="786" spans="1:36" ht="12.75">
      <c r="A786" s="74" t="s">
        <v>646</v>
      </c>
      <c r="B786" s="74"/>
      <c r="C786" s="74" t="s">
        <v>647</v>
      </c>
      <c r="D786" s="264" t="s">
        <v>648</v>
      </c>
      <c r="E786" s="146">
        <v>758565180</v>
      </c>
      <c r="F786" s="7" t="s">
        <v>1117</v>
      </c>
      <c r="G786" s="7"/>
      <c r="H786" s="74" t="s">
        <v>1118</v>
      </c>
      <c r="I786" s="75" t="s">
        <v>650</v>
      </c>
      <c r="J786" s="74">
        <v>723927833</v>
      </c>
      <c r="K786" s="74" t="s">
        <v>651</v>
      </c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</row>
    <row r="787" spans="1:36" ht="12.75">
      <c r="A787" s="74" t="s">
        <v>1865</v>
      </c>
      <c r="B787" s="74"/>
      <c r="C787" s="74" t="s">
        <v>1866</v>
      </c>
      <c r="D787" s="74" t="s">
        <v>62</v>
      </c>
      <c r="E787" s="146">
        <v>769703272</v>
      </c>
      <c r="F787" s="7" t="s">
        <v>1867</v>
      </c>
      <c r="G787" s="7"/>
      <c r="H787" s="74" t="s">
        <v>1868</v>
      </c>
      <c r="I787" s="75" t="s">
        <v>218</v>
      </c>
      <c r="J787" s="74">
        <v>104040696</v>
      </c>
      <c r="K787" s="74" t="s">
        <v>1869</v>
      </c>
      <c r="L787" s="74"/>
      <c r="M787" s="74"/>
      <c r="N787" s="74"/>
      <c r="O787" s="74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</row>
    <row r="788" spans="1:36" ht="12.75">
      <c r="A788" s="74" t="s">
        <v>1167</v>
      </c>
      <c r="B788" s="74"/>
      <c r="C788" s="74" t="s">
        <v>1168</v>
      </c>
      <c r="D788" s="74" t="s">
        <v>1116</v>
      </c>
      <c r="E788" s="157">
        <v>707286414</v>
      </c>
      <c r="F788" s="7" t="s">
        <v>1169</v>
      </c>
      <c r="G788" s="7"/>
      <c r="H788" s="74" t="s">
        <v>1170</v>
      </c>
      <c r="I788" s="75" t="s">
        <v>1171</v>
      </c>
      <c r="J788" s="74">
        <v>733697998</v>
      </c>
      <c r="K788" s="74" t="s">
        <v>1172</v>
      </c>
      <c r="L788" s="74"/>
      <c r="M788" s="74"/>
      <c r="N788" s="74"/>
      <c r="O788" s="74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</row>
    <row r="789" spans="1:36" ht="12.75">
      <c r="A789" s="74" t="s">
        <v>447</v>
      </c>
      <c r="B789" s="74"/>
      <c r="C789" s="74" t="s">
        <v>448</v>
      </c>
      <c r="D789" s="74" t="s">
        <v>38</v>
      </c>
      <c r="E789" s="146">
        <v>727045550</v>
      </c>
      <c r="F789" s="198" t="s">
        <v>700</v>
      </c>
      <c r="G789" s="198"/>
      <c r="H789" s="74" t="s">
        <v>450</v>
      </c>
      <c r="I789" s="75" t="s">
        <v>451</v>
      </c>
      <c r="J789" s="60">
        <v>799290271</v>
      </c>
      <c r="K789" s="74" t="s">
        <v>87</v>
      </c>
      <c r="L789" s="74"/>
      <c r="M789" s="74"/>
      <c r="N789" s="74"/>
      <c r="O789" s="74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</row>
    <row r="790" spans="1:36" ht="12.75">
      <c r="A790" s="74" t="s">
        <v>81</v>
      </c>
      <c r="B790" s="74"/>
      <c r="C790" s="74" t="s">
        <v>82</v>
      </c>
      <c r="D790" s="74" t="s">
        <v>83</v>
      </c>
      <c r="E790" s="146">
        <v>113551500</v>
      </c>
      <c r="F790" s="198" t="s">
        <v>700</v>
      </c>
      <c r="G790" s="198"/>
      <c r="H790" s="74" t="s">
        <v>85</v>
      </c>
      <c r="I790" s="75" t="s">
        <v>451</v>
      </c>
      <c r="J790" s="74">
        <v>773416044</v>
      </c>
      <c r="K790" s="74" t="s">
        <v>87</v>
      </c>
      <c r="L790" s="74"/>
      <c r="M790" s="74"/>
      <c r="N790" s="74"/>
      <c r="O790" s="74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</row>
    <row r="791" spans="1:36" ht="12.75">
      <c r="A791" s="74" t="s">
        <v>2952</v>
      </c>
      <c r="B791" s="74"/>
      <c r="C791" s="74" t="s">
        <v>1546</v>
      </c>
      <c r="D791" s="74" t="s">
        <v>56</v>
      </c>
      <c r="E791" s="146">
        <v>705975725</v>
      </c>
      <c r="F791" s="198" t="s">
        <v>700</v>
      </c>
      <c r="G791" s="198"/>
      <c r="H791" s="74" t="s">
        <v>450</v>
      </c>
      <c r="I791" s="75" t="s">
        <v>451</v>
      </c>
      <c r="J791" s="74">
        <v>799290741</v>
      </c>
      <c r="K791" s="74" t="s">
        <v>87</v>
      </c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</row>
    <row r="792" spans="1:36" ht="12.75">
      <c r="A792" s="74" t="s">
        <v>589</v>
      </c>
      <c r="B792" s="74"/>
      <c r="C792" s="74" t="s">
        <v>590</v>
      </c>
      <c r="D792" s="74" t="s">
        <v>341</v>
      </c>
      <c r="E792" s="146">
        <v>115703463</v>
      </c>
      <c r="F792" s="198" t="s">
        <v>700</v>
      </c>
      <c r="G792" s="198"/>
      <c r="H792" s="74" t="s">
        <v>450</v>
      </c>
      <c r="I792" s="75" t="s">
        <v>451</v>
      </c>
      <c r="J792" s="74">
        <v>773416044</v>
      </c>
      <c r="K792" s="74" t="s">
        <v>87</v>
      </c>
      <c r="L792" s="74"/>
      <c r="M792" s="74"/>
      <c r="N792" s="74"/>
      <c r="O792" s="74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</row>
    <row r="793" spans="1:36" ht="12.75">
      <c r="A793" s="268" t="s">
        <v>225</v>
      </c>
      <c r="B793" s="268"/>
      <c r="C793" s="74" t="s">
        <v>226</v>
      </c>
      <c r="D793" s="74" t="s">
        <v>227</v>
      </c>
      <c r="E793" s="146">
        <v>701968880</v>
      </c>
      <c r="F793" s="7" t="s">
        <v>228</v>
      </c>
      <c r="G793" s="7"/>
      <c r="H793" s="74" t="s">
        <v>229</v>
      </c>
      <c r="I793" s="75" t="s">
        <v>2953</v>
      </c>
      <c r="J793" s="74">
        <v>768483996</v>
      </c>
      <c r="K793" s="74" t="s">
        <v>230</v>
      </c>
      <c r="L793" s="74"/>
      <c r="M793" s="74"/>
      <c r="N793" s="74"/>
      <c r="O793" s="74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</row>
    <row r="794" spans="1:36" ht="12.75">
      <c r="A794" s="74" t="s">
        <v>364</v>
      </c>
      <c r="B794" s="74"/>
      <c r="C794" s="74" t="s">
        <v>365</v>
      </c>
      <c r="D794" s="74" t="s">
        <v>366</v>
      </c>
      <c r="E794" s="146">
        <v>703852546</v>
      </c>
      <c r="F794" s="7" t="s">
        <v>367</v>
      </c>
      <c r="G794" s="7"/>
      <c r="H794" s="74" t="s">
        <v>368</v>
      </c>
      <c r="I794" s="75" t="s">
        <v>369</v>
      </c>
      <c r="J794" s="74">
        <v>715728888</v>
      </c>
      <c r="K794" s="74" t="s">
        <v>370</v>
      </c>
      <c r="L794" s="74"/>
      <c r="M794" s="74"/>
      <c r="N794" s="74"/>
      <c r="O794" s="74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</row>
    <row r="795" spans="1:36" ht="12.75">
      <c r="A795" s="74" t="s">
        <v>405</v>
      </c>
      <c r="B795" s="74"/>
      <c r="C795" s="74" t="s">
        <v>406</v>
      </c>
      <c r="D795" s="74" t="s">
        <v>407</v>
      </c>
      <c r="E795" s="146">
        <v>791360805</v>
      </c>
      <c r="F795" s="7" t="s">
        <v>408</v>
      </c>
      <c r="G795" s="7"/>
      <c r="H795" s="74" t="s">
        <v>409</v>
      </c>
      <c r="I795" s="75" t="s">
        <v>410</v>
      </c>
      <c r="J795" s="74">
        <v>202109472</v>
      </c>
      <c r="K795" s="74" t="s">
        <v>411</v>
      </c>
      <c r="L795" s="74"/>
      <c r="M795" s="74"/>
      <c r="N795" s="74"/>
      <c r="O795" s="74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</row>
    <row r="796" spans="1:36" ht="12.75">
      <c r="A796" s="74" t="s">
        <v>706</v>
      </c>
      <c r="B796" s="74"/>
      <c r="C796" s="74" t="s">
        <v>707</v>
      </c>
      <c r="D796" s="74" t="s">
        <v>38</v>
      </c>
      <c r="E796" s="146">
        <v>254748929946</v>
      </c>
      <c r="F796" s="7" t="s">
        <v>708</v>
      </c>
      <c r="G796" s="7"/>
      <c r="H796" s="74" t="s">
        <v>40</v>
      </c>
      <c r="I796" s="75" t="s">
        <v>179</v>
      </c>
      <c r="J796" s="76"/>
      <c r="K796" s="74" t="s">
        <v>42</v>
      </c>
      <c r="L796" s="74"/>
      <c r="M796" s="74"/>
      <c r="N796" s="74"/>
      <c r="O796" s="74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</row>
    <row r="797" spans="1:36" ht="12.75">
      <c r="A797" s="74" t="s">
        <v>706</v>
      </c>
      <c r="B797" s="74"/>
      <c r="C797" s="74" t="s">
        <v>707</v>
      </c>
      <c r="D797" s="74" t="s">
        <v>38</v>
      </c>
      <c r="E797" s="146">
        <v>254748929946</v>
      </c>
      <c r="F797" s="7" t="s">
        <v>708</v>
      </c>
      <c r="G797" s="7"/>
      <c r="H797" s="74" t="s">
        <v>40</v>
      </c>
      <c r="I797" s="75" t="s">
        <v>179</v>
      </c>
      <c r="J797" s="76"/>
      <c r="K797" s="74" t="s">
        <v>42</v>
      </c>
      <c r="L797" s="74"/>
      <c r="M797" s="74"/>
      <c r="N797" s="74"/>
      <c r="O797" s="74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</row>
    <row r="798" spans="1:36" ht="12.75">
      <c r="A798" s="74" t="s">
        <v>506</v>
      </c>
      <c r="B798" s="74"/>
      <c r="C798" s="74" t="s">
        <v>507</v>
      </c>
      <c r="D798" s="74" t="s">
        <v>508</v>
      </c>
      <c r="E798" s="146">
        <v>746469327</v>
      </c>
      <c r="F798" s="7" t="s">
        <v>509</v>
      </c>
      <c r="G798" s="7"/>
      <c r="H798" s="74" t="s">
        <v>510</v>
      </c>
      <c r="I798" s="75" t="s">
        <v>511</v>
      </c>
      <c r="J798" s="74" t="s">
        <v>512</v>
      </c>
      <c r="K798" s="74" t="s">
        <v>513</v>
      </c>
      <c r="L798" s="74"/>
      <c r="M798" s="74"/>
      <c r="N798" s="74"/>
      <c r="O798" s="74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</row>
    <row r="799" spans="1:36" ht="12.75">
      <c r="A799" s="74" t="s">
        <v>506</v>
      </c>
      <c r="B799" s="74"/>
      <c r="C799" s="74" t="s">
        <v>507</v>
      </c>
      <c r="D799" s="74" t="s">
        <v>508</v>
      </c>
      <c r="E799" s="146">
        <v>746469327</v>
      </c>
      <c r="F799" s="7" t="s">
        <v>509</v>
      </c>
      <c r="G799" s="7"/>
      <c r="H799" s="74" t="s">
        <v>510</v>
      </c>
      <c r="I799" s="75" t="s">
        <v>511</v>
      </c>
      <c r="J799" s="74" t="s">
        <v>512</v>
      </c>
      <c r="K799" s="74" t="s">
        <v>513</v>
      </c>
      <c r="L799" s="74"/>
      <c r="M799" s="74"/>
      <c r="N799" s="74"/>
      <c r="O799" s="74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</row>
    <row r="800" spans="1:36" ht="12.75">
      <c r="A800" s="74" t="s">
        <v>506</v>
      </c>
      <c r="B800" s="74"/>
      <c r="C800" s="74" t="s">
        <v>507</v>
      </c>
      <c r="D800" s="74" t="s">
        <v>508</v>
      </c>
      <c r="E800" s="146">
        <v>746469327</v>
      </c>
      <c r="F800" s="7" t="s">
        <v>509</v>
      </c>
      <c r="G800" s="7"/>
      <c r="H800" s="74" t="s">
        <v>510</v>
      </c>
      <c r="I800" s="75" t="s">
        <v>511</v>
      </c>
      <c r="J800" s="74" t="s">
        <v>512</v>
      </c>
      <c r="K800" s="74" t="s">
        <v>513</v>
      </c>
      <c r="L800" s="74"/>
      <c r="M800" s="74"/>
      <c r="N800" s="74"/>
      <c r="O800" s="74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</row>
    <row r="801" spans="1:36" ht="12.75">
      <c r="A801" s="169" t="s">
        <v>679</v>
      </c>
      <c r="B801" s="169"/>
      <c r="C801" s="103" t="s">
        <v>680</v>
      </c>
      <c r="D801" s="103" t="s">
        <v>680</v>
      </c>
      <c r="E801" s="194"/>
      <c r="F801" s="103" t="s">
        <v>681</v>
      </c>
      <c r="G801" s="103"/>
      <c r="H801" s="103" t="s">
        <v>682</v>
      </c>
      <c r="I801" s="104" t="s">
        <v>179</v>
      </c>
      <c r="J801" s="105">
        <v>254713487535</v>
      </c>
      <c r="K801" s="103" t="s">
        <v>180</v>
      </c>
      <c r="L801" s="74"/>
      <c r="M801" s="74"/>
      <c r="N801" s="74"/>
      <c r="O801" s="74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</row>
    <row r="802" spans="1:36" ht="12.75">
      <c r="A802" s="103" t="s">
        <v>176</v>
      </c>
      <c r="B802" s="103"/>
      <c r="C802" s="103" t="s">
        <v>177</v>
      </c>
      <c r="D802" s="103" t="s">
        <v>177</v>
      </c>
      <c r="E802" s="194"/>
      <c r="F802" s="103" t="s">
        <v>178</v>
      </c>
      <c r="G802" s="103"/>
      <c r="H802" s="103" t="s">
        <v>26</v>
      </c>
      <c r="I802" s="104" t="s">
        <v>179</v>
      </c>
      <c r="J802" s="105">
        <v>701158499</v>
      </c>
      <c r="K802" s="103" t="s">
        <v>180</v>
      </c>
      <c r="L802" s="74"/>
      <c r="M802" s="74"/>
      <c r="N802" s="74"/>
      <c r="O802" s="74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</row>
    <row r="803" spans="1:36" ht="12.75">
      <c r="A803" s="60" t="s">
        <v>220</v>
      </c>
      <c r="B803" s="60"/>
      <c r="C803" s="60" t="s">
        <v>221</v>
      </c>
      <c r="D803" s="60" t="s">
        <v>83</v>
      </c>
      <c r="E803" s="194">
        <v>254746771704</v>
      </c>
      <c r="F803" s="1" t="s">
        <v>222</v>
      </c>
      <c r="G803" s="1"/>
      <c r="I803" s="88" t="s">
        <v>223</v>
      </c>
      <c r="K803" s="74" t="s">
        <v>224</v>
      </c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</row>
    <row r="804" spans="1:36" ht="12.75">
      <c r="A804" s="60" t="s">
        <v>1304</v>
      </c>
      <c r="B804" s="60"/>
      <c r="C804" s="60" t="s">
        <v>1305</v>
      </c>
      <c r="D804" s="60" t="s">
        <v>62</v>
      </c>
      <c r="E804" s="146">
        <v>769215770</v>
      </c>
      <c r="F804" s="1" t="s">
        <v>1306</v>
      </c>
      <c r="G804" s="1"/>
      <c r="H804" s="74" t="s">
        <v>1307</v>
      </c>
      <c r="I804" s="75" t="s">
        <v>1308</v>
      </c>
      <c r="J804" s="74">
        <v>700649061</v>
      </c>
      <c r="K804" s="60" t="s">
        <v>1309</v>
      </c>
      <c r="L804" s="60"/>
      <c r="M804" s="60"/>
      <c r="N804" s="60"/>
      <c r="O804" s="60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</row>
    <row r="805" spans="1:36" ht="12.75">
      <c r="A805" s="60" t="s">
        <v>579</v>
      </c>
      <c r="B805" s="60"/>
      <c r="C805" s="60" t="s">
        <v>580</v>
      </c>
      <c r="D805" s="60" t="s">
        <v>341</v>
      </c>
      <c r="E805" s="146">
        <v>740238756</v>
      </c>
      <c r="F805" s="1" t="s">
        <v>581</v>
      </c>
      <c r="G805" s="1"/>
      <c r="H805" s="74" t="s">
        <v>582</v>
      </c>
      <c r="I805" s="75" t="s">
        <v>583</v>
      </c>
      <c r="J805" s="74">
        <v>710907511</v>
      </c>
      <c r="K805" s="98" t="s">
        <v>246</v>
      </c>
      <c r="L805" s="60"/>
      <c r="M805" s="60"/>
      <c r="N805" s="60"/>
      <c r="O805" s="60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</row>
    <row r="806" spans="1:36" ht="12.75">
      <c r="A806" s="60" t="s">
        <v>1033</v>
      </c>
      <c r="B806" s="60"/>
      <c r="C806" s="60" t="s">
        <v>1034</v>
      </c>
      <c r="D806" s="60" t="s">
        <v>998</v>
      </c>
      <c r="E806" s="146">
        <v>115516860</v>
      </c>
      <c r="F806" s="1" t="s">
        <v>827</v>
      </c>
      <c r="G806" s="1"/>
      <c r="H806" s="74" t="s">
        <v>1035</v>
      </c>
      <c r="I806" s="75" t="s">
        <v>245</v>
      </c>
      <c r="J806" s="74">
        <v>710907511</v>
      </c>
      <c r="K806" s="60" t="s">
        <v>246</v>
      </c>
      <c r="L806" s="60"/>
      <c r="M806" s="60"/>
      <c r="N806" s="60"/>
      <c r="O806" s="60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</row>
    <row r="807" spans="1:36" ht="12.75">
      <c r="A807" s="60" t="s">
        <v>825</v>
      </c>
      <c r="B807" s="60"/>
      <c r="C807" s="60" t="s">
        <v>826</v>
      </c>
      <c r="D807" s="60" t="s">
        <v>227</v>
      </c>
      <c r="E807" s="146">
        <v>113197613</v>
      </c>
      <c r="F807" s="60" t="s">
        <v>827</v>
      </c>
      <c r="G807" s="60"/>
      <c r="H807" s="60" t="s">
        <v>244</v>
      </c>
      <c r="I807" s="88" t="s">
        <v>245</v>
      </c>
      <c r="J807" s="60">
        <v>710907511</v>
      </c>
      <c r="K807" s="60" t="s">
        <v>828</v>
      </c>
      <c r="L807" s="60"/>
      <c r="M807" s="60"/>
      <c r="N807" s="60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</row>
    <row r="808" spans="1:36" ht="12.75">
      <c r="A808" s="60" t="s">
        <v>835</v>
      </c>
      <c r="B808" s="60"/>
      <c r="C808" s="60" t="s">
        <v>836</v>
      </c>
      <c r="D808" s="60" t="s">
        <v>382</v>
      </c>
      <c r="E808" s="146">
        <v>746745221</v>
      </c>
      <c r="F808" s="1" t="s">
        <v>383</v>
      </c>
      <c r="G808" s="1"/>
      <c r="H808" s="1" t="s">
        <v>837</v>
      </c>
      <c r="I808" s="15" t="s">
        <v>385</v>
      </c>
      <c r="J808" s="212">
        <v>2545220104</v>
      </c>
      <c r="K808" s="74" t="s">
        <v>386</v>
      </c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</row>
    <row r="809" spans="1:36" ht="12.75">
      <c r="A809" s="60" t="s">
        <v>380</v>
      </c>
      <c r="B809" s="60"/>
      <c r="C809" s="60" t="s">
        <v>381</v>
      </c>
      <c r="D809" s="60" t="s">
        <v>382</v>
      </c>
      <c r="E809" s="146">
        <v>748366638</v>
      </c>
      <c r="F809" s="1" t="s">
        <v>383</v>
      </c>
      <c r="G809" s="1"/>
      <c r="H809" s="60" t="s">
        <v>384</v>
      </c>
      <c r="I809" s="88" t="s">
        <v>385</v>
      </c>
      <c r="J809" s="212">
        <v>2545220104</v>
      </c>
      <c r="K809" s="60" t="s">
        <v>386</v>
      </c>
      <c r="L809" s="60"/>
      <c r="M809" s="60"/>
      <c r="N809" s="60"/>
      <c r="O809" s="60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</row>
    <row r="810" spans="1:36" ht="12.75">
      <c r="A810" s="60" t="s">
        <v>240</v>
      </c>
      <c r="B810" s="60"/>
      <c r="C810" s="60" t="s">
        <v>241</v>
      </c>
      <c r="D810" s="60" t="s">
        <v>242</v>
      </c>
      <c r="E810" s="146">
        <v>797093039</v>
      </c>
      <c r="F810" s="7" t="s">
        <v>243</v>
      </c>
      <c r="G810" s="7"/>
      <c r="H810" s="74" t="s">
        <v>244</v>
      </c>
      <c r="I810" s="75" t="s">
        <v>245</v>
      </c>
      <c r="J810" s="74">
        <v>710907511</v>
      </c>
      <c r="K810" s="74" t="s">
        <v>246</v>
      </c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</row>
    <row r="811" spans="1:36" ht="12.75">
      <c r="A811" s="60" t="s">
        <v>387</v>
      </c>
      <c r="B811" s="60"/>
      <c r="C811" s="60" t="s">
        <v>388</v>
      </c>
      <c r="D811" s="60" t="s">
        <v>389</v>
      </c>
      <c r="E811" s="146">
        <v>707225290</v>
      </c>
      <c r="F811" s="1" t="s">
        <v>243</v>
      </c>
      <c r="G811" s="1"/>
      <c r="H811" s="60" t="s">
        <v>244</v>
      </c>
      <c r="I811" s="75" t="s">
        <v>245</v>
      </c>
      <c r="J811" s="60">
        <v>710907511</v>
      </c>
      <c r="K811" s="74"/>
      <c r="L811" s="74"/>
      <c r="M811" s="74"/>
      <c r="N811" s="74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</row>
    <row r="812" spans="1:36" ht="12.75">
      <c r="A812" s="74" t="s">
        <v>1783</v>
      </c>
      <c r="B812" s="74"/>
      <c r="C812" s="74" t="s">
        <v>1784</v>
      </c>
      <c r="D812" s="74" t="s">
        <v>198</v>
      </c>
      <c r="E812" s="146">
        <v>751778415</v>
      </c>
      <c r="F812" s="7" t="s">
        <v>243</v>
      </c>
      <c r="G812" s="7"/>
      <c r="H812" s="74" t="s">
        <v>582</v>
      </c>
      <c r="I812" s="75" t="s">
        <v>245</v>
      </c>
      <c r="J812" s="74">
        <v>710907511</v>
      </c>
      <c r="K812" s="74" t="s">
        <v>246</v>
      </c>
      <c r="L812" s="74"/>
      <c r="M812" s="74"/>
      <c r="N812" s="74"/>
      <c r="O812" s="74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</row>
    <row r="813" spans="1:36" ht="15">
      <c r="A813" s="74" t="s">
        <v>390</v>
      </c>
      <c r="B813" s="74"/>
      <c r="C813" s="74" t="s">
        <v>391</v>
      </c>
      <c r="D813" s="74" t="s">
        <v>306</v>
      </c>
      <c r="E813" s="146">
        <v>725925680</v>
      </c>
      <c r="F813" s="7" t="s">
        <v>243</v>
      </c>
      <c r="G813" s="7"/>
      <c r="H813" s="74" t="s">
        <v>392</v>
      </c>
      <c r="I813" s="75" t="s">
        <v>245</v>
      </c>
      <c r="J813" s="123">
        <v>710907511</v>
      </c>
      <c r="K813" s="123" t="s">
        <v>246</v>
      </c>
      <c r="L813" s="74"/>
      <c r="M813" s="74"/>
      <c r="N813" s="74"/>
      <c r="O813" s="74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</row>
    <row r="814" spans="1:36" ht="12.75">
      <c r="A814" s="74" t="s">
        <v>1843</v>
      </c>
      <c r="B814" s="74"/>
      <c r="C814" s="74" t="s">
        <v>1844</v>
      </c>
      <c r="D814" s="74" t="s">
        <v>279</v>
      </c>
      <c r="E814" s="146">
        <v>254115464041</v>
      </c>
      <c r="F814" s="7" t="s">
        <v>1845</v>
      </c>
      <c r="G814" s="7"/>
      <c r="H814" s="74" t="s">
        <v>1846</v>
      </c>
      <c r="I814" s="75" t="s">
        <v>1498</v>
      </c>
      <c r="J814" s="74">
        <v>254723281150</v>
      </c>
      <c r="K814" s="74" t="s">
        <v>1847</v>
      </c>
      <c r="L814" s="74"/>
      <c r="M814" s="74"/>
      <c r="N814" s="74"/>
      <c r="O814" s="74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</row>
    <row r="815" spans="1:36" ht="12.75">
      <c r="A815" s="74" t="s">
        <v>1087</v>
      </c>
      <c r="B815" s="74"/>
      <c r="C815" s="74" t="s">
        <v>1088</v>
      </c>
      <c r="D815" s="74" t="s">
        <v>56</v>
      </c>
      <c r="E815" s="146">
        <v>254792790722</v>
      </c>
      <c r="F815" s="7" t="s">
        <v>1089</v>
      </c>
      <c r="G815" s="7"/>
      <c r="H815" s="74" t="s">
        <v>1090</v>
      </c>
      <c r="I815" s="75" t="s">
        <v>1091</v>
      </c>
      <c r="J815" s="74">
        <v>254742222224</v>
      </c>
      <c r="K815" s="74" t="s">
        <v>1092</v>
      </c>
      <c r="L815" s="74"/>
      <c r="M815" s="74"/>
      <c r="N815" s="74"/>
      <c r="O815" s="74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</row>
    <row r="816" spans="1:36" ht="12.75">
      <c r="A816" s="74" t="s">
        <v>1087</v>
      </c>
      <c r="B816" s="74"/>
      <c r="C816" s="74" t="s">
        <v>1088</v>
      </c>
      <c r="D816" s="74" t="s">
        <v>56</v>
      </c>
      <c r="E816" s="146">
        <v>254792790722</v>
      </c>
      <c r="F816" s="7" t="s">
        <v>1089</v>
      </c>
      <c r="G816" s="7"/>
      <c r="H816" s="74" t="s">
        <v>1090</v>
      </c>
      <c r="I816" s="75" t="s">
        <v>1091</v>
      </c>
      <c r="J816" s="74">
        <v>254742222224</v>
      </c>
      <c r="K816" s="74" t="s">
        <v>1092</v>
      </c>
      <c r="L816" s="74"/>
      <c r="M816" s="74"/>
      <c r="N816" s="74"/>
      <c r="O816" s="74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</row>
    <row r="817" spans="1:36" ht="12.75">
      <c r="A817" s="60" t="s">
        <v>728</v>
      </c>
      <c r="B817" s="60"/>
      <c r="C817" s="60" t="s">
        <v>729</v>
      </c>
      <c r="D817" s="60" t="s">
        <v>227</v>
      </c>
      <c r="E817" s="146">
        <v>112523358</v>
      </c>
      <c r="F817" s="1" t="s">
        <v>730</v>
      </c>
      <c r="G817" s="1"/>
      <c r="H817" s="74" t="s">
        <v>731</v>
      </c>
      <c r="I817" s="88" t="s">
        <v>732</v>
      </c>
      <c r="J817" s="74">
        <v>722575169</v>
      </c>
      <c r="K817" s="60" t="s">
        <v>733</v>
      </c>
      <c r="L817" s="158"/>
      <c r="M817" s="158"/>
      <c r="N817" s="158"/>
      <c r="O817" s="158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</row>
    <row r="818" spans="1:36" ht="12.75">
      <c r="A818" s="159" t="s">
        <v>1697</v>
      </c>
      <c r="B818" s="159"/>
      <c r="C818" s="159" t="s">
        <v>1698</v>
      </c>
      <c r="D818" s="159" t="s">
        <v>1699</v>
      </c>
      <c r="E818" s="298">
        <v>254111777670</v>
      </c>
      <c r="F818" s="1" t="s">
        <v>1700</v>
      </c>
      <c r="G818" s="1"/>
      <c r="H818" s="60" t="s">
        <v>1701</v>
      </c>
      <c r="I818" s="88" t="s">
        <v>726</v>
      </c>
      <c r="J818" s="60">
        <v>202066042</v>
      </c>
      <c r="K818" s="60" t="s">
        <v>1702</v>
      </c>
      <c r="L818" s="60"/>
      <c r="M818" s="60"/>
    </row>
    <row r="819" spans="1:36" ht="12.75">
      <c r="A819" s="60" t="s">
        <v>558</v>
      </c>
      <c r="B819" s="60"/>
      <c r="C819" s="60" t="s">
        <v>559</v>
      </c>
      <c r="D819" s="60" t="s">
        <v>529</v>
      </c>
      <c r="E819" s="146">
        <v>705752447</v>
      </c>
      <c r="F819" s="1" t="s">
        <v>560</v>
      </c>
      <c r="G819" s="1"/>
      <c r="H819" s="60" t="s">
        <v>561</v>
      </c>
      <c r="I819" s="88" t="s">
        <v>1099</v>
      </c>
      <c r="J819" s="74">
        <v>734894994</v>
      </c>
      <c r="K819" s="60" t="s">
        <v>363</v>
      </c>
      <c r="L819" s="158"/>
      <c r="M819" s="158"/>
      <c r="N819" s="158"/>
      <c r="O819" s="158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</row>
    <row r="820" spans="1:36" ht="12.75">
      <c r="A820" s="60" t="s">
        <v>359</v>
      </c>
      <c r="B820" s="60"/>
      <c r="C820" s="60" t="s">
        <v>360</v>
      </c>
      <c r="D820" s="60" t="s">
        <v>266</v>
      </c>
      <c r="E820" s="146">
        <v>745679194</v>
      </c>
      <c r="F820" s="1" t="s">
        <v>361</v>
      </c>
      <c r="G820" s="1"/>
      <c r="H820" s="60" t="s">
        <v>362</v>
      </c>
      <c r="I820" s="88" t="s">
        <v>1099</v>
      </c>
      <c r="J820" s="60">
        <v>734894994</v>
      </c>
      <c r="K820" s="60" t="s">
        <v>363</v>
      </c>
      <c r="L820" s="158"/>
      <c r="M820" s="158"/>
      <c r="N820" s="158"/>
      <c r="O820" s="158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</row>
    <row r="821" spans="1:36" ht="12.75">
      <c r="A821" s="60" t="s">
        <v>1482</v>
      </c>
      <c r="B821" s="60"/>
      <c r="C821" s="60" t="s">
        <v>1483</v>
      </c>
      <c r="D821" s="60" t="s">
        <v>1484</v>
      </c>
      <c r="E821" s="146">
        <v>700314150</v>
      </c>
      <c r="F821" s="302" t="s">
        <v>1485</v>
      </c>
      <c r="G821" s="303"/>
      <c r="I821" s="248"/>
      <c r="L821" s="158"/>
      <c r="M821" s="158"/>
      <c r="N821" s="158"/>
      <c r="O821" s="158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</row>
    <row r="822" spans="1:36" ht="12.75">
      <c r="A822" s="60" t="s">
        <v>1371</v>
      </c>
      <c r="B822" s="60"/>
      <c r="C822" s="60" t="s">
        <v>1372</v>
      </c>
      <c r="D822" s="60" t="s">
        <v>227</v>
      </c>
      <c r="E822" s="146">
        <v>716292448</v>
      </c>
      <c r="F822" s="1" t="s">
        <v>1373</v>
      </c>
      <c r="G822" s="1"/>
      <c r="I822" s="248"/>
      <c r="L822" s="158"/>
      <c r="M822" s="158"/>
      <c r="N822" s="158"/>
      <c r="O822" s="158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</row>
    <row r="823" spans="1:36" ht="12.75">
      <c r="A823" s="60" t="s">
        <v>181</v>
      </c>
      <c r="B823" s="60"/>
      <c r="C823" s="60" t="s">
        <v>182</v>
      </c>
      <c r="D823" s="60" t="s">
        <v>183</v>
      </c>
      <c r="E823" s="146">
        <v>704800599</v>
      </c>
      <c r="F823" s="1" t="s">
        <v>184</v>
      </c>
      <c r="G823" s="1"/>
      <c r="H823" s="1" t="s">
        <v>185</v>
      </c>
      <c r="I823" s="88" t="s">
        <v>186</v>
      </c>
      <c r="J823" s="60">
        <v>728336074</v>
      </c>
      <c r="K823" s="60" t="s">
        <v>187</v>
      </c>
      <c r="L823" s="158"/>
      <c r="M823" s="158"/>
      <c r="N823" s="158"/>
      <c r="O823" s="158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</row>
    <row r="824" spans="1:36" ht="12.75">
      <c r="A824" s="60" t="s">
        <v>1644</v>
      </c>
      <c r="B824" s="60"/>
      <c r="C824" s="60" t="s">
        <v>1645</v>
      </c>
      <c r="D824" s="60" t="s">
        <v>1646</v>
      </c>
      <c r="E824" s="146">
        <v>745340588</v>
      </c>
      <c r="F824" s="1" t="s">
        <v>493</v>
      </c>
      <c r="G824" s="1"/>
      <c r="H824" s="60"/>
      <c r="I824" s="88"/>
      <c r="J824" s="60"/>
      <c r="K824" s="60"/>
      <c r="L824" s="158"/>
      <c r="M824" s="158"/>
      <c r="N824" s="158"/>
      <c r="O824" s="158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</row>
    <row r="825" spans="1:36" ht="12.75">
      <c r="A825" s="60" t="s">
        <v>1202</v>
      </c>
      <c r="B825" s="60"/>
      <c r="C825" s="60" t="s">
        <v>1203</v>
      </c>
      <c r="D825" s="60" t="s">
        <v>233</v>
      </c>
      <c r="E825" s="146">
        <v>254793644542</v>
      </c>
      <c r="F825" s="1" t="s">
        <v>1204</v>
      </c>
      <c r="G825" s="1"/>
      <c r="H825" s="60" t="s">
        <v>1205</v>
      </c>
      <c r="I825" s="88" t="s">
        <v>1206</v>
      </c>
      <c r="J825" s="60"/>
      <c r="K825" s="60"/>
      <c r="L825" s="158"/>
      <c r="M825" s="158"/>
      <c r="N825" s="158"/>
      <c r="O825" s="158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</row>
    <row r="826" spans="1:36" ht="12.75">
      <c r="A826" s="60" t="s">
        <v>829</v>
      </c>
      <c r="B826" s="60"/>
      <c r="C826" s="60" t="s">
        <v>830</v>
      </c>
      <c r="D826" s="60" t="s">
        <v>395</v>
      </c>
      <c r="E826" s="146">
        <v>740969109</v>
      </c>
      <c r="F826" s="1" t="s">
        <v>831</v>
      </c>
      <c r="G826" s="1"/>
      <c r="H826" s="60" t="s">
        <v>832</v>
      </c>
      <c r="I826" s="88" t="s">
        <v>833</v>
      </c>
      <c r="J826" s="60">
        <v>724626334</v>
      </c>
      <c r="K826" s="60" t="s">
        <v>834</v>
      </c>
      <c r="L826" s="162"/>
      <c r="M826" s="162"/>
      <c r="N826" s="162"/>
      <c r="O826" s="158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</row>
    <row r="827" spans="1:36" ht="12.75">
      <c r="A827" s="60" t="s">
        <v>2954</v>
      </c>
      <c r="B827" s="60"/>
      <c r="C827" s="60" t="s">
        <v>1873</v>
      </c>
      <c r="D827" s="60" t="s">
        <v>38</v>
      </c>
      <c r="E827" s="146">
        <v>711782814</v>
      </c>
      <c r="F827" s="1" t="s">
        <v>1874</v>
      </c>
      <c r="G827" s="1"/>
      <c r="H827" s="60" t="s">
        <v>1875</v>
      </c>
      <c r="I827" s="88" t="s">
        <v>1876</v>
      </c>
      <c r="J827" s="60">
        <v>254710901376</v>
      </c>
      <c r="K827" s="96" t="s">
        <v>1877</v>
      </c>
      <c r="L827" s="158"/>
      <c r="M827" s="158"/>
      <c r="N827" s="158"/>
      <c r="O827" s="158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</row>
    <row r="828" spans="1:36" ht="12.75">
      <c r="A828" s="60" t="s">
        <v>652</v>
      </c>
      <c r="B828" s="60"/>
      <c r="C828" s="60" t="s">
        <v>653</v>
      </c>
      <c r="D828" s="60" t="s">
        <v>654</v>
      </c>
      <c r="E828" s="146">
        <v>714689250</v>
      </c>
      <c r="F828" s="1" t="s">
        <v>655</v>
      </c>
      <c r="G828" s="1"/>
      <c r="H828" s="60" t="s">
        <v>656</v>
      </c>
      <c r="I828" s="88" t="s">
        <v>237</v>
      </c>
      <c r="J828" s="60" t="s">
        <v>657</v>
      </c>
      <c r="K828" s="60" t="s">
        <v>658</v>
      </c>
      <c r="L828" s="158"/>
      <c r="M828" s="158"/>
      <c r="N828" s="158"/>
      <c r="O828" s="158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</row>
    <row r="829" spans="1:36" ht="12.75">
      <c r="A829" s="304" t="s">
        <v>1848</v>
      </c>
      <c r="B829" s="304"/>
      <c r="C829" s="159" t="s">
        <v>1849</v>
      </c>
      <c r="D829" s="159" t="s">
        <v>310</v>
      </c>
      <c r="E829" s="262">
        <v>112955879</v>
      </c>
      <c r="F829" s="1" t="s">
        <v>1850</v>
      </c>
      <c r="G829" s="1"/>
      <c r="H829" s="7" t="s">
        <v>1851</v>
      </c>
      <c r="I829" s="15" t="s">
        <v>1852</v>
      </c>
      <c r="J829" s="60" t="s">
        <v>1853</v>
      </c>
      <c r="K829" s="60" t="s">
        <v>1854</v>
      </c>
      <c r="L829" s="158"/>
      <c r="M829" s="158"/>
      <c r="N829" s="158"/>
      <c r="O829" s="158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</row>
    <row r="830" spans="1:36" ht="12.75">
      <c r="A830" s="108" t="s">
        <v>1342</v>
      </c>
      <c r="B830" s="108"/>
      <c r="C830" s="108" t="s">
        <v>1343</v>
      </c>
      <c r="D830" s="305" t="s">
        <v>475</v>
      </c>
      <c r="E830" s="194"/>
      <c r="F830" s="108" t="s">
        <v>1344</v>
      </c>
      <c r="G830" s="108"/>
      <c r="H830" s="103" t="s">
        <v>1345</v>
      </c>
      <c r="I830" s="109" t="s">
        <v>218</v>
      </c>
      <c r="K830" s="108" t="s">
        <v>1346</v>
      </c>
      <c r="L830" s="158"/>
      <c r="M830" s="158"/>
      <c r="N830" s="158"/>
      <c r="O830" s="158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</row>
    <row r="831" spans="1:36" ht="12.75">
      <c r="A831" s="60" t="s">
        <v>1058</v>
      </c>
      <c r="B831" s="60"/>
      <c r="C831" s="60" t="s">
        <v>1059</v>
      </c>
      <c r="D831" s="60" t="s">
        <v>1060</v>
      </c>
      <c r="E831" s="146">
        <v>742766340</v>
      </c>
      <c r="F831" s="1" t="s">
        <v>1061</v>
      </c>
      <c r="G831" s="1"/>
      <c r="H831" s="74" t="s">
        <v>1062</v>
      </c>
      <c r="I831" s="248"/>
      <c r="L831" s="158"/>
      <c r="M831" s="158"/>
      <c r="N831" s="158"/>
      <c r="O831" s="158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</row>
    <row r="832" spans="1:36" ht="12.75">
      <c r="A832" s="74" t="s">
        <v>231</v>
      </c>
      <c r="B832" s="74"/>
      <c r="C832" s="74" t="s">
        <v>232</v>
      </c>
      <c r="D832" s="74" t="s">
        <v>233</v>
      </c>
      <c r="E832" s="146" t="s">
        <v>234</v>
      </c>
      <c r="F832" s="7" t="s">
        <v>235</v>
      </c>
      <c r="G832" s="7"/>
      <c r="H832" s="74" t="s">
        <v>236</v>
      </c>
      <c r="I832" s="75" t="s">
        <v>237</v>
      </c>
      <c r="J832" s="74" t="s">
        <v>238</v>
      </c>
      <c r="K832" s="74" t="s">
        <v>239</v>
      </c>
      <c r="L832" s="74"/>
      <c r="M832" s="74"/>
      <c r="N832" s="74"/>
      <c r="O832" s="74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</row>
    <row r="833" spans="1:36" ht="12.75">
      <c r="A833" s="103" t="s">
        <v>1598</v>
      </c>
      <c r="B833" s="103"/>
      <c r="C833" s="103" t="s">
        <v>1599</v>
      </c>
      <c r="D833" s="103" t="s">
        <v>1599</v>
      </c>
      <c r="E833" s="194"/>
      <c r="F833" s="103" t="s">
        <v>1601</v>
      </c>
      <c r="G833" s="103"/>
      <c r="H833" s="103" t="s">
        <v>1602</v>
      </c>
      <c r="I833" s="104" t="s">
        <v>1603</v>
      </c>
      <c r="J833" s="105">
        <v>254740180940</v>
      </c>
      <c r="K833" s="103" t="s">
        <v>1604</v>
      </c>
      <c r="L833" s="74"/>
      <c r="M833" s="74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</row>
    <row r="834" spans="1:36" ht="12.75">
      <c r="A834" s="74" t="s">
        <v>1677</v>
      </c>
      <c r="B834" s="74"/>
      <c r="C834" s="74" t="s">
        <v>1678</v>
      </c>
      <c r="D834" s="74" t="s">
        <v>951</v>
      </c>
      <c r="E834" s="146">
        <v>25494595047</v>
      </c>
      <c r="F834" s="7" t="s">
        <v>1679</v>
      </c>
      <c r="G834" s="7"/>
      <c r="H834" s="74" t="s">
        <v>1680</v>
      </c>
      <c r="I834" s="75" t="s">
        <v>245</v>
      </c>
      <c r="J834" s="74">
        <v>254722501129</v>
      </c>
      <c r="K834" s="74" t="s">
        <v>1681</v>
      </c>
      <c r="L834" s="74"/>
      <c r="M834" s="74"/>
      <c r="N834" s="74"/>
      <c r="O834" s="74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</row>
    <row r="835" spans="1:36" ht="12.75">
      <c r="A835" s="74" t="s">
        <v>491</v>
      </c>
      <c r="B835" s="74"/>
      <c r="C835" s="74" t="s">
        <v>492</v>
      </c>
      <c r="D835" s="74" t="s">
        <v>183</v>
      </c>
      <c r="E835" s="146">
        <v>708818064</v>
      </c>
      <c r="F835" s="7" t="s">
        <v>2955</v>
      </c>
      <c r="G835" s="7"/>
      <c r="H835" s="74" t="s">
        <v>2956</v>
      </c>
      <c r="I835" s="75" t="s">
        <v>2957</v>
      </c>
      <c r="J835" s="74">
        <v>710578736</v>
      </c>
      <c r="K835" s="74" t="s">
        <v>411</v>
      </c>
      <c r="L835" s="74"/>
      <c r="M835" s="74"/>
      <c r="N835" s="74"/>
      <c r="O835" s="74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</row>
    <row r="836" spans="1:36" ht="12.75">
      <c r="A836" s="74" t="s">
        <v>689</v>
      </c>
      <c r="B836" s="74"/>
      <c r="C836" s="74" t="s">
        <v>690</v>
      </c>
      <c r="D836" s="74" t="s">
        <v>691</v>
      </c>
      <c r="E836" s="146">
        <v>111819396</v>
      </c>
      <c r="F836" s="7" t="s">
        <v>692</v>
      </c>
      <c r="G836" s="7"/>
      <c r="H836" s="74" t="s">
        <v>693</v>
      </c>
      <c r="I836" s="75" t="s">
        <v>694</v>
      </c>
      <c r="J836" s="74">
        <v>788765979</v>
      </c>
      <c r="K836" s="74" t="s">
        <v>695</v>
      </c>
      <c r="L836" s="74"/>
      <c r="M836" s="74"/>
      <c r="N836" s="74"/>
      <c r="O836" s="74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</row>
    <row r="837" spans="1:36" ht="12.75">
      <c r="A837" s="74" t="s">
        <v>753</v>
      </c>
      <c r="B837" s="74"/>
      <c r="C837" s="74" t="s">
        <v>754</v>
      </c>
      <c r="D837" s="74" t="s">
        <v>441</v>
      </c>
      <c r="E837" s="74">
        <v>759444529</v>
      </c>
      <c r="F837" s="7" t="s">
        <v>755</v>
      </c>
      <c r="G837" s="7"/>
      <c r="H837" s="74" t="s">
        <v>756</v>
      </c>
      <c r="I837" s="75" t="s">
        <v>757</v>
      </c>
      <c r="J837" s="74">
        <v>723274626</v>
      </c>
      <c r="K837" s="74" t="s">
        <v>758</v>
      </c>
      <c r="L837" s="74"/>
      <c r="M837" s="74"/>
      <c r="N837" s="74"/>
      <c r="O837" s="74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</row>
    <row r="838" spans="1:36" ht="12.75">
      <c r="A838" s="74" t="s">
        <v>821</v>
      </c>
      <c r="B838" s="74"/>
      <c r="C838" s="74" t="s">
        <v>822</v>
      </c>
      <c r="D838" s="74" t="s">
        <v>301</v>
      </c>
      <c r="E838" s="146">
        <v>793667896</v>
      </c>
      <c r="F838" s="7" t="s">
        <v>823</v>
      </c>
      <c r="G838" s="7"/>
      <c r="H838" s="148" t="s">
        <v>3565</v>
      </c>
      <c r="I838" s="75" t="s">
        <v>269</v>
      </c>
      <c r="J838" s="74">
        <v>254111000600</v>
      </c>
      <c r="K838" s="74" t="s">
        <v>824</v>
      </c>
      <c r="L838" s="74"/>
      <c r="M838" s="74"/>
      <c r="N838" s="74"/>
      <c r="O838" s="74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</row>
    <row r="839" spans="1:36" ht="12.75">
      <c r="A839" s="74" t="s">
        <v>1051</v>
      </c>
      <c r="B839" s="74"/>
      <c r="C839" s="74" t="s">
        <v>1052</v>
      </c>
      <c r="D839" s="60" t="s">
        <v>1053</v>
      </c>
      <c r="E839" s="146">
        <v>748883793</v>
      </c>
      <c r="F839" s="7" t="s">
        <v>1054</v>
      </c>
      <c r="G839" s="7"/>
      <c r="H839" s="74" t="s">
        <v>1055</v>
      </c>
      <c r="I839" s="75" t="s">
        <v>1056</v>
      </c>
      <c r="J839" s="74">
        <v>711794957</v>
      </c>
      <c r="K839" s="74" t="s">
        <v>1057</v>
      </c>
      <c r="L839" s="74"/>
      <c r="M839" s="74"/>
      <c r="N839" s="74"/>
      <c r="O839" s="74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</row>
    <row r="840" spans="1:36" ht="12.75">
      <c r="A840" s="74" t="s">
        <v>972</v>
      </c>
      <c r="B840" s="74"/>
      <c r="C840" s="74" t="s">
        <v>973</v>
      </c>
      <c r="D840" s="74" t="s">
        <v>974</v>
      </c>
      <c r="E840" s="146">
        <v>792066892</v>
      </c>
      <c r="F840" s="7" t="s">
        <v>975</v>
      </c>
      <c r="G840" s="7"/>
      <c r="H840" s="74" t="s">
        <v>976</v>
      </c>
      <c r="I840" s="75" t="s">
        <v>977</v>
      </c>
      <c r="J840" s="76">
        <f>254771370824</f>
        <v>254771370824</v>
      </c>
      <c r="K840" s="74" t="s">
        <v>978</v>
      </c>
      <c r="L840" s="74"/>
      <c r="M840" s="74"/>
      <c r="N840" s="74"/>
      <c r="O840" s="74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</row>
    <row r="841" spans="1:36" ht="12.75">
      <c r="A841" s="74" t="s">
        <v>1232</v>
      </c>
      <c r="B841" s="74"/>
      <c r="C841" s="74" t="s">
        <v>1233</v>
      </c>
      <c r="D841" s="74" t="s">
        <v>1234</v>
      </c>
      <c r="E841" s="146">
        <v>798952035</v>
      </c>
      <c r="F841" s="7" t="s">
        <v>975</v>
      </c>
      <c r="G841" s="7"/>
      <c r="H841" s="76"/>
      <c r="I841" s="84"/>
      <c r="J841" s="76"/>
      <c r="K841" s="76"/>
      <c r="L841" s="74"/>
      <c r="M841" s="74"/>
      <c r="N841" s="74"/>
      <c r="O841" s="74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</row>
    <row r="842" spans="1:36" ht="12.75">
      <c r="A842" s="74" t="s">
        <v>972</v>
      </c>
      <c r="B842" s="74"/>
      <c r="C842" s="74" t="s">
        <v>973</v>
      </c>
      <c r="D842" s="74" t="s">
        <v>974</v>
      </c>
      <c r="E842" s="146">
        <v>792066892</v>
      </c>
      <c r="F842" s="7" t="s">
        <v>975</v>
      </c>
      <c r="G842" s="7"/>
      <c r="H842" s="74" t="s">
        <v>976</v>
      </c>
      <c r="I842" s="75" t="s">
        <v>977</v>
      </c>
      <c r="J842" s="76">
        <f>254771370824</f>
        <v>254771370824</v>
      </c>
      <c r="K842" s="74" t="s">
        <v>978</v>
      </c>
      <c r="L842" s="74"/>
      <c r="M842" s="74"/>
      <c r="N842" s="74"/>
      <c r="O842" s="74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</row>
    <row r="843" spans="1:36" ht="12.75">
      <c r="A843" s="74" t="s">
        <v>972</v>
      </c>
      <c r="B843" s="74"/>
      <c r="C843" s="74" t="s">
        <v>973</v>
      </c>
      <c r="D843" s="74" t="s">
        <v>974</v>
      </c>
      <c r="E843" s="146">
        <v>792066892</v>
      </c>
      <c r="F843" s="7" t="s">
        <v>975</v>
      </c>
      <c r="G843" s="7"/>
      <c r="H843" s="74" t="s">
        <v>976</v>
      </c>
      <c r="I843" s="75" t="s">
        <v>977</v>
      </c>
      <c r="J843" s="76">
        <f>254771370824</f>
        <v>254771370824</v>
      </c>
      <c r="K843" s="74" t="s">
        <v>978</v>
      </c>
      <c r="L843" s="74"/>
      <c r="M843" s="74"/>
      <c r="N843" s="74"/>
      <c r="O843" s="74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</row>
    <row r="844" spans="1:36" ht="12.75">
      <c r="A844" s="74" t="s">
        <v>878</v>
      </c>
      <c r="B844" s="74"/>
      <c r="C844" s="74" t="s">
        <v>879</v>
      </c>
      <c r="D844" s="74" t="s">
        <v>880</v>
      </c>
      <c r="E844" s="194">
        <f>254701871794</f>
        <v>254701871794</v>
      </c>
      <c r="F844" s="7" t="s">
        <v>881</v>
      </c>
      <c r="G844" s="7"/>
      <c r="H844" s="74" t="s">
        <v>669</v>
      </c>
      <c r="I844" s="75" t="s">
        <v>86</v>
      </c>
      <c r="J844" s="76">
        <f>254733903289</f>
        <v>254733903289</v>
      </c>
      <c r="K844" s="74" t="s">
        <v>787</v>
      </c>
      <c r="L844" s="74"/>
      <c r="M844" s="74"/>
      <c r="N844" s="74"/>
      <c r="O844" s="74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</row>
    <row r="845" spans="1:36" ht="12.75">
      <c r="A845" s="74" t="s">
        <v>400</v>
      </c>
      <c r="B845" s="74"/>
      <c r="C845" s="74" t="s">
        <v>401</v>
      </c>
      <c r="D845" s="74" t="s">
        <v>402</v>
      </c>
      <c r="E845" s="146">
        <v>25415132089</v>
      </c>
      <c r="F845" s="7" t="s">
        <v>2958</v>
      </c>
      <c r="G845" s="7"/>
      <c r="H845" s="74" t="s">
        <v>2959</v>
      </c>
      <c r="I845" s="75" t="s">
        <v>1410</v>
      </c>
      <c r="J845" s="74">
        <v>104791045</v>
      </c>
      <c r="K845" s="74" t="s">
        <v>758</v>
      </c>
      <c r="L845" s="74"/>
      <c r="M845" s="74"/>
      <c r="N845" s="74"/>
      <c r="O845" s="74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</row>
    <row r="846" spans="1:36" ht="15">
      <c r="A846" s="74" t="s">
        <v>1286</v>
      </c>
      <c r="B846" s="74"/>
      <c r="C846" s="74" t="s">
        <v>1287</v>
      </c>
      <c r="D846" s="74" t="s">
        <v>273</v>
      </c>
      <c r="E846" s="74">
        <v>758230357</v>
      </c>
      <c r="F846" s="74" t="s">
        <v>1288</v>
      </c>
      <c r="G846" s="74"/>
      <c r="H846" s="74" t="s">
        <v>1289</v>
      </c>
      <c r="I846" s="75" t="s">
        <v>1290</v>
      </c>
      <c r="J846" s="60">
        <v>700697568</v>
      </c>
      <c r="K846" s="60" t="s">
        <v>1291</v>
      </c>
      <c r="L846" s="166"/>
      <c r="M846" s="166"/>
      <c r="N846" s="166"/>
      <c r="O846" s="167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</row>
    <row r="847" spans="1:36" ht="15">
      <c r="A847" s="103"/>
      <c r="B847" s="103"/>
      <c r="C847" s="103" t="s">
        <v>1878</v>
      </c>
      <c r="D847" s="103" t="s">
        <v>1878</v>
      </c>
      <c r="E847" s="194"/>
      <c r="F847" s="103" t="s">
        <v>1879</v>
      </c>
      <c r="G847" s="108"/>
      <c r="H847" s="108" t="s">
        <v>1880</v>
      </c>
      <c r="I847" s="104" t="s">
        <v>1881</v>
      </c>
      <c r="J847" s="110">
        <v>254792079695</v>
      </c>
      <c r="K847" s="108" t="s">
        <v>1882</v>
      </c>
      <c r="L847" s="167"/>
      <c r="M847" s="167"/>
      <c r="N847" s="167"/>
      <c r="O847" s="167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</row>
    <row r="848" spans="1:36" ht="12.75">
      <c r="A848" s="74" t="s">
        <v>1733</v>
      </c>
      <c r="B848" s="74"/>
      <c r="C848" s="74" t="s">
        <v>1734</v>
      </c>
      <c r="D848" s="74" t="s">
        <v>71</v>
      </c>
      <c r="E848" s="146">
        <v>720569701</v>
      </c>
      <c r="F848" s="7" t="s">
        <v>1735</v>
      </c>
      <c r="G848" s="7"/>
      <c r="H848" s="74" t="s">
        <v>1736</v>
      </c>
      <c r="I848" s="75" t="s">
        <v>237</v>
      </c>
      <c r="J848" s="74">
        <v>725624489</v>
      </c>
      <c r="K848" s="74" t="s">
        <v>1424</v>
      </c>
      <c r="L848" s="74"/>
      <c r="M848" s="74"/>
      <c r="N848" s="74"/>
      <c r="O848" s="74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</row>
    <row r="849" spans="1:36" ht="12.75">
      <c r="A849" s="74" t="s">
        <v>1751</v>
      </c>
      <c r="B849" s="74"/>
      <c r="C849" s="74" t="s">
        <v>1752</v>
      </c>
      <c r="D849" s="74" t="s">
        <v>1753</v>
      </c>
      <c r="E849" s="146">
        <v>115344075</v>
      </c>
      <c r="F849" s="7" t="s">
        <v>1422</v>
      </c>
      <c r="G849" s="7"/>
      <c r="H849" s="74"/>
      <c r="I849" s="75"/>
      <c r="J849" s="74"/>
      <c r="K849" s="74"/>
      <c r="L849" s="74"/>
      <c r="M849" s="74"/>
      <c r="N849" s="74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</row>
    <row r="850" spans="1:36" ht="12.75">
      <c r="A850" s="74" t="s">
        <v>1419</v>
      </c>
      <c r="B850" s="74"/>
      <c r="C850" s="74" t="s">
        <v>1420</v>
      </c>
      <c r="D850" s="74" t="s">
        <v>1421</v>
      </c>
      <c r="E850" s="146">
        <v>799861595</v>
      </c>
      <c r="F850" s="146" t="s">
        <v>1422</v>
      </c>
      <c r="G850" s="146"/>
      <c r="H850" s="74" t="s">
        <v>1423</v>
      </c>
      <c r="I850" s="88" t="s">
        <v>269</v>
      </c>
      <c r="J850" s="74">
        <v>725624489</v>
      </c>
      <c r="K850" s="74" t="s">
        <v>1424</v>
      </c>
      <c r="L850" s="74"/>
      <c r="M850" s="74"/>
      <c r="N850" s="74"/>
      <c r="O850" s="74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</row>
    <row r="851" spans="1:36" ht="12.75">
      <c r="A851" s="74" t="s">
        <v>1628</v>
      </c>
      <c r="B851" s="74"/>
      <c r="C851" s="74" t="s">
        <v>1629</v>
      </c>
      <c r="D851" s="74" t="s">
        <v>1630</v>
      </c>
      <c r="E851" s="194">
        <f>254700767131</f>
        <v>254700767131</v>
      </c>
      <c r="F851" s="7" t="s">
        <v>1631</v>
      </c>
      <c r="G851" s="7"/>
      <c r="H851" s="74" t="s">
        <v>1423</v>
      </c>
      <c r="I851" s="75" t="s">
        <v>269</v>
      </c>
      <c r="J851" s="76">
        <f>254725624489</f>
        <v>254725624489</v>
      </c>
      <c r="K851" s="74" t="s">
        <v>1632</v>
      </c>
      <c r="L851" s="74"/>
      <c r="M851" s="74"/>
      <c r="N851" s="74"/>
      <c r="O851" s="74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</row>
    <row r="852" spans="1:36" ht="12.75">
      <c r="A852" s="74" t="s">
        <v>452</v>
      </c>
      <c r="B852" s="74"/>
      <c r="C852" s="74" t="s">
        <v>453</v>
      </c>
      <c r="D852" s="74" t="s">
        <v>454</v>
      </c>
      <c r="E852" s="146">
        <v>791616700</v>
      </c>
      <c r="F852" s="7" t="s">
        <v>455</v>
      </c>
      <c r="G852" s="7"/>
      <c r="H852" s="74" t="s">
        <v>456</v>
      </c>
      <c r="I852" s="75" t="s">
        <v>218</v>
      </c>
      <c r="J852" s="74">
        <v>703080000</v>
      </c>
      <c r="K852" s="74" t="s">
        <v>457</v>
      </c>
      <c r="L852" s="74"/>
      <c r="M852" s="74"/>
      <c r="N852" s="74"/>
      <c r="O852" s="74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</row>
    <row r="853" spans="1:36" ht="12.75">
      <c r="A853" s="74" t="s">
        <v>264</v>
      </c>
      <c r="B853" s="74"/>
      <c r="C853" s="74" t="s">
        <v>265</v>
      </c>
      <c r="D853" s="74" t="s">
        <v>266</v>
      </c>
      <c r="E853" s="146">
        <v>114939391</v>
      </c>
      <c r="F853" s="7" t="s">
        <v>267</v>
      </c>
      <c r="G853" s="7"/>
      <c r="H853" s="74" t="s">
        <v>268</v>
      </c>
      <c r="I853" s="75" t="s">
        <v>269</v>
      </c>
      <c r="J853" s="74">
        <v>703080000</v>
      </c>
      <c r="K853" s="74" t="s">
        <v>270</v>
      </c>
      <c r="L853" s="74"/>
      <c r="M853" s="74"/>
      <c r="N853" s="74"/>
      <c r="O853" s="74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</row>
    <row r="854" spans="1:36" ht="12.75">
      <c r="A854" s="74" t="s">
        <v>1711</v>
      </c>
      <c r="B854" s="74"/>
      <c r="C854" s="74" t="s">
        <v>1712</v>
      </c>
      <c r="D854" s="74" t="s">
        <v>71</v>
      </c>
      <c r="E854" s="146">
        <v>793941363</v>
      </c>
      <c r="F854" s="7" t="s">
        <v>1713</v>
      </c>
      <c r="G854" s="7"/>
      <c r="H854" s="74" t="s">
        <v>1714</v>
      </c>
      <c r="I854" s="75" t="s">
        <v>1715</v>
      </c>
      <c r="J854" s="74">
        <v>703453022</v>
      </c>
      <c r="K854" s="74" t="s">
        <v>1716</v>
      </c>
      <c r="L854" s="74"/>
      <c r="M854" s="74"/>
      <c r="N854" s="74"/>
      <c r="O854" s="74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</row>
    <row r="855" spans="1:36" ht="12.75">
      <c r="A855" s="74" t="s">
        <v>1292</v>
      </c>
      <c r="B855" s="74"/>
      <c r="C855" s="74" t="s">
        <v>1293</v>
      </c>
      <c r="D855" s="74" t="s">
        <v>341</v>
      </c>
      <c r="E855" s="146">
        <v>254757966993</v>
      </c>
      <c r="F855" s="7" t="s">
        <v>1294</v>
      </c>
      <c r="G855" s="7"/>
      <c r="H855" s="74" t="s">
        <v>1295</v>
      </c>
      <c r="I855" s="75" t="s">
        <v>732</v>
      </c>
      <c r="J855" s="74">
        <v>254217550460</v>
      </c>
      <c r="K855" s="74" t="s">
        <v>1296</v>
      </c>
      <c r="L855" s="74"/>
      <c r="M855" s="74"/>
      <c r="N855" s="74"/>
      <c r="O855" s="74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</row>
    <row r="856" spans="1:36" ht="12.75">
      <c r="A856" s="103" t="s">
        <v>1509</v>
      </c>
      <c r="B856" s="103"/>
      <c r="C856" s="103" t="s">
        <v>1510</v>
      </c>
      <c r="D856" s="108" t="s">
        <v>1510</v>
      </c>
      <c r="E856" s="194"/>
      <c r="F856" s="103" t="s">
        <v>902</v>
      </c>
      <c r="G856" s="103"/>
      <c r="H856" s="103" t="s">
        <v>903</v>
      </c>
      <c r="I856" s="104" t="s">
        <v>59</v>
      </c>
      <c r="J856" s="105">
        <v>797786295</v>
      </c>
      <c r="K856" s="103" t="s">
        <v>904</v>
      </c>
      <c r="L856" s="74"/>
      <c r="M856" s="74"/>
      <c r="N856" s="74"/>
      <c r="O856" s="74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</row>
    <row r="857" spans="1:36" ht="12.75">
      <c r="A857" s="103" t="s">
        <v>900</v>
      </c>
      <c r="B857" s="103"/>
      <c r="C857" s="103" t="s">
        <v>901</v>
      </c>
      <c r="D857" s="103" t="s">
        <v>901</v>
      </c>
      <c r="E857" s="194"/>
      <c r="F857" s="103" t="s">
        <v>902</v>
      </c>
      <c r="G857" s="103"/>
      <c r="H857" s="103" t="s">
        <v>903</v>
      </c>
      <c r="I857" s="104" t="s">
        <v>887</v>
      </c>
      <c r="J857" s="105">
        <v>726581733</v>
      </c>
      <c r="K857" s="103" t="s">
        <v>904</v>
      </c>
      <c r="L857" s="74"/>
      <c r="M857" s="74"/>
      <c r="N857" s="74"/>
      <c r="O857" s="74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</row>
    <row r="858" spans="1:36" ht="12.75">
      <c r="A858" s="74" t="s">
        <v>1728</v>
      </c>
      <c r="B858" s="74"/>
      <c r="C858" s="74" t="s">
        <v>1729</v>
      </c>
      <c r="D858" s="74" t="s">
        <v>71</v>
      </c>
      <c r="E858" s="146">
        <v>743054776</v>
      </c>
      <c r="F858" s="7" t="s">
        <v>1730</v>
      </c>
      <c r="G858" s="7"/>
      <c r="H858" s="74" t="s">
        <v>1731</v>
      </c>
      <c r="I858" s="75" t="s">
        <v>59</v>
      </c>
      <c r="J858" s="74">
        <v>741646412</v>
      </c>
      <c r="K858" s="74" t="s">
        <v>1732</v>
      </c>
      <c r="L858" s="74"/>
      <c r="M858" s="74"/>
      <c r="N858" s="74"/>
      <c r="O858" s="74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6"/>
    </row>
    <row r="859" spans="1:36" ht="12.75">
      <c r="A859" s="60" t="s">
        <v>1728</v>
      </c>
      <c r="B859" s="60"/>
      <c r="C859" s="74" t="s">
        <v>1729</v>
      </c>
      <c r="D859" s="74" t="s">
        <v>71</v>
      </c>
      <c r="E859" s="146">
        <v>743054776</v>
      </c>
      <c r="F859" s="7" t="s">
        <v>1730</v>
      </c>
      <c r="G859" s="7"/>
      <c r="H859" s="74" t="s">
        <v>1731</v>
      </c>
      <c r="I859" s="75" t="s">
        <v>59</v>
      </c>
      <c r="J859" s="74">
        <v>741646412</v>
      </c>
      <c r="K859" s="74" t="s">
        <v>1732</v>
      </c>
      <c r="L859" s="74"/>
      <c r="M859" s="74"/>
      <c r="N859" s="74"/>
      <c r="O859" s="74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6"/>
    </row>
    <row r="860" spans="1:36" ht="12.75">
      <c r="A860" s="74" t="s">
        <v>1493</v>
      </c>
      <c r="B860" s="74"/>
      <c r="C860" s="74" t="s">
        <v>1494</v>
      </c>
      <c r="D860" s="74" t="s">
        <v>1495</v>
      </c>
      <c r="E860" s="146">
        <v>758463314</v>
      </c>
      <c r="F860" s="7" t="s">
        <v>1496</v>
      </c>
      <c r="G860" s="7"/>
      <c r="H860" s="74" t="s">
        <v>1497</v>
      </c>
      <c r="I860" s="75" t="s">
        <v>1498</v>
      </c>
      <c r="J860" s="74">
        <v>798753337</v>
      </c>
      <c r="K860" s="60" t="s">
        <v>1499</v>
      </c>
      <c r="L860" s="170"/>
      <c r="M860" s="170"/>
      <c r="N860" s="170"/>
      <c r="O860" s="170"/>
      <c r="P860" s="74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6"/>
    </row>
    <row r="861" spans="1:36" ht="12.75">
      <c r="A861" s="74" t="s">
        <v>1520</v>
      </c>
      <c r="B861" s="74"/>
      <c r="C861" s="74" t="s">
        <v>1521</v>
      </c>
      <c r="D861" s="60" t="s">
        <v>1522</v>
      </c>
      <c r="E861" s="146">
        <v>758488543</v>
      </c>
      <c r="F861" s="7" t="s">
        <v>1523</v>
      </c>
      <c r="G861" s="7"/>
      <c r="H861" s="74" t="s">
        <v>1524</v>
      </c>
      <c r="I861" s="75" t="s">
        <v>1525</v>
      </c>
      <c r="J861" s="74">
        <v>722478289</v>
      </c>
      <c r="K861" s="74" t="s">
        <v>1526</v>
      </c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6"/>
    </row>
    <row r="862" spans="1:36" ht="12.75">
      <c r="A862" s="74" t="s">
        <v>1760</v>
      </c>
      <c r="B862" s="74"/>
      <c r="C862" s="74" t="s">
        <v>1761</v>
      </c>
      <c r="D862" s="74" t="s">
        <v>341</v>
      </c>
      <c r="E862" s="146">
        <v>722956410</v>
      </c>
      <c r="F862" s="7" t="s">
        <v>1762</v>
      </c>
      <c r="G862" s="7"/>
      <c r="H862" s="74" t="s">
        <v>1763</v>
      </c>
      <c r="I862" s="75" t="s">
        <v>1764</v>
      </c>
      <c r="J862" s="74">
        <v>202688929</v>
      </c>
      <c r="K862" s="74" t="s">
        <v>1765</v>
      </c>
      <c r="L862" s="74"/>
      <c r="M862" s="74"/>
      <c r="N862" s="74"/>
      <c r="O862" s="74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6"/>
    </row>
    <row r="863" spans="1:36" ht="12.75">
      <c r="A863" s="74" t="s">
        <v>721</v>
      </c>
      <c r="B863" s="74"/>
      <c r="C863" s="74" t="s">
        <v>722</v>
      </c>
      <c r="D863" s="74" t="s">
        <v>723</v>
      </c>
      <c r="E863" s="146">
        <v>719852724</v>
      </c>
      <c r="F863" s="7" t="s">
        <v>724</v>
      </c>
      <c r="G863" s="7"/>
      <c r="H863" s="74" t="s">
        <v>725</v>
      </c>
      <c r="I863" s="75" t="s">
        <v>726</v>
      </c>
      <c r="J863" s="74">
        <v>720621675</v>
      </c>
      <c r="K863" s="74" t="s">
        <v>727</v>
      </c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6"/>
    </row>
    <row r="864" spans="1:36" ht="12.75">
      <c r="A864" s="74" t="s">
        <v>794</v>
      </c>
      <c r="B864" s="74"/>
      <c r="C864" s="74" t="s">
        <v>795</v>
      </c>
      <c r="D864" s="74" t="s">
        <v>796</v>
      </c>
      <c r="E864" s="146">
        <v>254795408323</v>
      </c>
      <c r="F864" s="7" t="s">
        <v>797</v>
      </c>
      <c r="G864" s="7"/>
      <c r="H864" s="76"/>
      <c r="I864" s="84"/>
      <c r="J864" s="76"/>
      <c r="K864" s="76"/>
      <c r="L864" s="74"/>
      <c r="M864" s="74"/>
      <c r="N864" s="74"/>
      <c r="O864" s="74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6"/>
    </row>
    <row r="865" spans="1:36" ht="12.75">
      <c r="A865" s="263" t="s">
        <v>847</v>
      </c>
      <c r="B865" s="263"/>
      <c r="C865" s="263" t="s">
        <v>848</v>
      </c>
      <c r="D865" s="74" t="s">
        <v>849</v>
      </c>
      <c r="E865" s="146">
        <v>114107570</v>
      </c>
      <c r="F865" s="7" t="s">
        <v>850</v>
      </c>
      <c r="G865" s="7"/>
      <c r="H865" s="74" t="s">
        <v>851</v>
      </c>
      <c r="I865" s="75" t="s">
        <v>852</v>
      </c>
      <c r="J865" s="74">
        <v>719502426</v>
      </c>
      <c r="K865" s="74" t="s">
        <v>853</v>
      </c>
      <c r="L865" s="74"/>
      <c r="M865" s="74"/>
      <c r="N865" s="74"/>
      <c r="O865" s="74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</row>
    <row r="866" spans="1:36" ht="12.75">
      <c r="A866" s="74" t="s">
        <v>1527</v>
      </c>
      <c r="B866" s="74"/>
      <c r="C866" s="74" t="s">
        <v>1528</v>
      </c>
      <c r="D866" s="74" t="s">
        <v>1529</v>
      </c>
      <c r="E866" s="146">
        <v>254796510872</v>
      </c>
      <c r="F866" s="7" t="s">
        <v>1530</v>
      </c>
      <c r="G866" s="7"/>
      <c r="H866" s="74" t="s">
        <v>1531</v>
      </c>
      <c r="I866" s="75" t="s">
        <v>1225</v>
      </c>
      <c r="J866" s="74" t="s">
        <v>1532</v>
      </c>
      <c r="K866" s="74" t="s">
        <v>1533</v>
      </c>
      <c r="L866" s="74"/>
      <c r="M866" s="74"/>
      <c r="N866" s="74"/>
      <c r="O866" s="74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</row>
    <row r="867" spans="1:36" ht="12.75">
      <c r="A867" s="74" t="s">
        <v>1189</v>
      </c>
      <c r="B867" s="74"/>
      <c r="C867" s="74" t="s">
        <v>1190</v>
      </c>
      <c r="D867" s="74" t="s">
        <v>596</v>
      </c>
      <c r="E867" s="30">
        <v>769320325</v>
      </c>
      <c r="F867" s="7" t="s">
        <v>597</v>
      </c>
      <c r="G867" s="7"/>
      <c r="H867" s="74" t="s">
        <v>598</v>
      </c>
      <c r="I867" s="75" t="s">
        <v>599</v>
      </c>
      <c r="J867" s="74" t="s">
        <v>600</v>
      </c>
      <c r="K867" s="74" t="s">
        <v>601</v>
      </c>
      <c r="L867" s="74"/>
      <c r="M867" s="74"/>
      <c r="N867" s="74"/>
      <c r="O867" s="74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</row>
    <row r="868" spans="1:36" ht="12.75">
      <c r="A868" s="74" t="s">
        <v>594</v>
      </c>
      <c r="B868" s="74"/>
      <c r="C868" s="74" t="s">
        <v>595</v>
      </c>
      <c r="D868" s="74" t="s">
        <v>596</v>
      </c>
      <c r="E868" s="30">
        <v>741861392</v>
      </c>
      <c r="F868" s="7" t="s">
        <v>597</v>
      </c>
      <c r="G868" s="7"/>
      <c r="H868" s="74" t="s">
        <v>598</v>
      </c>
      <c r="I868" s="75" t="s">
        <v>599</v>
      </c>
      <c r="J868" s="74" t="s">
        <v>600</v>
      </c>
      <c r="K868" s="74" t="s">
        <v>601</v>
      </c>
      <c r="L868" s="74"/>
      <c r="M868" s="74"/>
      <c r="N868" s="74"/>
      <c r="O868" s="74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</row>
    <row r="869" spans="1:36" ht="12.75">
      <c r="A869" s="74" t="s">
        <v>594</v>
      </c>
      <c r="B869" s="74"/>
      <c r="C869" s="74" t="s">
        <v>595</v>
      </c>
      <c r="D869" s="74" t="s">
        <v>596</v>
      </c>
      <c r="E869" s="30">
        <v>741861392</v>
      </c>
      <c r="F869" s="7" t="s">
        <v>597</v>
      </c>
      <c r="G869" s="7"/>
      <c r="H869" s="74" t="s">
        <v>598</v>
      </c>
      <c r="I869" s="75" t="s">
        <v>599</v>
      </c>
      <c r="J869" s="74" t="s">
        <v>600</v>
      </c>
      <c r="K869" s="60" t="s">
        <v>601</v>
      </c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</row>
    <row r="870" spans="1:36" ht="12.75">
      <c r="A870" s="74" t="s">
        <v>271</v>
      </c>
      <c r="B870" s="74"/>
      <c r="C870" s="74" t="s">
        <v>272</v>
      </c>
      <c r="D870" s="74" t="s">
        <v>273</v>
      </c>
      <c r="E870" s="146">
        <v>740629363</v>
      </c>
      <c r="F870" s="7" t="s">
        <v>274</v>
      </c>
      <c r="G870" s="7"/>
      <c r="H870" s="74" t="s">
        <v>275</v>
      </c>
      <c r="I870" s="75" t="s">
        <v>276</v>
      </c>
      <c r="J870" s="74">
        <v>714922311</v>
      </c>
      <c r="K870" s="76"/>
      <c r="L870" s="74"/>
      <c r="M870" s="74"/>
      <c r="N870" s="74"/>
      <c r="O870" s="74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</row>
    <row r="871" spans="1:36" ht="12.75">
      <c r="A871" s="74" t="s">
        <v>696</v>
      </c>
      <c r="B871" s="74"/>
      <c r="C871" s="74" t="s">
        <v>697</v>
      </c>
      <c r="D871" s="74" t="s">
        <v>78</v>
      </c>
      <c r="E871" s="146">
        <v>743695760</v>
      </c>
      <c r="F871" s="7" t="s">
        <v>79</v>
      </c>
      <c r="G871" s="7"/>
      <c r="H871" s="74" t="s">
        <v>80</v>
      </c>
      <c r="I871" s="75" t="s">
        <v>20</v>
      </c>
      <c r="J871" s="74">
        <v>737409471</v>
      </c>
      <c r="K871" s="76"/>
      <c r="L871" s="74"/>
      <c r="M871" s="74"/>
      <c r="N871" s="74"/>
      <c r="O871" s="74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</row>
    <row r="872" spans="1:36" ht="12.75">
      <c r="A872" s="74" t="s">
        <v>812</v>
      </c>
      <c r="B872" s="74"/>
      <c r="C872" s="74" t="s">
        <v>813</v>
      </c>
      <c r="D872" s="74" t="s">
        <v>78</v>
      </c>
      <c r="E872" s="146">
        <v>254113010443</v>
      </c>
      <c r="F872" s="7" t="s">
        <v>79</v>
      </c>
      <c r="G872" s="7"/>
      <c r="H872" s="74" t="s">
        <v>80</v>
      </c>
      <c r="I872" s="75" t="s">
        <v>20</v>
      </c>
      <c r="J872" s="74">
        <v>737409471</v>
      </c>
      <c r="K872" s="76"/>
      <c r="L872" s="74"/>
      <c r="M872" s="74"/>
      <c r="N872" s="74"/>
      <c r="O872" s="74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</row>
    <row r="873" spans="1:36" ht="12.75">
      <c r="A873" s="74" t="s">
        <v>76</v>
      </c>
      <c r="B873" s="74"/>
      <c r="C873" s="74" t="s">
        <v>77</v>
      </c>
      <c r="D873" s="74" t="s">
        <v>78</v>
      </c>
      <c r="E873" s="146">
        <v>701590217</v>
      </c>
      <c r="F873" s="7" t="s">
        <v>79</v>
      </c>
      <c r="G873" s="7"/>
      <c r="H873" s="74" t="s">
        <v>80</v>
      </c>
      <c r="I873" s="75" t="s">
        <v>20</v>
      </c>
      <c r="J873" s="74">
        <v>737409471</v>
      </c>
      <c r="K873" s="76"/>
      <c r="L873" s="74"/>
      <c r="M873" s="74"/>
      <c r="N873" s="74"/>
      <c r="O873" s="74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</row>
    <row r="874" spans="1:36" ht="12.75">
      <c r="A874" s="74" t="s">
        <v>1353</v>
      </c>
      <c r="B874" s="74"/>
      <c r="C874" s="74" t="s">
        <v>1354</v>
      </c>
      <c r="D874" s="74" t="s">
        <v>1355</v>
      </c>
      <c r="E874" s="146">
        <v>110074823</v>
      </c>
      <c r="F874" s="7" t="s">
        <v>79</v>
      </c>
      <c r="G874" s="7"/>
      <c r="H874" s="74" t="s">
        <v>1356</v>
      </c>
      <c r="I874" s="75" t="s">
        <v>1357</v>
      </c>
      <c r="J874" s="74">
        <v>737409471</v>
      </c>
      <c r="K874" s="74" t="s">
        <v>1101</v>
      </c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</row>
    <row r="875" spans="1:36" ht="12.75">
      <c r="A875" s="74" t="s">
        <v>1191</v>
      </c>
      <c r="B875" s="74"/>
      <c r="C875" s="74" t="s">
        <v>1192</v>
      </c>
      <c r="D875" s="74" t="s">
        <v>78</v>
      </c>
      <c r="E875" s="146">
        <v>729014842</v>
      </c>
      <c r="F875" s="7" t="s">
        <v>1193</v>
      </c>
      <c r="G875" s="7"/>
      <c r="H875" s="74" t="s">
        <v>1194</v>
      </c>
      <c r="I875" s="75" t="s">
        <v>1195</v>
      </c>
      <c r="J875" s="74">
        <v>730882000</v>
      </c>
      <c r="K875" s="74" t="s">
        <v>1101</v>
      </c>
      <c r="L875" s="74"/>
      <c r="M875" s="74"/>
      <c r="N875" s="74"/>
      <c r="O875" s="74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</row>
    <row r="876" spans="1:36" ht="12.75">
      <c r="A876" s="74" t="s">
        <v>1156</v>
      </c>
      <c r="B876" s="74"/>
      <c r="C876" s="74" t="s">
        <v>1157</v>
      </c>
      <c r="D876" s="74" t="s">
        <v>1158</v>
      </c>
      <c r="E876" s="146" t="s">
        <v>1159</v>
      </c>
      <c r="F876" s="7" t="s">
        <v>1160</v>
      </c>
      <c r="G876" s="7"/>
      <c r="H876" s="74" t="s">
        <v>80</v>
      </c>
      <c r="I876" s="75" t="s">
        <v>100</v>
      </c>
      <c r="J876" s="74" t="s">
        <v>1161</v>
      </c>
      <c r="K876" s="74" t="s">
        <v>1101</v>
      </c>
      <c r="L876" s="74"/>
      <c r="M876" s="74"/>
      <c r="N876" s="74"/>
      <c r="O876" s="74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</row>
    <row r="877" spans="1:36" ht="12.75">
      <c r="A877" s="74" t="s">
        <v>1156</v>
      </c>
      <c r="B877" s="74"/>
      <c r="C877" s="74" t="s">
        <v>1157</v>
      </c>
      <c r="D877" s="74" t="s">
        <v>1158</v>
      </c>
      <c r="E877" s="146" t="s">
        <v>1159</v>
      </c>
      <c r="F877" s="7" t="s">
        <v>1160</v>
      </c>
      <c r="G877" s="7"/>
      <c r="H877" s="74" t="s">
        <v>80</v>
      </c>
      <c r="I877" s="75" t="s">
        <v>100</v>
      </c>
      <c r="J877" s="74" t="s">
        <v>1161</v>
      </c>
      <c r="K877" s="74" t="s">
        <v>1101</v>
      </c>
      <c r="L877" s="74"/>
      <c r="M877" s="74"/>
      <c r="N877" s="74"/>
      <c r="O877" s="74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</row>
    <row r="878" spans="1:36" ht="14.25">
      <c r="A878" s="74" t="s">
        <v>798</v>
      </c>
      <c r="B878" s="74"/>
      <c r="C878" s="74" t="s">
        <v>795</v>
      </c>
      <c r="D878" s="74" t="s">
        <v>799</v>
      </c>
      <c r="E878" s="30">
        <v>795408323</v>
      </c>
      <c r="F878" s="7" t="s">
        <v>800</v>
      </c>
      <c r="G878" s="7"/>
      <c r="H878" s="74" t="s">
        <v>801</v>
      </c>
      <c r="I878" s="75" t="s">
        <v>802</v>
      </c>
      <c r="J878" s="145">
        <v>737409416</v>
      </c>
      <c r="K878" s="74" t="s">
        <v>803</v>
      </c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</row>
    <row r="879" spans="1:36" ht="12.75">
      <c r="A879" s="74" t="s">
        <v>1592</v>
      </c>
      <c r="B879" s="74"/>
      <c r="C879" s="74" t="s">
        <v>1593</v>
      </c>
      <c r="D879" s="74" t="s">
        <v>1594</v>
      </c>
      <c r="E879" s="146">
        <v>112824847</v>
      </c>
      <c r="F879" s="7" t="s">
        <v>800</v>
      </c>
      <c r="G879" s="7"/>
      <c r="H879" s="74" t="s">
        <v>1595</v>
      </c>
      <c r="I879" s="75" t="s">
        <v>1596</v>
      </c>
      <c r="J879" s="74">
        <v>730882000</v>
      </c>
      <c r="K879" s="60" t="s">
        <v>1597</v>
      </c>
      <c r="L879" s="170"/>
      <c r="M879" s="170"/>
      <c r="N879" s="170"/>
      <c r="O879" s="170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</row>
    <row r="880" spans="1:36" ht="12.75">
      <c r="A880" s="74" t="s">
        <v>764</v>
      </c>
      <c r="B880" s="74"/>
      <c r="C880" s="74" t="s">
        <v>765</v>
      </c>
      <c r="D880" s="74" t="s">
        <v>766</v>
      </c>
      <c r="E880" s="146">
        <v>743900785</v>
      </c>
      <c r="F880" s="7" t="s">
        <v>767</v>
      </c>
      <c r="G880" s="7"/>
      <c r="H880" s="74" t="s">
        <v>768</v>
      </c>
      <c r="I880" s="75" t="s">
        <v>218</v>
      </c>
      <c r="J880" s="74">
        <v>254206536028</v>
      </c>
      <c r="K880" s="60" t="s">
        <v>769</v>
      </c>
      <c r="L880" s="170"/>
      <c r="M880" s="170"/>
      <c r="N880" s="170"/>
      <c r="O880" s="170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</row>
    <row r="881" spans="1:36" ht="12.75">
      <c r="A881" s="74" t="s">
        <v>1666</v>
      </c>
      <c r="B881" s="74"/>
      <c r="C881" s="74" t="s">
        <v>1667</v>
      </c>
      <c r="D881" s="74" t="s">
        <v>749</v>
      </c>
      <c r="E881" s="146">
        <v>769681039</v>
      </c>
      <c r="F881" s="7" t="s">
        <v>1668</v>
      </c>
      <c r="G881" s="7"/>
      <c r="H881" s="74" t="s">
        <v>1669</v>
      </c>
      <c r="I881" s="75" t="s">
        <v>237</v>
      </c>
      <c r="J881" s="74">
        <v>713244444</v>
      </c>
      <c r="K881" s="74" t="s">
        <v>1670</v>
      </c>
      <c r="L881" s="74"/>
      <c r="M881" s="74"/>
      <c r="N881" s="74"/>
      <c r="O881" s="74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</row>
    <row r="882" spans="1:36" ht="12.75">
      <c r="A882" s="74" t="s">
        <v>659</v>
      </c>
      <c r="B882" s="74"/>
      <c r="C882" s="74" t="s">
        <v>660</v>
      </c>
      <c r="D882" s="74" t="s">
        <v>661</v>
      </c>
      <c r="E882" s="146">
        <v>758280470</v>
      </c>
      <c r="F882" s="74" t="s">
        <v>662</v>
      </c>
      <c r="G882" s="74"/>
      <c r="H882" s="74" t="s">
        <v>663</v>
      </c>
      <c r="I882" s="75" t="s">
        <v>664</v>
      </c>
      <c r="J882" s="74">
        <v>722577340</v>
      </c>
      <c r="K882" s="74" t="s">
        <v>665</v>
      </c>
      <c r="L882" s="74"/>
      <c r="M882" s="74"/>
      <c r="N882" s="74"/>
      <c r="O882" s="74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</row>
    <row r="883" spans="1:36" ht="12.75">
      <c r="A883" s="74" t="s">
        <v>322</v>
      </c>
      <c r="B883" s="74"/>
      <c r="C883" s="74" t="s">
        <v>323</v>
      </c>
      <c r="D883" s="74" t="s">
        <v>324</v>
      </c>
      <c r="E883" s="146">
        <v>797881010</v>
      </c>
      <c r="F883" s="7" t="s">
        <v>325</v>
      </c>
      <c r="G883" s="7"/>
      <c r="H883" s="74" t="s">
        <v>326</v>
      </c>
      <c r="I883" s="75" t="s">
        <v>203</v>
      </c>
      <c r="J883" s="74">
        <v>709747759</v>
      </c>
      <c r="K883" s="74" t="s">
        <v>327</v>
      </c>
      <c r="L883" s="74"/>
      <c r="M883" s="74"/>
      <c r="N883" s="74"/>
      <c r="O883" s="74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</row>
    <row r="884" spans="1:36" ht="12.75">
      <c r="A884" s="74" t="s">
        <v>889</v>
      </c>
      <c r="B884" s="74"/>
      <c r="C884" s="74" t="s">
        <v>890</v>
      </c>
      <c r="D884" s="74" t="s">
        <v>891</v>
      </c>
      <c r="E884" s="146">
        <v>114176885</v>
      </c>
      <c r="F884" s="7" t="s">
        <v>892</v>
      </c>
      <c r="G884" s="7"/>
      <c r="H884" s="74" t="s">
        <v>893</v>
      </c>
      <c r="I884" s="75" t="s">
        <v>237</v>
      </c>
      <c r="J884" s="74">
        <v>737941095</v>
      </c>
      <c r="K884" s="74" t="s">
        <v>894</v>
      </c>
      <c r="L884" s="74"/>
      <c r="M884" s="74"/>
      <c r="N884" s="74"/>
      <c r="O884" s="74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</row>
    <row r="885" spans="1:36" ht="12.75">
      <c r="A885" s="74" t="s">
        <v>1078</v>
      </c>
      <c r="B885" s="74"/>
      <c r="C885" s="74" t="s">
        <v>1079</v>
      </c>
      <c r="D885" s="74" t="s">
        <v>1080</v>
      </c>
      <c r="E885" s="146">
        <v>714300758</v>
      </c>
      <c r="F885" s="7" t="s">
        <v>1081</v>
      </c>
      <c r="G885" s="7"/>
      <c r="H885" s="74" t="s">
        <v>1082</v>
      </c>
      <c r="I885" s="75" t="s">
        <v>237</v>
      </c>
      <c r="J885" s="74">
        <v>254202214044</v>
      </c>
      <c r="K885" s="74" t="s">
        <v>1083</v>
      </c>
      <c r="L885" s="74"/>
      <c r="M885" s="74"/>
      <c r="N885" s="74"/>
      <c r="O885" s="74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</row>
    <row r="886" spans="1:36" ht="12.75">
      <c r="A886" s="74" t="s">
        <v>371</v>
      </c>
      <c r="B886" s="74"/>
      <c r="C886" s="74" t="s">
        <v>372</v>
      </c>
      <c r="D886" s="74" t="s">
        <v>373</v>
      </c>
      <c r="E886" s="146" t="s">
        <v>374</v>
      </c>
      <c r="F886" s="7" t="s">
        <v>375</v>
      </c>
      <c r="G886" s="7"/>
      <c r="H886" s="74" t="s">
        <v>376</v>
      </c>
      <c r="I886" s="75" t="s">
        <v>377</v>
      </c>
      <c r="J886" s="74" t="s">
        <v>378</v>
      </c>
      <c r="K886" s="74" t="s">
        <v>379</v>
      </c>
      <c r="L886" s="74"/>
      <c r="M886" s="74"/>
      <c r="N886" s="74"/>
      <c r="O886" s="74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</row>
    <row r="887" spans="1:36" ht="12.75">
      <c r="A887" s="74" t="s">
        <v>1093</v>
      </c>
      <c r="B887" s="74"/>
      <c r="C887" s="74" t="s">
        <v>1094</v>
      </c>
      <c r="D887" s="74" t="s">
        <v>1095</v>
      </c>
      <c r="E887" s="146" t="s">
        <v>1096</v>
      </c>
      <c r="F887" s="7" t="s">
        <v>1097</v>
      </c>
      <c r="G887" s="7"/>
      <c r="H887" s="74" t="s">
        <v>1098</v>
      </c>
      <c r="I887" s="75" t="s">
        <v>1099</v>
      </c>
      <c r="J887" s="74" t="s">
        <v>1100</v>
      </c>
      <c r="K887" s="74" t="s">
        <v>1101</v>
      </c>
      <c r="L887" s="74"/>
      <c r="M887" s="74"/>
      <c r="N887" s="74"/>
      <c r="O887" s="74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</row>
    <row r="888" spans="1:36" ht="12.75">
      <c r="A888" s="74" t="s">
        <v>117</v>
      </c>
      <c r="B888" s="74"/>
      <c r="C888" s="74" t="s">
        <v>118</v>
      </c>
      <c r="D888" s="74" t="s">
        <v>119</v>
      </c>
      <c r="E888" s="146">
        <v>796290165</v>
      </c>
      <c r="F888" s="7" t="s">
        <v>120</v>
      </c>
      <c r="G888" s="7"/>
      <c r="H888" s="74" t="s">
        <v>121</v>
      </c>
      <c r="I888" s="75" t="s">
        <v>122</v>
      </c>
      <c r="J888" s="74">
        <v>701167883</v>
      </c>
      <c r="K888" s="76"/>
      <c r="L888" s="74"/>
      <c r="M888" s="74"/>
      <c r="N888" s="74"/>
      <c r="O888" s="74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</row>
    <row r="889" spans="1:36" ht="14.25">
      <c r="A889" s="74" t="s">
        <v>1806</v>
      </c>
      <c r="B889" s="74"/>
      <c r="C889" s="74" t="s">
        <v>1807</v>
      </c>
      <c r="D889" s="74" t="s">
        <v>616</v>
      </c>
      <c r="E889" s="146">
        <v>717191373</v>
      </c>
      <c r="F889" s="39" t="s">
        <v>1808</v>
      </c>
      <c r="G889" s="39"/>
      <c r="H889" s="178" t="s">
        <v>1809</v>
      </c>
      <c r="I889" s="179" t="s">
        <v>1810</v>
      </c>
      <c r="J889" s="178" t="s">
        <v>1811</v>
      </c>
      <c r="K889" s="196" t="s">
        <v>1812</v>
      </c>
      <c r="L889" s="74"/>
      <c r="M889" s="74"/>
      <c r="N889" s="74"/>
      <c r="O889" s="74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</row>
    <row r="890" spans="1:36" ht="12.75">
      <c r="A890" s="74" t="s">
        <v>953</v>
      </c>
      <c r="B890" s="74"/>
      <c r="C890" s="74" t="s">
        <v>954</v>
      </c>
      <c r="D890" s="74" t="s">
        <v>955</v>
      </c>
      <c r="E890" s="281">
        <v>794622194</v>
      </c>
      <c r="F890" s="41" t="s">
        <v>956</v>
      </c>
      <c r="G890" s="41"/>
      <c r="H890" s="185"/>
      <c r="I890" s="306"/>
      <c r="J890" s="185"/>
      <c r="K890" s="184"/>
      <c r="L890" s="127"/>
      <c r="M890" s="127"/>
      <c r="N890" s="127"/>
      <c r="O890" s="184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</row>
    <row r="891" spans="1:36" ht="12.75">
      <c r="A891" s="1" t="s">
        <v>741</v>
      </c>
      <c r="B891" s="1"/>
      <c r="C891" s="60" t="s">
        <v>742</v>
      </c>
      <c r="D891" s="60" t="s">
        <v>389</v>
      </c>
      <c r="E891" s="157">
        <v>716875574</v>
      </c>
      <c r="F891" s="41" t="s">
        <v>743</v>
      </c>
      <c r="G891" s="41"/>
      <c r="H891" s="181" t="s">
        <v>744</v>
      </c>
      <c r="I891" s="182" t="s">
        <v>745</v>
      </c>
      <c r="J891" s="181">
        <v>796954269</v>
      </c>
      <c r="K891" s="127" t="s">
        <v>746</v>
      </c>
      <c r="L891" s="127"/>
      <c r="M891" s="127"/>
      <c r="N891" s="127"/>
      <c r="O891" s="127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</row>
    <row r="892" spans="1:36" ht="12.75">
      <c r="A892" s="60" t="s">
        <v>153</v>
      </c>
      <c r="B892" s="60"/>
      <c r="C892" s="60" t="s">
        <v>154</v>
      </c>
      <c r="D892" s="60" t="s">
        <v>155</v>
      </c>
      <c r="E892" s="157">
        <v>25457750349</v>
      </c>
      <c r="F892" s="44" t="s">
        <v>156</v>
      </c>
      <c r="G892" s="44"/>
      <c r="H892" s="187" t="s">
        <v>157</v>
      </c>
      <c r="I892" s="188" t="s">
        <v>158</v>
      </c>
      <c r="J892" s="187" t="s">
        <v>159</v>
      </c>
      <c r="K892" s="74" t="s">
        <v>160</v>
      </c>
      <c r="L892" s="74"/>
      <c r="M892" s="74"/>
      <c r="N892" s="74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</row>
    <row r="893" spans="1:36" ht="12.75">
      <c r="A893" s="74" t="s">
        <v>153</v>
      </c>
      <c r="B893" s="74"/>
      <c r="C893" s="74" t="s">
        <v>154</v>
      </c>
      <c r="D893" s="74" t="s">
        <v>155</v>
      </c>
      <c r="E893" s="146">
        <v>25457750349</v>
      </c>
      <c r="F893" s="7" t="s">
        <v>156</v>
      </c>
      <c r="G893" s="7"/>
      <c r="H893" s="74" t="s">
        <v>157</v>
      </c>
      <c r="I893" s="75" t="s">
        <v>158</v>
      </c>
      <c r="J893" s="74" t="s">
        <v>159</v>
      </c>
      <c r="K893" s="74" t="s">
        <v>160</v>
      </c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</row>
    <row r="894" spans="1:36" ht="12.75">
      <c r="A894" s="120" t="s">
        <v>1486</v>
      </c>
      <c r="B894" s="120"/>
      <c r="C894" s="120" t="s">
        <v>2960</v>
      </c>
      <c r="D894" s="120" t="s">
        <v>1488</v>
      </c>
      <c r="E894" s="146">
        <v>794424486</v>
      </c>
      <c r="F894" s="21" t="s">
        <v>1489</v>
      </c>
      <c r="G894" s="21"/>
      <c r="H894" s="120" t="s">
        <v>1490</v>
      </c>
      <c r="I894" s="136" t="s">
        <v>1491</v>
      </c>
      <c r="J894" s="120">
        <v>720938233</v>
      </c>
      <c r="K894" s="120" t="s">
        <v>1492</v>
      </c>
      <c r="L894" s="74"/>
      <c r="M894" s="74"/>
      <c r="N894" s="74"/>
      <c r="O894" s="74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</row>
    <row r="895" spans="1:36" ht="12.75">
      <c r="A895" s="74" t="s">
        <v>1108</v>
      </c>
      <c r="B895" s="74"/>
      <c r="C895" s="74" t="s">
        <v>1109</v>
      </c>
      <c r="D895" s="74" t="s">
        <v>83</v>
      </c>
      <c r="E895" s="146">
        <v>115256304</v>
      </c>
      <c r="F895" s="7" t="s">
        <v>1110</v>
      </c>
      <c r="G895" s="7"/>
      <c r="H895" s="74" t="s">
        <v>1111</v>
      </c>
      <c r="I895" s="75" t="s">
        <v>1112</v>
      </c>
      <c r="J895" s="74">
        <v>702450696</v>
      </c>
      <c r="K895" s="74" t="s">
        <v>1113</v>
      </c>
      <c r="L895" s="74"/>
      <c r="M895" s="74"/>
      <c r="N895" s="74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</row>
    <row r="896" spans="1:36" ht="12.75">
      <c r="A896" s="74" t="s">
        <v>882</v>
      </c>
      <c r="B896" s="74"/>
      <c r="C896" s="74" t="s">
        <v>2961</v>
      </c>
      <c r="D896" s="74" t="s">
        <v>884</v>
      </c>
      <c r="E896" s="146">
        <v>759302602</v>
      </c>
      <c r="F896" s="7" t="s">
        <v>885</v>
      </c>
      <c r="G896" s="7"/>
      <c r="H896" s="74" t="s">
        <v>886</v>
      </c>
      <c r="I896" s="75" t="s">
        <v>887</v>
      </c>
      <c r="J896" s="74">
        <v>703500980</v>
      </c>
      <c r="K896" s="74" t="s">
        <v>888</v>
      </c>
      <c r="L896" s="74"/>
      <c r="M896" s="74"/>
      <c r="N896" s="74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</row>
    <row r="897" spans="1:36" ht="15">
      <c r="A897" s="74" t="s">
        <v>292</v>
      </c>
      <c r="B897" s="74"/>
      <c r="C897" s="74" t="s">
        <v>293</v>
      </c>
      <c r="D897" s="74" t="s">
        <v>294</v>
      </c>
      <c r="E897" s="146">
        <v>113225565</v>
      </c>
      <c r="F897" s="7" t="s">
        <v>295</v>
      </c>
      <c r="G897" s="7"/>
      <c r="H897" s="74" t="s">
        <v>296</v>
      </c>
      <c r="I897" s="75" t="s">
        <v>297</v>
      </c>
      <c r="J897" s="74">
        <v>700611875</v>
      </c>
      <c r="K897" s="115" t="s">
        <v>298</v>
      </c>
      <c r="L897" s="74"/>
      <c r="M897" s="74"/>
      <c r="N897" s="74"/>
      <c r="O897" s="74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</row>
    <row r="898" spans="1:36" ht="12.75">
      <c r="A898" s="74" t="s">
        <v>584</v>
      </c>
      <c r="B898" s="74"/>
      <c r="C898" s="74" t="s">
        <v>585</v>
      </c>
      <c r="D898" s="74" t="s">
        <v>301</v>
      </c>
      <c r="E898" s="146">
        <v>705802535</v>
      </c>
      <c r="F898" s="7" t="s">
        <v>586</v>
      </c>
      <c r="G898" s="7"/>
      <c r="H898" s="74" t="s">
        <v>587</v>
      </c>
      <c r="I898" s="75" t="s">
        <v>218</v>
      </c>
      <c r="J898" s="74">
        <v>111627483</v>
      </c>
      <c r="K898" s="74" t="s">
        <v>588</v>
      </c>
      <c r="L898" s="74"/>
      <c r="M898" s="74"/>
      <c r="N898" s="74"/>
      <c r="O898" s="74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</row>
    <row r="899" spans="1:36" ht="12.75">
      <c r="A899" s="74" t="s">
        <v>423</v>
      </c>
      <c r="B899" s="74"/>
      <c r="C899" s="74" t="s">
        <v>424</v>
      </c>
      <c r="D899" s="74" t="s">
        <v>425</v>
      </c>
      <c r="E899" s="194"/>
      <c r="F899" s="74" t="s">
        <v>426</v>
      </c>
      <c r="G899" s="74"/>
      <c r="H899" s="103" t="s">
        <v>427</v>
      </c>
      <c r="I899" s="84"/>
      <c r="J899" s="105">
        <v>254704384714</v>
      </c>
      <c r="K899" s="76"/>
      <c r="L899" s="74"/>
      <c r="M899" s="74"/>
      <c r="N899" s="74"/>
      <c r="O899" s="74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</row>
    <row r="900" spans="1:36" ht="12.75">
      <c r="A900" s="103" t="s">
        <v>423</v>
      </c>
      <c r="B900" s="103"/>
      <c r="C900" s="103" t="s">
        <v>424</v>
      </c>
      <c r="D900" s="103" t="s">
        <v>425</v>
      </c>
      <c r="E900" s="194"/>
      <c r="F900" s="103" t="s">
        <v>426</v>
      </c>
      <c r="G900" s="103"/>
      <c r="H900" s="103" t="s">
        <v>427</v>
      </c>
      <c r="I900" s="84"/>
      <c r="J900" s="76"/>
      <c r="K900" s="76"/>
      <c r="L900" s="74"/>
      <c r="M900" s="74"/>
      <c r="N900" s="74"/>
      <c r="O900" s="74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</row>
    <row r="901" spans="1:36" ht="12.75">
      <c r="A901" s="74" t="s">
        <v>552</v>
      </c>
      <c r="B901" s="74"/>
      <c r="C901" s="74" t="s">
        <v>553</v>
      </c>
      <c r="D901" s="74" t="s">
        <v>78</v>
      </c>
      <c r="E901" s="146">
        <v>740786381</v>
      </c>
      <c r="F901" s="7" t="s">
        <v>554</v>
      </c>
      <c r="G901" s="7"/>
      <c r="H901" s="74" t="s">
        <v>555</v>
      </c>
      <c r="I901" s="75" t="s">
        <v>556</v>
      </c>
      <c r="J901" s="74">
        <v>722142927</v>
      </c>
      <c r="K901" s="74" t="s">
        <v>557</v>
      </c>
      <c r="L901" s="74"/>
      <c r="M901" s="74"/>
      <c r="N901" s="74"/>
      <c r="O901" s="74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</row>
    <row r="902" spans="1:36" ht="12.75">
      <c r="A902" s="74" t="s">
        <v>161</v>
      </c>
      <c r="B902" s="74"/>
      <c r="C902" s="74" t="s">
        <v>162</v>
      </c>
      <c r="D902" s="74" t="s">
        <v>163</v>
      </c>
      <c r="E902" s="146">
        <v>254796947002</v>
      </c>
      <c r="F902" s="7" t="s">
        <v>164</v>
      </c>
      <c r="G902" s="7"/>
      <c r="H902" s="74" t="s">
        <v>165</v>
      </c>
      <c r="I902" s="75" t="s">
        <v>166</v>
      </c>
      <c r="J902" s="60">
        <v>254705239289</v>
      </c>
      <c r="K902" s="98" t="s">
        <v>167</v>
      </c>
      <c r="L902" s="74"/>
      <c r="M902" s="74"/>
      <c r="N902" s="74"/>
      <c r="O902" s="74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</row>
    <row r="903" spans="1:36" ht="12.75">
      <c r="A903" s="74" t="s">
        <v>196</v>
      </c>
      <c r="B903" s="74"/>
      <c r="C903" s="74" t="s">
        <v>197</v>
      </c>
      <c r="D903" s="74" t="s">
        <v>198</v>
      </c>
      <c r="E903" s="146">
        <v>790117584</v>
      </c>
      <c r="F903" s="7" t="s">
        <v>199</v>
      </c>
      <c r="G903" s="7"/>
      <c r="H903" s="74" t="s">
        <v>58</v>
      </c>
      <c r="I903" s="75" t="s">
        <v>59</v>
      </c>
      <c r="J903" s="74">
        <v>720668236</v>
      </c>
      <c r="K903" s="74" t="s">
        <v>60</v>
      </c>
      <c r="L903" s="74"/>
      <c r="M903" s="74"/>
      <c r="N903" s="74"/>
      <c r="O903" s="74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</row>
    <row r="904" spans="1:36" ht="12.75">
      <c r="A904" s="74" t="s">
        <v>1740</v>
      </c>
      <c r="B904" s="74"/>
      <c r="C904" s="74" t="s">
        <v>1741</v>
      </c>
      <c r="D904" s="74" t="s">
        <v>1742</v>
      </c>
      <c r="E904" s="146">
        <v>794790524</v>
      </c>
      <c r="F904" s="7" t="s">
        <v>1743</v>
      </c>
      <c r="G904" s="7"/>
      <c r="H904" s="74" t="s">
        <v>1744</v>
      </c>
      <c r="I904" s="75" t="s">
        <v>59</v>
      </c>
      <c r="J904" s="74">
        <v>720668236</v>
      </c>
      <c r="K904" s="74" t="s">
        <v>1745</v>
      </c>
      <c r="L904" s="74"/>
      <c r="M904" s="74"/>
      <c r="N904" s="74"/>
      <c r="O904" s="74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</row>
    <row r="905" spans="1:36" ht="12.75">
      <c r="A905" s="74" t="s">
        <v>809</v>
      </c>
      <c r="B905" s="74"/>
      <c r="C905" s="74" t="s">
        <v>810</v>
      </c>
      <c r="D905" s="74" t="s">
        <v>71</v>
      </c>
      <c r="E905" s="146">
        <v>716580208</v>
      </c>
      <c r="F905" s="7" t="s">
        <v>811</v>
      </c>
      <c r="G905" s="7"/>
      <c r="H905" s="74" t="s">
        <v>58</v>
      </c>
      <c r="I905" s="75" t="s">
        <v>59</v>
      </c>
      <c r="J905" s="74">
        <v>720668236</v>
      </c>
      <c r="K905" s="74" t="s">
        <v>60</v>
      </c>
      <c r="L905" s="74"/>
      <c r="M905" s="74"/>
      <c r="N905" s="74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</row>
    <row r="906" spans="1:36" ht="12.75">
      <c r="A906" s="74" t="s">
        <v>1605</v>
      </c>
      <c r="B906" s="74"/>
      <c r="C906" s="74" t="s">
        <v>1606</v>
      </c>
      <c r="D906" s="74" t="s">
        <v>891</v>
      </c>
      <c r="E906" s="146">
        <v>717456963</v>
      </c>
      <c r="F906" s="7" t="s">
        <v>57</v>
      </c>
      <c r="G906" s="7"/>
      <c r="H906" s="74" t="s">
        <v>58</v>
      </c>
      <c r="I906" s="75" t="s">
        <v>59</v>
      </c>
      <c r="J906" s="74">
        <v>720668236</v>
      </c>
      <c r="K906" s="74" t="s">
        <v>60</v>
      </c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</row>
    <row r="907" spans="1:36" ht="12.75">
      <c r="A907" s="74" t="s">
        <v>471</v>
      </c>
      <c r="B907" s="74"/>
      <c r="C907" s="74" t="s">
        <v>472</v>
      </c>
      <c r="D907" s="74" t="s">
        <v>56</v>
      </c>
      <c r="E907" s="146">
        <v>705688180</v>
      </c>
      <c r="F907" s="7" t="s">
        <v>57</v>
      </c>
      <c r="G907" s="7"/>
      <c r="H907" s="74" t="s">
        <v>58</v>
      </c>
      <c r="I907" s="75" t="s">
        <v>59</v>
      </c>
      <c r="J907" s="74">
        <v>720668236</v>
      </c>
      <c r="K907" s="74" t="s">
        <v>60</v>
      </c>
      <c r="L907" s="74"/>
      <c r="M907" s="74"/>
      <c r="N907" s="74"/>
      <c r="O907" s="74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</row>
    <row r="908" spans="1:36" ht="12.75">
      <c r="A908" s="74" t="s">
        <v>54</v>
      </c>
      <c r="B908" s="74"/>
      <c r="C908" s="74" t="s">
        <v>55</v>
      </c>
      <c r="D908" s="74" t="s">
        <v>56</v>
      </c>
      <c r="E908" s="146">
        <v>746599780</v>
      </c>
      <c r="F908" s="7" t="s">
        <v>57</v>
      </c>
      <c r="G908" s="7"/>
      <c r="H908" s="74" t="s">
        <v>58</v>
      </c>
      <c r="I908" s="75" t="s">
        <v>59</v>
      </c>
      <c r="J908" s="74">
        <v>720668236</v>
      </c>
      <c r="K908" s="74" t="s">
        <v>60</v>
      </c>
      <c r="L908" s="74"/>
      <c r="M908" s="74"/>
      <c r="N908" s="74"/>
      <c r="O908" s="74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</row>
    <row r="909" spans="1:36" ht="12.75">
      <c r="A909" s="74" t="s">
        <v>1463</v>
      </c>
      <c r="B909" s="74"/>
      <c r="C909" s="74" t="s">
        <v>1464</v>
      </c>
      <c r="D909" s="74" t="s">
        <v>1465</v>
      </c>
      <c r="E909" s="146">
        <v>796716038</v>
      </c>
      <c r="F909" s="7" t="s">
        <v>1466</v>
      </c>
      <c r="G909" s="7"/>
      <c r="H909" s="74" t="s">
        <v>1467</v>
      </c>
      <c r="I909" s="75" t="s">
        <v>1468</v>
      </c>
      <c r="J909" s="74">
        <v>711716757</v>
      </c>
      <c r="K909" s="74" t="s">
        <v>1469</v>
      </c>
      <c r="L909" s="74"/>
      <c r="M909" s="74"/>
      <c r="N909" s="74"/>
      <c r="O909" s="74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</row>
    <row r="910" spans="1:36" ht="12.75">
      <c r="A910" s="74" t="s">
        <v>1794</v>
      </c>
      <c r="B910" s="74"/>
      <c r="C910" s="74" t="s">
        <v>1795</v>
      </c>
      <c r="D910" s="74" t="s">
        <v>1458</v>
      </c>
      <c r="E910" s="194">
        <f>254757691166</f>
        <v>254757691166</v>
      </c>
      <c r="F910" s="7" t="s">
        <v>1796</v>
      </c>
      <c r="G910" s="7"/>
      <c r="H910" s="74" t="s">
        <v>1797</v>
      </c>
      <c r="I910" s="75" t="s">
        <v>193</v>
      </c>
      <c r="J910" s="74">
        <v>254790550367</v>
      </c>
      <c r="K910" s="74" t="s">
        <v>1798</v>
      </c>
      <c r="L910" s="173"/>
      <c r="M910" s="173"/>
      <c r="N910" s="173"/>
      <c r="O910" s="173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</row>
    <row r="911" spans="1:36" ht="12.75">
      <c r="A911" s="74" t="s">
        <v>1703</v>
      </c>
      <c r="B911" s="74"/>
      <c r="C911" s="74" t="s">
        <v>1704</v>
      </c>
      <c r="D911" s="74" t="s">
        <v>373</v>
      </c>
      <c r="E911" s="146">
        <v>723629491</v>
      </c>
      <c r="F911" s="7" t="s">
        <v>1693</v>
      </c>
      <c r="G911" s="7"/>
      <c r="H911" s="7" t="s">
        <v>1693</v>
      </c>
      <c r="I911" s="75" t="s">
        <v>237</v>
      </c>
      <c r="J911" s="74" t="s">
        <v>1695</v>
      </c>
      <c r="K911" s="74" t="s">
        <v>1696</v>
      </c>
      <c r="L911" s="74"/>
      <c r="M911" s="74"/>
      <c r="N911" s="74"/>
      <c r="O911" s="74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</row>
    <row r="912" spans="1:36" ht="12.75">
      <c r="A912" s="74" t="s">
        <v>1691</v>
      </c>
      <c r="B912" s="74"/>
      <c r="C912" s="74" t="s">
        <v>1692</v>
      </c>
      <c r="D912" s="74" t="s">
        <v>78</v>
      </c>
      <c r="E912" s="146">
        <v>716371259</v>
      </c>
      <c r="F912" s="7" t="s">
        <v>1693</v>
      </c>
      <c r="G912" s="7"/>
      <c r="H912" s="7" t="s">
        <v>1694</v>
      </c>
      <c r="I912" s="75" t="s">
        <v>237</v>
      </c>
      <c r="J912" s="74" t="s">
        <v>1695</v>
      </c>
      <c r="K912" s="74" t="s">
        <v>1696</v>
      </c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</row>
    <row r="913" spans="1:36" ht="12.75">
      <c r="A913" s="74" t="s">
        <v>1134</v>
      </c>
      <c r="B913" s="74"/>
      <c r="C913" s="74" t="s">
        <v>1135</v>
      </c>
      <c r="D913" s="74" t="s">
        <v>78</v>
      </c>
      <c r="E913" s="146">
        <v>254740295246</v>
      </c>
      <c r="F913" s="7" t="s">
        <v>1136</v>
      </c>
      <c r="G913" s="7"/>
      <c r="H913" s="74" t="s">
        <v>1137</v>
      </c>
      <c r="I913" s="75" t="s">
        <v>218</v>
      </c>
      <c r="J913" s="74">
        <v>254770534969</v>
      </c>
      <c r="K913" s="76"/>
      <c r="L913" s="74"/>
      <c r="M913" s="74"/>
      <c r="N913" s="74"/>
      <c r="O913" s="74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  <c r="AI913" s="76"/>
      <c r="AJ913" s="76"/>
    </row>
    <row r="914" spans="1:36" ht="12.75">
      <c r="A914" s="264" t="s">
        <v>1102</v>
      </c>
      <c r="B914" s="264"/>
      <c r="C914" s="74" t="s">
        <v>1103</v>
      </c>
      <c r="D914" s="74" t="s">
        <v>227</v>
      </c>
      <c r="E914" s="146">
        <v>797561978</v>
      </c>
      <c r="F914" s="7" t="s">
        <v>862</v>
      </c>
      <c r="G914" s="7"/>
      <c r="H914" s="74" t="s">
        <v>1104</v>
      </c>
      <c r="I914" s="75" t="s">
        <v>218</v>
      </c>
      <c r="J914" s="76">
        <f>112784560</f>
        <v>112784560</v>
      </c>
      <c r="K914" s="264" t="s">
        <v>864</v>
      </c>
      <c r="L914" s="74"/>
      <c r="M914" s="74"/>
      <c r="N914" s="74"/>
      <c r="O914" s="74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  <c r="AI914" s="76"/>
      <c r="AJ914" s="76"/>
    </row>
    <row r="915" spans="1:36" ht="12.75">
      <c r="A915" s="74" t="s">
        <v>860</v>
      </c>
      <c r="B915" s="74"/>
      <c r="C915" s="74" t="s">
        <v>861</v>
      </c>
      <c r="D915" s="74" t="s">
        <v>71</v>
      </c>
      <c r="E915" s="146">
        <v>111779815</v>
      </c>
      <c r="F915" s="16" t="s">
        <v>862</v>
      </c>
      <c r="G915" s="16"/>
      <c r="H915" s="74" t="s">
        <v>863</v>
      </c>
      <c r="I915" s="75" t="s">
        <v>218</v>
      </c>
      <c r="J915" s="74">
        <v>112784560</v>
      </c>
      <c r="K915" s="74" t="s">
        <v>864</v>
      </c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</row>
    <row r="916" spans="1:36" ht="12.75">
      <c r="A916" s="74" t="s">
        <v>543</v>
      </c>
      <c r="B916" s="74"/>
      <c r="C916" s="74" t="s">
        <v>544</v>
      </c>
      <c r="D916" s="74" t="s">
        <v>441</v>
      </c>
      <c r="E916" s="146">
        <v>790417880</v>
      </c>
      <c r="F916" s="7" t="s">
        <v>545</v>
      </c>
      <c r="G916" s="7"/>
      <c r="H916" s="76"/>
      <c r="I916" s="84"/>
      <c r="J916" s="76"/>
      <c r="K916" s="76"/>
      <c r="L916" s="74"/>
      <c r="M916" s="74"/>
      <c r="N916" s="74"/>
      <c r="O916" s="74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  <c r="AI916" s="76"/>
      <c r="AJ916" s="76"/>
    </row>
    <row r="917" spans="1:36" ht="12.75">
      <c r="A917" s="74" t="s">
        <v>1446</v>
      </c>
      <c r="B917" s="74"/>
      <c r="C917" s="74" t="s">
        <v>1447</v>
      </c>
      <c r="D917" s="74" t="s">
        <v>1448</v>
      </c>
      <c r="E917" s="146">
        <v>797393814</v>
      </c>
      <c r="F917" s="7" t="s">
        <v>1449</v>
      </c>
      <c r="G917" s="7"/>
      <c r="H917" s="74" t="s">
        <v>1450</v>
      </c>
      <c r="I917" s="75" t="s">
        <v>1451</v>
      </c>
      <c r="J917" s="74">
        <v>757702813</v>
      </c>
      <c r="K917" s="74" t="s">
        <v>1452</v>
      </c>
      <c r="L917" s="74"/>
      <c r="M917" s="74"/>
      <c r="N917" s="74"/>
      <c r="O917" s="74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  <c r="AI917" s="76"/>
      <c r="AJ917" s="76"/>
    </row>
    <row r="918" spans="1:36" ht="12.75">
      <c r="A918" s="74" t="s">
        <v>666</v>
      </c>
      <c r="B918" s="74"/>
      <c r="C918" s="74" t="s">
        <v>667</v>
      </c>
      <c r="D918" s="74" t="s">
        <v>306</v>
      </c>
      <c r="E918" s="146">
        <v>254758667531</v>
      </c>
      <c r="F918" s="7" t="s">
        <v>668</v>
      </c>
      <c r="G918" s="7"/>
      <c r="H918" s="74" t="s">
        <v>669</v>
      </c>
      <c r="I918" s="75" t="s">
        <v>237</v>
      </c>
      <c r="J918" s="74">
        <f>254732058126</f>
        <v>254732058126</v>
      </c>
      <c r="K918" s="74" t="s">
        <v>670</v>
      </c>
      <c r="L918" s="74"/>
      <c r="M918" s="74"/>
      <c r="N918" s="74"/>
      <c r="O918" s="74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  <c r="AI918" s="76"/>
      <c r="AJ918" s="76"/>
    </row>
    <row r="919" spans="1:36" ht="12.75">
      <c r="A919" s="74" t="s">
        <v>1827</v>
      </c>
      <c r="B919" s="74"/>
      <c r="C919" s="74" t="s">
        <v>1828</v>
      </c>
      <c r="D919" s="74" t="s">
        <v>1829</v>
      </c>
      <c r="E919" s="146">
        <v>791967866</v>
      </c>
      <c r="F919" s="198" t="s">
        <v>700</v>
      </c>
      <c r="G919" s="198"/>
      <c r="H919" s="198" t="s">
        <v>450</v>
      </c>
      <c r="I919" s="199" t="s">
        <v>451</v>
      </c>
      <c r="J919" s="200">
        <v>799290741</v>
      </c>
      <c r="K919" s="198" t="s">
        <v>87</v>
      </c>
      <c r="L919" s="60"/>
      <c r="M919" s="60"/>
      <c r="N919" s="60"/>
      <c r="O919" s="60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6"/>
    </row>
    <row r="920" spans="1:36" ht="12.75">
      <c r="A920" s="74" t="s">
        <v>1855</v>
      </c>
      <c r="B920" s="74"/>
      <c r="C920" s="74" t="s">
        <v>1856</v>
      </c>
      <c r="D920" s="74" t="s">
        <v>242</v>
      </c>
      <c r="E920" s="146">
        <v>701318413</v>
      </c>
      <c r="F920" s="198" t="s">
        <v>700</v>
      </c>
      <c r="G920" s="198"/>
      <c r="H920" s="198" t="s">
        <v>450</v>
      </c>
      <c r="I920" s="199" t="s">
        <v>451</v>
      </c>
      <c r="J920" s="200">
        <v>799290741</v>
      </c>
      <c r="K920" s="198" t="s">
        <v>87</v>
      </c>
      <c r="L920" s="60"/>
      <c r="M920" s="60"/>
      <c r="N920" s="60"/>
      <c r="O920" s="60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  <c r="AI920" s="76"/>
      <c r="AJ920" s="76"/>
    </row>
    <row r="921" spans="1:36" ht="12.75">
      <c r="A921" s="118" t="s">
        <v>698</v>
      </c>
      <c r="B921" s="118"/>
      <c r="C921" s="118" t="s">
        <v>699</v>
      </c>
      <c r="D921" s="74" t="s">
        <v>227</v>
      </c>
      <c r="E921" s="146">
        <v>794904946</v>
      </c>
      <c r="F921" s="74" t="s">
        <v>700</v>
      </c>
      <c r="G921" s="74"/>
      <c r="H921" s="74" t="s">
        <v>450</v>
      </c>
      <c r="I921" s="75" t="s">
        <v>451</v>
      </c>
      <c r="J921" s="74">
        <v>799290741</v>
      </c>
      <c r="K921" s="74" t="s">
        <v>87</v>
      </c>
      <c r="L921" s="60"/>
      <c r="M921" s="60"/>
      <c r="N921" s="60"/>
      <c r="O921" s="60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  <c r="AI921" s="76"/>
      <c r="AJ921" s="76"/>
    </row>
    <row r="922" spans="1:36" ht="12.75">
      <c r="A922" s="74" t="s">
        <v>1572</v>
      </c>
      <c r="B922" s="74"/>
      <c r="C922" s="74" t="s">
        <v>1573</v>
      </c>
      <c r="D922" s="74" t="s">
        <v>11</v>
      </c>
      <c r="E922" s="146">
        <v>707651122</v>
      </c>
      <c r="F922" s="7" t="s">
        <v>1574</v>
      </c>
      <c r="G922" s="7"/>
      <c r="H922" s="74" t="s">
        <v>1575</v>
      </c>
      <c r="I922" s="75" t="s">
        <v>1576</v>
      </c>
      <c r="J922" s="212">
        <v>254711058000</v>
      </c>
      <c r="K922" s="60" t="s">
        <v>1577</v>
      </c>
      <c r="L922" s="60"/>
      <c r="M922" s="60"/>
      <c r="N922" s="60"/>
      <c r="O922" s="60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  <c r="AI922" s="76"/>
      <c r="AJ922" s="76"/>
    </row>
    <row r="923" spans="1:36" ht="12.75">
      <c r="A923" s="307" t="s">
        <v>1140</v>
      </c>
      <c r="B923" s="307"/>
      <c r="C923" s="264" t="s">
        <v>1141</v>
      </c>
      <c r="D923" s="264" t="s">
        <v>1142</v>
      </c>
      <c r="E923" s="74" t="s">
        <v>1143</v>
      </c>
      <c r="F923" s="7" t="s">
        <v>1144</v>
      </c>
      <c r="G923" s="7"/>
      <c r="H923" s="74" t="s">
        <v>1145</v>
      </c>
      <c r="I923" s="75" t="s">
        <v>1146</v>
      </c>
      <c r="J923" s="74" t="s">
        <v>1147</v>
      </c>
      <c r="K923" s="74" t="s">
        <v>1148</v>
      </c>
      <c r="L923" s="74"/>
      <c r="M923" s="74"/>
      <c r="N923" s="74"/>
      <c r="O923" s="74"/>
      <c r="P923" s="74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  <c r="AI923" s="76"/>
      <c r="AJ923" s="76"/>
    </row>
    <row r="924" spans="1:36" ht="12.75">
      <c r="A924" s="74" t="s">
        <v>1647</v>
      </c>
      <c r="B924" s="74"/>
      <c r="C924" s="74" t="s">
        <v>1648</v>
      </c>
      <c r="D924" s="74" t="s">
        <v>301</v>
      </c>
      <c r="E924" s="146">
        <v>741252060</v>
      </c>
      <c r="F924" s="7" t="s">
        <v>1649</v>
      </c>
      <c r="G924" s="7"/>
      <c r="H924" s="74" t="s">
        <v>1650</v>
      </c>
      <c r="I924" s="75" t="s">
        <v>677</v>
      </c>
      <c r="J924" s="74" t="s">
        <v>1651</v>
      </c>
      <c r="K924" s="74" t="s">
        <v>1652</v>
      </c>
      <c r="L924" s="74"/>
      <c r="M924" s="74"/>
      <c r="N924" s="74"/>
      <c r="O924" s="74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  <c r="AI924" s="76"/>
      <c r="AJ924" s="76"/>
    </row>
    <row r="925" spans="1:36" ht="12.75">
      <c r="A925" s="74" t="s">
        <v>1777</v>
      </c>
      <c r="B925" s="74"/>
      <c r="C925" s="74" t="s">
        <v>1778</v>
      </c>
      <c r="D925" s="74" t="s">
        <v>38</v>
      </c>
      <c r="E925" s="146">
        <v>712986086</v>
      </c>
      <c r="F925" s="7" t="s">
        <v>1779</v>
      </c>
      <c r="G925" s="1"/>
      <c r="H925" s="60" t="s">
        <v>1780</v>
      </c>
      <c r="I925" s="88" t="s">
        <v>1781</v>
      </c>
      <c r="J925" s="74">
        <v>798985151</v>
      </c>
      <c r="K925" s="195" t="s">
        <v>1782</v>
      </c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  <c r="AI925" s="76"/>
      <c r="AJ925" s="76"/>
    </row>
    <row r="926" spans="1:36" ht="12.75">
      <c r="A926" s="264" t="s">
        <v>637</v>
      </c>
      <c r="B926" s="264"/>
      <c r="C926" s="264" t="s">
        <v>638</v>
      </c>
      <c r="D926" s="264" t="s">
        <v>639</v>
      </c>
      <c r="E926" s="262" t="s">
        <v>640</v>
      </c>
      <c r="F926" s="7" t="s">
        <v>641</v>
      </c>
      <c r="G926" s="7"/>
      <c r="H926" s="74" t="s">
        <v>642</v>
      </c>
      <c r="I926" s="75" t="s">
        <v>643</v>
      </c>
      <c r="J926" s="60" t="s">
        <v>644</v>
      </c>
      <c r="K926" s="60" t="s">
        <v>645</v>
      </c>
      <c r="L926" s="60"/>
      <c r="M926" s="60"/>
      <c r="N926" s="60"/>
      <c r="O926" s="60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  <c r="AI926" s="76"/>
      <c r="AJ926" s="76"/>
    </row>
    <row r="927" spans="1:36" ht="12.75">
      <c r="A927" s="74" t="s">
        <v>1511</v>
      </c>
      <c r="B927" s="74"/>
      <c r="C927" s="74" t="s">
        <v>1512</v>
      </c>
      <c r="D927" s="74" t="s">
        <v>279</v>
      </c>
      <c r="E927" s="146" t="s">
        <v>1513</v>
      </c>
      <c r="F927" s="7" t="s">
        <v>1514</v>
      </c>
      <c r="G927" s="7"/>
      <c r="H927" s="74" t="s">
        <v>1515</v>
      </c>
      <c r="I927" s="75" t="s">
        <v>59</v>
      </c>
      <c r="J927" s="74" t="s">
        <v>1516</v>
      </c>
      <c r="K927" s="74" t="s">
        <v>1517</v>
      </c>
      <c r="L927" s="74"/>
      <c r="M927" s="74"/>
      <c r="N927" s="74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  <c r="AI927" s="76"/>
      <c r="AJ927" s="76"/>
    </row>
    <row r="928" spans="1:36" ht="12.75">
      <c r="A928" s="74" t="s">
        <v>2962</v>
      </c>
      <c r="B928" s="74"/>
      <c r="C928" s="74" t="s">
        <v>257</v>
      </c>
      <c r="D928" s="74" t="s">
        <v>258</v>
      </c>
      <c r="E928" s="146">
        <v>720457500</v>
      </c>
      <c r="F928" s="7" t="s">
        <v>2963</v>
      </c>
      <c r="G928" s="7"/>
      <c r="H928" s="74" t="s">
        <v>2964</v>
      </c>
      <c r="I928" s="75" t="s">
        <v>2965</v>
      </c>
      <c r="J928" s="74">
        <v>723633152</v>
      </c>
      <c r="K928" s="74" t="s">
        <v>2966</v>
      </c>
      <c r="L928" s="74"/>
      <c r="M928" s="74"/>
      <c r="N928" s="74"/>
      <c r="O928" s="74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  <c r="AI928" s="76"/>
      <c r="AJ928" s="76"/>
    </row>
    <row r="929" spans="1:36" ht="12.75">
      <c r="A929" s="74" t="s">
        <v>188</v>
      </c>
      <c r="B929" s="74"/>
      <c r="C929" s="74" t="s">
        <v>189</v>
      </c>
      <c r="D929" s="74" t="s">
        <v>190</v>
      </c>
      <c r="E929" s="146">
        <v>254718268789</v>
      </c>
      <c r="F929" s="7" t="s">
        <v>191</v>
      </c>
      <c r="G929" s="7"/>
      <c r="H929" s="74" t="s">
        <v>192</v>
      </c>
      <c r="I929" s="75" t="s">
        <v>193</v>
      </c>
      <c r="J929" s="74" t="s">
        <v>194</v>
      </c>
      <c r="K929" s="74" t="s">
        <v>195</v>
      </c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6"/>
    </row>
    <row r="930" spans="1:36" ht="12.75">
      <c r="A930" s="103" t="s">
        <v>592</v>
      </c>
      <c r="B930" s="103"/>
      <c r="C930" s="103" t="s">
        <v>201</v>
      </c>
      <c r="D930" s="103" t="s">
        <v>201</v>
      </c>
      <c r="E930" s="194"/>
      <c r="F930" s="103" t="s">
        <v>593</v>
      </c>
      <c r="G930" s="103"/>
      <c r="H930" s="76"/>
      <c r="I930" s="104" t="s">
        <v>203</v>
      </c>
      <c r="J930" s="105">
        <v>713574839</v>
      </c>
      <c r="K930" s="103" t="s">
        <v>204</v>
      </c>
      <c r="L930" s="74"/>
      <c r="M930" s="74"/>
      <c r="N930" s="74"/>
      <c r="O930" s="74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  <c r="AI930" s="76"/>
      <c r="AJ930" s="76"/>
    </row>
    <row r="931" spans="1:36" ht="12.75">
      <c r="A931" s="74" t="s">
        <v>1613</v>
      </c>
      <c r="B931" s="74"/>
      <c r="C931" s="74" t="s">
        <v>1614</v>
      </c>
      <c r="D931" s="74" t="s">
        <v>616</v>
      </c>
      <c r="E931" s="194"/>
      <c r="F931" s="7" t="s">
        <v>1615</v>
      </c>
      <c r="G931" s="7"/>
      <c r="H931" s="76"/>
      <c r="I931" s="75" t="s">
        <v>1616</v>
      </c>
      <c r="J931" s="76"/>
      <c r="K931" s="74" t="s">
        <v>1617</v>
      </c>
      <c r="L931" s="74"/>
      <c r="M931" s="74"/>
      <c r="N931" s="74"/>
      <c r="O931" s="74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  <c r="AI931" s="76"/>
      <c r="AJ931" s="76"/>
    </row>
    <row r="932" spans="1:36" ht="12.75">
      <c r="A932" s="74" t="s">
        <v>315</v>
      </c>
      <c r="B932" s="74"/>
      <c r="C932" s="74" t="s">
        <v>316</v>
      </c>
      <c r="D932" s="74" t="s">
        <v>317</v>
      </c>
      <c r="E932" s="146">
        <v>758052929</v>
      </c>
      <c r="F932" s="74" t="s">
        <v>318</v>
      </c>
      <c r="G932" s="74"/>
      <c r="H932" s="74" t="s">
        <v>319</v>
      </c>
      <c r="I932" s="75" t="s">
        <v>320</v>
      </c>
      <c r="J932" s="74">
        <v>729395433</v>
      </c>
      <c r="K932" s="74" t="s">
        <v>321</v>
      </c>
      <c r="L932" s="74"/>
      <c r="M932" s="74"/>
      <c r="N932" s="74"/>
      <c r="O932" s="74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  <c r="AI932" s="76"/>
      <c r="AJ932" s="76"/>
    </row>
    <row r="933" spans="1:36" ht="12.75">
      <c r="A933" s="74" t="s">
        <v>1119</v>
      </c>
      <c r="B933" s="74"/>
      <c r="C933" s="74" t="s">
        <v>1120</v>
      </c>
      <c r="D933" s="114" t="s">
        <v>337</v>
      </c>
      <c r="E933" s="146">
        <v>702853108</v>
      </c>
      <c r="F933" s="7" t="s">
        <v>1121</v>
      </c>
      <c r="G933" s="7"/>
      <c r="H933" s="74" t="s">
        <v>1122</v>
      </c>
      <c r="I933" s="75" t="s">
        <v>1123</v>
      </c>
      <c r="J933" s="74">
        <v>797146764</v>
      </c>
      <c r="K933" s="74" t="s">
        <v>1124</v>
      </c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  <c r="AI933" s="76"/>
      <c r="AJ933" s="76"/>
    </row>
    <row r="934" spans="1:36" ht="12.75">
      <c r="A934" s="264" t="s">
        <v>570</v>
      </c>
      <c r="B934" s="264"/>
      <c r="C934" s="264" t="s">
        <v>571</v>
      </c>
      <c r="D934" s="264" t="s">
        <v>572</v>
      </c>
      <c r="E934" s="262" t="s">
        <v>573</v>
      </c>
      <c r="F934" s="7" t="s">
        <v>574</v>
      </c>
      <c r="G934" s="7"/>
      <c r="H934" s="74" t="s">
        <v>575</v>
      </c>
      <c r="I934" s="75" t="s">
        <v>576</v>
      </c>
      <c r="J934" s="60" t="s">
        <v>577</v>
      </c>
      <c r="K934" s="60" t="s">
        <v>578</v>
      </c>
      <c r="L934" s="190"/>
      <c r="M934" s="190"/>
      <c r="N934" s="190"/>
      <c r="O934" s="190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  <c r="AI934" s="76"/>
      <c r="AJ934" s="76"/>
    </row>
    <row r="935" spans="1:36" ht="15">
      <c r="A935" s="74" t="s">
        <v>1470</v>
      </c>
      <c r="B935" s="74"/>
      <c r="C935" s="74" t="s">
        <v>1471</v>
      </c>
      <c r="D935" s="74" t="s">
        <v>170</v>
      </c>
      <c r="E935" s="146">
        <v>707071440</v>
      </c>
      <c r="F935" s="7" t="s">
        <v>1107</v>
      </c>
      <c r="G935" s="7"/>
      <c r="H935" s="74" t="s">
        <v>355</v>
      </c>
      <c r="I935" s="75" t="s">
        <v>1472</v>
      </c>
      <c r="J935" s="308">
        <v>710453693</v>
      </c>
      <c r="K935" s="74" t="s">
        <v>105</v>
      </c>
      <c r="L935" s="74"/>
      <c r="M935" s="74"/>
      <c r="N935" s="74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  <c r="AI935" s="76"/>
      <c r="AJ935" s="76"/>
    </row>
    <row r="936" spans="1:36" ht="12.75">
      <c r="A936" s="74" t="s">
        <v>1534</v>
      </c>
      <c r="B936" s="74"/>
      <c r="C936" s="74" t="s">
        <v>1535</v>
      </c>
      <c r="D936" s="74" t="s">
        <v>951</v>
      </c>
      <c r="E936" s="146">
        <v>748200233</v>
      </c>
      <c r="F936" s="7" t="s">
        <v>1107</v>
      </c>
      <c r="G936" s="7"/>
      <c r="H936" s="74" t="s">
        <v>355</v>
      </c>
      <c r="I936" s="75" t="s">
        <v>223</v>
      </c>
      <c r="J936" s="74" t="s">
        <v>344</v>
      </c>
      <c r="K936" s="74" t="s">
        <v>105</v>
      </c>
      <c r="L936" s="74"/>
      <c r="M936" s="74"/>
      <c r="N936" s="74"/>
      <c r="O936" s="74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  <c r="AI936" s="76"/>
      <c r="AJ936" s="76"/>
    </row>
    <row r="937" spans="1:36" ht="12.75">
      <c r="A937" s="74" t="s">
        <v>2967</v>
      </c>
      <c r="B937" s="74"/>
      <c r="C937" s="74" t="s">
        <v>615</v>
      </c>
      <c r="D937" s="74" t="s">
        <v>616</v>
      </c>
      <c r="E937" s="146">
        <v>799163101</v>
      </c>
      <c r="F937" s="7" t="s">
        <v>342</v>
      </c>
      <c r="G937" s="7"/>
      <c r="H937" s="74" t="s">
        <v>355</v>
      </c>
      <c r="I937" s="75" t="s">
        <v>617</v>
      </c>
      <c r="J937" s="74">
        <v>715364294</v>
      </c>
      <c r="K937" s="74" t="s">
        <v>105</v>
      </c>
      <c r="L937" s="74"/>
      <c r="M937" s="74"/>
      <c r="N937" s="74"/>
      <c r="O937" s="74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  <c r="AI937" s="76"/>
      <c r="AJ937" s="76"/>
    </row>
    <row r="938" spans="1:36" ht="12.75">
      <c r="A938" s="74" t="s">
        <v>1125</v>
      </c>
      <c r="B938" s="74"/>
      <c r="C938" s="74" t="s">
        <v>1126</v>
      </c>
      <c r="D938" s="60" t="s">
        <v>1127</v>
      </c>
      <c r="E938" s="194">
        <f>254762481905</f>
        <v>254762481905</v>
      </c>
      <c r="F938" s="7" t="s">
        <v>342</v>
      </c>
      <c r="G938" s="7"/>
      <c r="H938" s="74" t="s">
        <v>343</v>
      </c>
      <c r="I938" s="75" t="s">
        <v>356</v>
      </c>
      <c r="J938" s="74">
        <v>715364294</v>
      </c>
      <c r="K938" s="74" t="s">
        <v>1128</v>
      </c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  <c r="AI938" s="76"/>
      <c r="AJ938" s="76"/>
    </row>
    <row r="939" spans="1:36" ht="12.75">
      <c r="A939" s="74" t="s">
        <v>102</v>
      </c>
      <c r="B939" s="74"/>
      <c r="C939" s="74" t="s">
        <v>103</v>
      </c>
      <c r="D939" s="74" t="s">
        <v>83</v>
      </c>
      <c r="E939" s="146">
        <v>702216778</v>
      </c>
      <c r="F939" s="7" t="s">
        <v>39</v>
      </c>
      <c r="G939" s="7"/>
      <c r="H939" s="74" t="s">
        <v>104</v>
      </c>
      <c r="I939" s="75" t="s">
        <v>14</v>
      </c>
      <c r="J939" s="74">
        <v>715364294</v>
      </c>
      <c r="K939" s="74" t="s">
        <v>105</v>
      </c>
      <c r="L939" s="74"/>
      <c r="M939" s="74"/>
      <c r="N939" s="74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  <c r="AI939" s="76"/>
      <c r="AJ939" s="76"/>
    </row>
    <row r="940" spans="1:36" ht="12.75">
      <c r="A940" s="74" t="s">
        <v>1105</v>
      </c>
      <c r="B940" s="74"/>
      <c r="C940" s="74" t="s">
        <v>1106</v>
      </c>
      <c r="D940" s="74" t="s">
        <v>71</v>
      </c>
      <c r="E940" s="146">
        <v>705241326</v>
      </c>
      <c r="F940" s="7" t="s">
        <v>1107</v>
      </c>
      <c r="G940" s="7"/>
      <c r="H940" s="74" t="s">
        <v>355</v>
      </c>
      <c r="I940" s="75" t="s">
        <v>14</v>
      </c>
      <c r="J940" s="74">
        <v>715364294</v>
      </c>
      <c r="K940" s="74" t="s">
        <v>105</v>
      </c>
      <c r="L940" s="74"/>
      <c r="M940" s="74"/>
      <c r="N940" s="74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  <c r="AI940" s="76"/>
      <c r="AJ940" s="76"/>
    </row>
    <row r="941" spans="1:36" ht="12.75">
      <c r="A941" s="74" t="s">
        <v>443</v>
      </c>
      <c r="B941" s="74"/>
      <c r="C941" s="74" t="s">
        <v>444</v>
      </c>
      <c r="D941" s="74" t="s">
        <v>445</v>
      </c>
      <c r="E941" s="146">
        <v>725158687</v>
      </c>
      <c r="F941" s="7" t="s">
        <v>342</v>
      </c>
      <c r="G941" s="7"/>
      <c r="H941" s="74" t="s">
        <v>446</v>
      </c>
      <c r="I941" s="75" t="s">
        <v>356</v>
      </c>
      <c r="J941" s="74">
        <v>715364294</v>
      </c>
      <c r="K941" s="74" t="s">
        <v>105</v>
      </c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6"/>
    </row>
    <row r="942" spans="1:36" ht="12.75">
      <c r="A942" s="74" t="s">
        <v>1323</v>
      </c>
      <c r="B942" s="74"/>
      <c r="C942" s="74" t="s">
        <v>1324</v>
      </c>
      <c r="D942" s="74" t="s">
        <v>1325</v>
      </c>
      <c r="E942" s="146">
        <v>112810203</v>
      </c>
      <c r="F942" s="7" t="s">
        <v>342</v>
      </c>
      <c r="G942" s="7"/>
      <c r="H942" s="74" t="s">
        <v>355</v>
      </c>
      <c r="I942" s="75" t="s">
        <v>356</v>
      </c>
      <c r="J942" s="74">
        <v>710453693</v>
      </c>
      <c r="K942" s="74" t="s">
        <v>105</v>
      </c>
      <c r="L942" s="74"/>
      <c r="M942" s="74"/>
      <c r="N942" s="74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  <c r="AI942" s="76"/>
    </row>
    <row r="943" spans="1:36" ht="12.75">
      <c r="A943" s="74" t="s">
        <v>1775</v>
      </c>
      <c r="B943" s="74"/>
      <c r="C943" s="74" t="s">
        <v>1776</v>
      </c>
      <c r="D943" s="74" t="s">
        <v>227</v>
      </c>
      <c r="E943" s="146">
        <v>745397503</v>
      </c>
      <c r="F943" s="7" t="s">
        <v>342</v>
      </c>
      <c r="G943" s="7"/>
      <c r="H943" s="74" t="s">
        <v>355</v>
      </c>
      <c r="I943" s="75" t="s">
        <v>14</v>
      </c>
      <c r="J943" s="74">
        <v>710453693</v>
      </c>
      <c r="K943" s="74" t="s">
        <v>105</v>
      </c>
      <c r="L943" s="74"/>
      <c r="M943" s="74"/>
      <c r="N943" s="74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  <c r="AI943" s="76"/>
      <c r="AJ943" s="76"/>
    </row>
    <row r="944" spans="1:36" ht="12.75">
      <c r="A944" s="96" t="s">
        <v>1790</v>
      </c>
      <c r="B944" s="96"/>
      <c r="C944" s="74" t="s">
        <v>1791</v>
      </c>
      <c r="D944" s="74" t="s">
        <v>1792</v>
      </c>
      <c r="E944" s="146">
        <v>711518265</v>
      </c>
      <c r="F944" s="7" t="s">
        <v>1107</v>
      </c>
      <c r="G944" s="7"/>
      <c r="H944" s="74" t="s">
        <v>355</v>
      </c>
      <c r="I944" s="75" t="s">
        <v>1793</v>
      </c>
      <c r="J944" s="74" t="s">
        <v>357</v>
      </c>
      <c r="K944" s="74" t="s">
        <v>105</v>
      </c>
      <c r="L944" s="74"/>
      <c r="M944" s="74"/>
      <c r="N944" s="74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  <c r="AI944" s="76"/>
      <c r="AJ944" s="76"/>
    </row>
    <row r="945" spans="1:36" ht="12.75">
      <c r="A945" s="74" t="s">
        <v>339</v>
      </c>
      <c r="B945" s="74"/>
      <c r="C945" s="74" t="s">
        <v>340</v>
      </c>
      <c r="D945" s="74" t="s">
        <v>341</v>
      </c>
      <c r="E945" s="146">
        <v>768441549</v>
      </c>
      <c r="F945" s="7" t="s">
        <v>342</v>
      </c>
      <c r="G945" s="7"/>
      <c r="H945" s="74" t="s">
        <v>343</v>
      </c>
      <c r="I945" s="75" t="s">
        <v>41</v>
      </c>
      <c r="J945" s="74" t="s">
        <v>344</v>
      </c>
      <c r="K945" s="74" t="s">
        <v>105</v>
      </c>
      <c r="L945" s="74"/>
      <c r="M945" s="74"/>
      <c r="N945" s="74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  <c r="AI945" s="76"/>
      <c r="AJ945" s="76"/>
    </row>
    <row r="946" spans="1:36" ht="12.75">
      <c r="A946" s="74" t="s">
        <v>1518</v>
      </c>
      <c r="B946" s="74"/>
      <c r="C946" s="74" t="s">
        <v>1519</v>
      </c>
      <c r="D946" s="74" t="s">
        <v>373</v>
      </c>
      <c r="E946" s="146">
        <v>714053850</v>
      </c>
      <c r="F946" s="7" t="s">
        <v>342</v>
      </c>
      <c r="G946" s="7"/>
      <c r="H946" s="74" t="s">
        <v>343</v>
      </c>
      <c r="I946" s="75" t="s">
        <v>356</v>
      </c>
      <c r="J946" s="74">
        <v>714053850</v>
      </c>
      <c r="K946" s="74"/>
      <c r="L946" s="74"/>
      <c r="M946" s="74"/>
      <c r="N946" s="74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  <c r="AI946" s="76"/>
      <c r="AJ946" s="76"/>
    </row>
    <row r="947" spans="1:36" ht="12.75">
      <c r="A947" s="74" t="s">
        <v>538</v>
      </c>
      <c r="B947" s="74"/>
      <c r="C947" s="74" t="s">
        <v>539</v>
      </c>
      <c r="D947" s="74" t="s">
        <v>227</v>
      </c>
      <c r="E947" s="157">
        <v>797916373</v>
      </c>
      <c r="F947" s="7" t="s">
        <v>342</v>
      </c>
      <c r="G947" s="7"/>
      <c r="H947" s="74" t="s">
        <v>343</v>
      </c>
      <c r="I947" s="75" t="s">
        <v>41</v>
      </c>
      <c r="J947" s="74">
        <v>710453693</v>
      </c>
      <c r="K947" s="74" t="s">
        <v>105</v>
      </c>
      <c r="L947" s="74"/>
      <c r="M947" s="74"/>
      <c r="N947" s="74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  <c r="AI947" s="76"/>
      <c r="AJ947" s="76"/>
    </row>
    <row r="948" spans="1:36" ht="12.75">
      <c r="A948" s="74" t="s">
        <v>957</v>
      </c>
      <c r="B948" s="74"/>
      <c r="C948" s="74" t="s">
        <v>958</v>
      </c>
      <c r="D948" s="74" t="s">
        <v>959</v>
      </c>
      <c r="E948" s="146">
        <v>769898144</v>
      </c>
      <c r="F948" s="7" t="s">
        <v>342</v>
      </c>
      <c r="G948" s="7"/>
      <c r="H948" s="74" t="s">
        <v>343</v>
      </c>
      <c r="I948" s="75" t="s">
        <v>617</v>
      </c>
      <c r="J948" s="74">
        <v>714053850</v>
      </c>
      <c r="K948" s="74" t="s">
        <v>105</v>
      </c>
      <c r="L948" s="74"/>
      <c r="M948" s="74"/>
      <c r="N948" s="74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6"/>
    </row>
    <row r="949" spans="1:36" ht="14.25">
      <c r="A949" s="74" t="s">
        <v>876</v>
      </c>
      <c r="B949" s="74"/>
      <c r="C949" s="74" t="s">
        <v>877</v>
      </c>
      <c r="D949" s="74" t="s">
        <v>516</v>
      </c>
      <c r="E949" s="146">
        <v>112209765</v>
      </c>
      <c r="F949" s="1" t="s">
        <v>342</v>
      </c>
      <c r="G949" s="1"/>
      <c r="H949" s="74" t="s">
        <v>355</v>
      </c>
      <c r="I949" s="75" t="s">
        <v>223</v>
      </c>
      <c r="J949" s="150">
        <v>710453693</v>
      </c>
      <c r="K949" s="74" t="s">
        <v>105</v>
      </c>
      <c r="L949" s="74"/>
      <c r="M949" s="74"/>
      <c r="N949" s="74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6"/>
    </row>
    <row r="950" spans="1:36" ht="12.75">
      <c r="A950" s="74" t="s">
        <v>1333</v>
      </c>
      <c r="B950" s="74"/>
      <c r="C950" s="74" t="s">
        <v>1334</v>
      </c>
      <c r="D950" s="74" t="s">
        <v>880</v>
      </c>
      <c r="E950" s="146">
        <v>797677629</v>
      </c>
      <c r="F950" s="7" t="s">
        <v>342</v>
      </c>
      <c r="G950" s="7"/>
      <c r="H950" s="74" t="s">
        <v>937</v>
      </c>
      <c r="I950" s="75" t="s">
        <v>223</v>
      </c>
      <c r="J950" s="74">
        <v>710453693</v>
      </c>
      <c r="K950" s="74" t="s">
        <v>105</v>
      </c>
      <c r="L950" s="74"/>
      <c r="M950" s="74"/>
      <c r="N950" s="74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  <c r="AI950" s="76"/>
      <c r="AJ950" s="76"/>
    </row>
    <row r="951" spans="1:36" ht="12.75">
      <c r="A951" s="74" t="s">
        <v>934</v>
      </c>
      <c r="B951" s="74"/>
      <c r="C951" s="74" t="s">
        <v>935</v>
      </c>
      <c r="D951" s="74" t="s">
        <v>936</v>
      </c>
      <c r="E951" s="146">
        <v>740704748</v>
      </c>
      <c r="F951" s="7" t="s">
        <v>342</v>
      </c>
      <c r="G951" s="7"/>
      <c r="H951" s="74" t="s">
        <v>937</v>
      </c>
      <c r="I951" s="75" t="s">
        <v>223</v>
      </c>
      <c r="J951" s="74">
        <v>710453693</v>
      </c>
      <c r="K951" s="74" t="s">
        <v>105</v>
      </c>
      <c r="L951" s="74"/>
      <c r="M951" s="74"/>
      <c r="N951" s="74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  <c r="AI951" s="76"/>
      <c r="AJ951" s="76"/>
    </row>
    <row r="952" spans="1:36" ht="12.75">
      <c r="A952" s="74" t="s">
        <v>931</v>
      </c>
      <c r="B952" s="74"/>
      <c r="C952" s="74" t="s">
        <v>932</v>
      </c>
      <c r="D952" s="74" t="s">
        <v>227</v>
      </c>
      <c r="E952" s="146">
        <v>111906558</v>
      </c>
      <c r="F952" s="7" t="s">
        <v>342</v>
      </c>
      <c r="G952" s="7"/>
      <c r="H952" s="74" t="s">
        <v>933</v>
      </c>
      <c r="I952" s="84"/>
      <c r="K952" s="76"/>
      <c r="L952" s="74"/>
      <c r="M952" s="74"/>
      <c r="N952" s="74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  <c r="AI952" s="76"/>
      <c r="AJ952" s="76"/>
    </row>
    <row r="953" spans="1:36" ht="12.75">
      <c r="A953" s="74" t="s">
        <v>36</v>
      </c>
      <c r="B953" s="74"/>
      <c r="C953" s="74" t="s">
        <v>37</v>
      </c>
      <c r="D953" s="74" t="s">
        <v>38</v>
      </c>
      <c r="E953" s="146">
        <v>745169043</v>
      </c>
      <c r="F953" s="7" t="s">
        <v>39</v>
      </c>
      <c r="G953" s="7"/>
      <c r="H953" s="74" t="s">
        <v>40</v>
      </c>
      <c r="I953" s="75" t="s">
        <v>41</v>
      </c>
      <c r="J953" s="74">
        <v>710453693</v>
      </c>
      <c r="K953" s="74" t="s">
        <v>42</v>
      </c>
      <c r="L953" s="74"/>
      <c r="M953" s="74"/>
      <c r="N953" s="74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</row>
    <row r="954" spans="1:36" ht="12.75">
      <c r="A954" s="74" t="s">
        <v>996</v>
      </c>
      <c r="B954" s="74"/>
      <c r="C954" s="74" t="s">
        <v>997</v>
      </c>
      <c r="D954" s="74" t="s">
        <v>998</v>
      </c>
      <c r="E954" s="146">
        <v>714933162</v>
      </c>
      <c r="F954" s="7" t="s">
        <v>999</v>
      </c>
      <c r="G954" s="7"/>
      <c r="H954" s="74" t="s">
        <v>104</v>
      </c>
      <c r="I954" s="75" t="s">
        <v>14</v>
      </c>
      <c r="J954" s="74">
        <v>715364294</v>
      </c>
      <c r="K954" s="74" t="s">
        <v>105</v>
      </c>
      <c r="L954" s="74"/>
      <c r="M954" s="74"/>
      <c r="N954" s="74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  <c r="AI954" s="76"/>
      <c r="AJ954" s="76"/>
    </row>
    <row r="955" spans="1:36" ht="12.75">
      <c r="A955" s="74" t="s">
        <v>1030</v>
      </c>
      <c r="B955" s="74"/>
      <c r="C955" s="74" t="s">
        <v>1031</v>
      </c>
      <c r="D955" s="74" t="s">
        <v>83</v>
      </c>
      <c r="E955" s="146">
        <v>254700647035</v>
      </c>
      <c r="F955" s="7" t="s">
        <v>1032</v>
      </c>
      <c r="G955" s="7"/>
      <c r="H955" s="74" t="s">
        <v>104</v>
      </c>
      <c r="I955" s="75" t="s">
        <v>617</v>
      </c>
      <c r="J955" s="74">
        <v>715364294</v>
      </c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  <c r="AI955" s="76"/>
      <c r="AJ955" s="76"/>
    </row>
    <row r="956" spans="1:36" ht="15">
      <c r="A956" s="74" t="s">
        <v>439</v>
      </c>
      <c r="B956" s="74"/>
      <c r="C956" s="74" t="s">
        <v>440</v>
      </c>
      <c r="D956" s="74" t="s">
        <v>441</v>
      </c>
      <c r="E956" s="146">
        <v>791337188</v>
      </c>
      <c r="F956" s="146" t="s">
        <v>354</v>
      </c>
      <c r="G956" s="146"/>
      <c r="H956" s="74" t="s">
        <v>355</v>
      </c>
      <c r="I956" s="75" t="s">
        <v>14</v>
      </c>
      <c r="J956" s="309" t="s">
        <v>442</v>
      </c>
      <c r="K956" s="74" t="s">
        <v>105</v>
      </c>
      <c r="L956" s="74"/>
      <c r="M956" s="74"/>
      <c r="N956" s="74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  <c r="AI956" s="76"/>
      <c r="AJ956" s="76"/>
    </row>
    <row r="957" spans="1:36" ht="12.75">
      <c r="A957" s="74" t="s">
        <v>351</v>
      </c>
      <c r="B957" s="74"/>
      <c r="C957" s="74" t="s">
        <v>352</v>
      </c>
      <c r="D957" s="74" t="s">
        <v>353</v>
      </c>
      <c r="E957" s="146">
        <v>746454462</v>
      </c>
      <c r="F957" s="118" t="s">
        <v>354</v>
      </c>
      <c r="G957" s="118"/>
      <c r="H957" s="118" t="s">
        <v>355</v>
      </c>
      <c r="I957" s="119" t="s">
        <v>356</v>
      </c>
      <c r="J957" s="71" t="s">
        <v>357</v>
      </c>
      <c r="K957" s="118" t="s">
        <v>358</v>
      </c>
      <c r="L957" s="74"/>
      <c r="M957" s="74"/>
      <c r="N957" s="74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  <c r="AI957" s="76"/>
      <c r="AJ957" s="76"/>
    </row>
    <row r="958" spans="1:36" ht="12.75">
      <c r="A958" s="74" t="s">
        <v>43</v>
      </c>
      <c r="B958" s="74"/>
      <c r="C958" s="74" t="s">
        <v>44</v>
      </c>
      <c r="D958" s="74" t="s">
        <v>45</v>
      </c>
      <c r="E958" s="146">
        <v>794825579</v>
      </c>
      <c r="F958" s="7" t="s">
        <v>46</v>
      </c>
      <c r="G958" s="7"/>
      <c r="H958" s="76"/>
      <c r="I958" s="84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  <c r="AI958" s="76"/>
      <c r="AJ958" s="76"/>
    </row>
    <row r="959" spans="1:36" ht="12.75">
      <c r="A959" s="264" t="s">
        <v>304</v>
      </c>
      <c r="B959" s="264"/>
      <c r="C959" s="264" t="s">
        <v>305</v>
      </c>
      <c r="D959" s="264" t="s">
        <v>306</v>
      </c>
      <c r="E959" s="262" t="s">
        <v>307</v>
      </c>
      <c r="F959" s="7" t="s">
        <v>141</v>
      </c>
      <c r="G959" s="7"/>
      <c r="H959" s="74" t="s">
        <v>142</v>
      </c>
      <c r="I959" s="75" t="s">
        <v>143</v>
      </c>
      <c r="J959" s="74" t="s">
        <v>144</v>
      </c>
      <c r="K959" s="74" t="s">
        <v>145</v>
      </c>
      <c r="L959" s="74"/>
      <c r="M959" s="74"/>
      <c r="N959" s="74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  <c r="AI959" s="76"/>
      <c r="AJ959" s="76"/>
    </row>
    <row r="960" spans="1:36" ht="12.75">
      <c r="A960" s="264" t="s">
        <v>138</v>
      </c>
      <c r="B960" s="264"/>
      <c r="C960" s="264" t="s">
        <v>139</v>
      </c>
      <c r="D960" s="261" t="s">
        <v>71</v>
      </c>
      <c r="E960" s="146" t="s">
        <v>140</v>
      </c>
      <c r="F960" s="7" t="s">
        <v>141</v>
      </c>
      <c r="G960" s="7"/>
      <c r="H960" s="74" t="s">
        <v>142</v>
      </c>
      <c r="I960" s="75" t="s">
        <v>143</v>
      </c>
      <c r="J960" s="74" t="s">
        <v>144</v>
      </c>
      <c r="K960" s="74" t="s">
        <v>145</v>
      </c>
      <c r="L960" s="74"/>
      <c r="M960" s="74"/>
      <c r="N960" s="74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  <c r="AI960" s="76"/>
      <c r="AJ960" s="76"/>
    </row>
    <row r="961" spans="1:36" ht="12.75">
      <c r="A961" s="282" t="s">
        <v>1830</v>
      </c>
      <c r="B961" s="282"/>
      <c r="C961" s="282" t="s">
        <v>1831</v>
      </c>
      <c r="D961" s="282" t="s">
        <v>1832</v>
      </c>
      <c r="E961" s="146">
        <v>790403331</v>
      </c>
      <c r="F961" s="7" t="s">
        <v>1833</v>
      </c>
      <c r="G961" s="7"/>
      <c r="H961" s="74" t="s">
        <v>1834</v>
      </c>
      <c r="I961" s="75" t="s">
        <v>269</v>
      </c>
      <c r="J961" s="202" t="s">
        <v>1835</v>
      </c>
      <c r="K961" s="74" t="s">
        <v>1836</v>
      </c>
      <c r="L961" s="74"/>
      <c r="M961" s="74"/>
      <c r="N961" s="74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  <c r="AH961" s="76"/>
      <c r="AI961" s="76"/>
      <c r="AJ961" s="76"/>
    </row>
    <row r="962" spans="1:36" ht="12.75">
      <c r="A962" s="282" t="s">
        <v>1830</v>
      </c>
      <c r="B962" s="282"/>
      <c r="C962" s="282" t="s">
        <v>1831</v>
      </c>
      <c r="D962" s="282" t="s">
        <v>1832</v>
      </c>
      <c r="E962" s="146">
        <v>790403331</v>
      </c>
      <c r="F962" s="7" t="s">
        <v>1833</v>
      </c>
      <c r="G962" s="7"/>
      <c r="H962" s="74" t="s">
        <v>1834</v>
      </c>
      <c r="I962" s="75" t="s">
        <v>269</v>
      </c>
      <c r="J962" s="202" t="s">
        <v>1835</v>
      </c>
      <c r="K962" s="74" t="s">
        <v>1836</v>
      </c>
      <c r="L962" s="74"/>
      <c r="M962" s="74"/>
      <c r="N962" s="74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  <c r="AH962" s="76"/>
      <c r="AI962" s="76"/>
      <c r="AJ962" s="76"/>
    </row>
    <row r="963" spans="1:36" ht="12.75">
      <c r="A963" s="74" t="s">
        <v>69</v>
      </c>
      <c r="B963" s="74"/>
      <c r="C963" s="74" t="s">
        <v>70</v>
      </c>
      <c r="D963" s="74" t="s">
        <v>71</v>
      </c>
      <c r="E963" s="146">
        <v>790822023</v>
      </c>
      <c r="F963" s="7" t="s">
        <v>72</v>
      </c>
      <c r="G963" s="7"/>
      <c r="H963" s="74" t="s">
        <v>73</v>
      </c>
      <c r="I963" s="75" t="s">
        <v>74</v>
      </c>
      <c r="J963" s="74">
        <v>704005047</v>
      </c>
      <c r="K963" s="74" t="s">
        <v>75</v>
      </c>
      <c r="L963" s="74"/>
      <c r="M963" s="74"/>
      <c r="N963" s="74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  <c r="AH963" s="76"/>
      <c r="AI963" s="76"/>
      <c r="AJ963" s="76"/>
    </row>
    <row r="964" spans="1:36" ht="12.75">
      <c r="A964" s="74" t="s">
        <v>773</v>
      </c>
      <c r="B964" s="74"/>
      <c r="C964" s="74" t="s">
        <v>774</v>
      </c>
      <c r="D964" s="60" t="s">
        <v>775</v>
      </c>
      <c r="E964" s="146">
        <v>715434987</v>
      </c>
      <c r="F964" s="7" t="s">
        <v>776</v>
      </c>
      <c r="G964" s="7"/>
      <c r="H964" s="74" t="s">
        <v>777</v>
      </c>
      <c r="I964" s="75" t="s">
        <v>778</v>
      </c>
      <c r="J964" s="74" t="s">
        <v>779</v>
      </c>
      <c r="K964" s="74" t="s">
        <v>780</v>
      </c>
      <c r="L964" s="74"/>
      <c r="M964" s="74"/>
      <c r="N964" s="74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  <c r="AI964" s="76"/>
      <c r="AJ964" s="76"/>
    </row>
    <row r="965" spans="1:36" ht="12.75">
      <c r="A965" s="74"/>
      <c r="B965" s="74"/>
      <c r="C965" s="74" t="s">
        <v>1883</v>
      </c>
      <c r="D965" s="74" t="s">
        <v>1742</v>
      </c>
      <c r="E965" s="146">
        <v>254706439639</v>
      </c>
      <c r="F965" s="7" t="s">
        <v>1884</v>
      </c>
      <c r="G965" s="7"/>
      <c r="H965" s="74" t="s">
        <v>1885</v>
      </c>
      <c r="I965" s="75" t="s">
        <v>1886</v>
      </c>
      <c r="J965" s="76"/>
      <c r="K965" s="76"/>
      <c r="L965" s="74"/>
      <c r="M965" s="74"/>
      <c r="N965" s="74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  <c r="AI965" s="76"/>
      <c r="AJ965" s="76"/>
    </row>
    <row r="966" spans="1:36" ht="15">
      <c r="A966" s="74" t="s">
        <v>1837</v>
      </c>
      <c r="B966" s="74"/>
      <c r="C966" s="74" t="s">
        <v>1838</v>
      </c>
      <c r="D966" s="74" t="s">
        <v>337</v>
      </c>
      <c r="E966" s="194">
        <f>254112741656</f>
        <v>254112741656</v>
      </c>
      <c r="F966" s="7" t="s">
        <v>1839</v>
      </c>
      <c r="G966" s="7"/>
      <c r="H966" s="203" t="s">
        <v>1840</v>
      </c>
      <c r="I966" s="75" t="s">
        <v>356</v>
      </c>
      <c r="J966" s="123" t="s">
        <v>1841</v>
      </c>
      <c r="K966" s="123" t="s">
        <v>1842</v>
      </c>
      <c r="L966" s="74"/>
      <c r="M966" s="74"/>
      <c r="N966" s="74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  <c r="AI966" s="76"/>
      <c r="AJ966" s="76"/>
    </row>
    <row r="967" spans="1:36" ht="12.75">
      <c r="A967" s="74" t="s">
        <v>895</v>
      </c>
      <c r="B967" s="74"/>
      <c r="C967" s="74" t="s">
        <v>896</v>
      </c>
      <c r="D967" s="74" t="s">
        <v>227</v>
      </c>
      <c r="E967" s="146">
        <v>254706313335</v>
      </c>
      <c r="F967" s="7" t="s">
        <v>897</v>
      </c>
      <c r="G967" s="7"/>
      <c r="H967" s="74" t="s">
        <v>613</v>
      </c>
      <c r="I967" s="75" t="s">
        <v>59</v>
      </c>
      <c r="J967" s="74">
        <v>736118289</v>
      </c>
      <c r="K967" s="74" t="s">
        <v>898</v>
      </c>
      <c r="L967" s="74"/>
      <c r="M967" s="74"/>
      <c r="N967" s="74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</row>
    <row r="968" spans="1:36" ht="12.75">
      <c r="A968" s="74" t="s">
        <v>899</v>
      </c>
      <c r="B968" s="74"/>
      <c r="C968" s="74" t="s">
        <v>896</v>
      </c>
      <c r="D968" s="74" t="s">
        <v>227</v>
      </c>
      <c r="E968" s="194"/>
      <c r="F968" s="74" t="s">
        <v>611</v>
      </c>
      <c r="G968" s="74"/>
      <c r="H968" s="76"/>
      <c r="I968" s="84"/>
      <c r="J968" s="76"/>
      <c r="K968" s="74" t="s">
        <v>612</v>
      </c>
      <c r="L968" s="74"/>
      <c r="M968" s="74"/>
      <c r="N968" s="74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</row>
    <row r="969" spans="1:36" ht="12.75">
      <c r="A969" s="103" t="s">
        <v>609</v>
      </c>
      <c r="B969" s="103"/>
      <c r="C969" s="103" t="s">
        <v>610</v>
      </c>
      <c r="D969" s="74" t="s">
        <v>227</v>
      </c>
      <c r="E969" s="194"/>
      <c r="F969" s="74" t="s">
        <v>611</v>
      </c>
      <c r="G969" s="74"/>
      <c r="H969" s="76"/>
      <c r="I969" s="84"/>
      <c r="J969" s="76"/>
      <c r="K969" s="74" t="s">
        <v>612</v>
      </c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</row>
    <row r="970" spans="1:36" ht="12.75">
      <c r="A970" s="103" t="s">
        <v>899</v>
      </c>
      <c r="B970" s="103"/>
      <c r="C970" s="103" t="s">
        <v>896</v>
      </c>
      <c r="D970" s="103" t="s">
        <v>227</v>
      </c>
      <c r="E970" s="194"/>
      <c r="F970" s="103" t="s">
        <v>611</v>
      </c>
      <c r="G970" s="103"/>
      <c r="H970" s="103" t="s">
        <v>613</v>
      </c>
      <c r="I970" s="84"/>
      <c r="J970" s="76"/>
      <c r="K970" s="103" t="s">
        <v>612</v>
      </c>
      <c r="L970" s="74"/>
      <c r="M970" s="74"/>
      <c r="N970" s="74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</row>
    <row r="971" spans="1:36" ht="12.75">
      <c r="A971" s="103" t="s">
        <v>609</v>
      </c>
      <c r="B971" s="103"/>
      <c r="C971" s="103" t="s">
        <v>610</v>
      </c>
      <c r="D971" s="103" t="s">
        <v>227</v>
      </c>
      <c r="E971" s="194"/>
      <c r="F971" s="103" t="s">
        <v>611</v>
      </c>
      <c r="G971" s="103"/>
      <c r="H971" s="103" t="s">
        <v>613</v>
      </c>
      <c r="I971" s="104" t="s">
        <v>59</v>
      </c>
      <c r="J971" s="76"/>
      <c r="K971" s="103" t="s">
        <v>612</v>
      </c>
      <c r="L971" s="74"/>
      <c r="M971" s="74"/>
      <c r="N971" s="74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</row>
    <row r="972" spans="1:36" ht="12.75">
      <c r="A972" s="74" t="s">
        <v>514</v>
      </c>
      <c r="B972" s="74"/>
      <c r="C972" s="74" t="s">
        <v>515</v>
      </c>
      <c r="D972" s="74" t="s">
        <v>516</v>
      </c>
      <c r="E972" s="146">
        <v>794570935</v>
      </c>
      <c r="F972" s="7" t="s">
        <v>517</v>
      </c>
      <c r="G972" s="7"/>
      <c r="H972" s="74" t="s">
        <v>518</v>
      </c>
      <c r="I972" s="75" t="s">
        <v>356</v>
      </c>
      <c r="J972" s="74">
        <v>724477942</v>
      </c>
      <c r="K972" s="74" t="s">
        <v>519</v>
      </c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</row>
    <row r="973" spans="1:36" ht="12.75">
      <c r="A973" s="74" t="s">
        <v>1183</v>
      </c>
      <c r="B973" s="74"/>
      <c r="C973" s="74" t="s">
        <v>1184</v>
      </c>
      <c r="D973" s="74" t="s">
        <v>1116</v>
      </c>
      <c r="E973" s="74">
        <v>112918838</v>
      </c>
      <c r="F973" s="7" t="s">
        <v>1185</v>
      </c>
      <c r="G973" s="7"/>
      <c r="H973" s="74" t="s">
        <v>1186</v>
      </c>
      <c r="I973" s="75" t="s">
        <v>218</v>
      </c>
      <c r="J973" s="76"/>
      <c r="K973" s="76"/>
      <c r="L973" s="74"/>
      <c r="M973" s="74"/>
      <c r="N973" s="74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</row>
    <row r="974" spans="1:36" ht="12.75">
      <c r="A974" s="74" t="s">
        <v>1818</v>
      </c>
      <c r="B974" s="74"/>
      <c r="C974" s="74" t="s">
        <v>1819</v>
      </c>
      <c r="D974" s="74" t="s">
        <v>501</v>
      </c>
      <c r="E974" s="146">
        <v>702518322</v>
      </c>
      <c r="F974" s="7" t="s">
        <v>1820</v>
      </c>
      <c r="G974" s="7"/>
      <c r="H974" s="74" t="s">
        <v>1821</v>
      </c>
      <c r="I974" s="75" t="s">
        <v>65</v>
      </c>
      <c r="J974" s="74">
        <v>723679645</v>
      </c>
      <c r="K974" s="74" t="s">
        <v>1822</v>
      </c>
      <c r="L974" s="74"/>
      <c r="M974" s="74"/>
      <c r="N974" s="74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</row>
    <row r="975" spans="1:36" ht="12.75">
      <c r="A975" s="74" t="s">
        <v>2968</v>
      </c>
      <c r="B975" s="74"/>
      <c r="C975" s="74" t="s">
        <v>61</v>
      </c>
      <c r="D975" s="74" t="s">
        <v>62</v>
      </c>
      <c r="E975" s="146">
        <v>792129407</v>
      </c>
      <c r="F975" s="7" t="s">
        <v>63</v>
      </c>
      <c r="G975" s="7"/>
      <c r="H975" s="74" t="s">
        <v>64</v>
      </c>
      <c r="I975" s="75" t="s">
        <v>65</v>
      </c>
      <c r="J975" s="74">
        <v>202044965</v>
      </c>
      <c r="K975" s="74" t="s">
        <v>66</v>
      </c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</row>
    <row r="976" spans="1:36" ht="12.75">
      <c r="A976" s="74" t="s">
        <v>418</v>
      </c>
      <c r="B976" s="74"/>
      <c r="C976" s="74" t="s">
        <v>419</v>
      </c>
      <c r="D976" s="74" t="s">
        <v>90</v>
      </c>
      <c r="E976" s="146">
        <v>705911738</v>
      </c>
      <c r="F976" s="7" t="s">
        <v>420</v>
      </c>
      <c r="G976" s="7"/>
      <c r="H976" s="76"/>
      <c r="I976" s="84"/>
      <c r="J976" s="76"/>
      <c r="K976" s="76"/>
      <c r="L976" s="74"/>
      <c r="M976" s="74"/>
      <c r="N976" s="74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</row>
    <row r="977" spans="1:36" ht="12.75">
      <c r="A977" s="74" t="s">
        <v>1621</v>
      </c>
      <c r="B977" s="74"/>
      <c r="C977" s="74" t="s">
        <v>1622</v>
      </c>
      <c r="D977" s="74" t="s">
        <v>1623</v>
      </c>
      <c r="E977" s="30">
        <v>7583638811</v>
      </c>
      <c r="F977" s="7" t="s">
        <v>2969</v>
      </c>
      <c r="G977" s="7"/>
      <c r="H977" s="76"/>
      <c r="I977" s="84"/>
      <c r="J977" s="76"/>
      <c r="K977" s="76"/>
      <c r="L977" s="74"/>
      <c r="M977" s="74"/>
      <c r="N977" s="74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</row>
    <row r="978" spans="1:36" ht="12.75">
      <c r="A978" s="74" t="s">
        <v>1621</v>
      </c>
      <c r="B978" s="74"/>
      <c r="C978" s="74" t="s">
        <v>1622</v>
      </c>
      <c r="D978" s="74" t="s">
        <v>1623</v>
      </c>
      <c r="E978" s="30">
        <v>7583638811</v>
      </c>
      <c r="F978" s="7" t="s">
        <v>2969</v>
      </c>
      <c r="G978" s="7"/>
      <c r="H978" s="76"/>
      <c r="I978" s="75" t="s">
        <v>65</v>
      </c>
      <c r="J978" s="76"/>
      <c r="K978" s="76"/>
      <c r="L978" s="74"/>
      <c r="M978" s="74"/>
      <c r="N978" s="74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</row>
    <row r="979" spans="1:36" ht="12.75">
      <c r="A979" s="74" t="s">
        <v>913</v>
      </c>
      <c r="B979" s="74"/>
      <c r="C979" s="74" t="s">
        <v>914</v>
      </c>
      <c r="D979" s="74" t="s">
        <v>341</v>
      </c>
      <c r="E979" s="146">
        <v>112863597</v>
      </c>
      <c r="F979" s="7" t="s">
        <v>915</v>
      </c>
      <c r="G979" s="7"/>
      <c r="H979" s="76"/>
      <c r="I979" s="84"/>
      <c r="J979" s="76"/>
      <c r="K979" s="76"/>
      <c r="L979" s="74"/>
      <c r="M979" s="74"/>
      <c r="N979" s="74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</row>
    <row r="980" spans="1:36" ht="12.75">
      <c r="A980" s="7" t="s">
        <v>1723</v>
      </c>
      <c r="B980" s="7"/>
      <c r="C980" s="74" t="s">
        <v>1724</v>
      </c>
      <c r="D980" s="74" t="s">
        <v>616</v>
      </c>
      <c r="E980" s="146">
        <v>254741361811</v>
      </c>
      <c r="F980" s="7" t="s">
        <v>1725</v>
      </c>
      <c r="G980" s="7"/>
      <c r="H980" s="74" t="s">
        <v>1726</v>
      </c>
      <c r="I980" s="75" t="s">
        <v>599</v>
      </c>
      <c r="J980" s="74">
        <v>254727933950</v>
      </c>
      <c r="K980" s="74" t="s">
        <v>1727</v>
      </c>
      <c r="L980" s="74"/>
      <c r="M980" s="74"/>
      <c r="N980" s="74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</row>
    <row r="981" spans="1:36" ht="12.75">
      <c r="A981" s="74" t="s">
        <v>1268</v>
      </c>
      <c r="B981" s="74"/>
      <c r="C981" s="74" t="s">
        <v>1269</v>
      </c>
      <c r="D981" s="74" t="s">
        <v>1270</v>
      </c>
      <c r="E981" s="146">
        <v>718760331</v>
      </c>
      <c r="F981" s="7" t="s">
        <v>1271</v>
      </c>
      <c r="G981" s="7"/>
      <c r="H981" s="74" t="s">
        <v>1272</v>
      </c>
      <c r="I981" s="75" t="s">
        <v>1273</v>
      </c>
      <c r="J981" s="74">
        <v>724253962</v>
      </c>
      <c r="K981" s="74" t="s">
        <v>1274</v>
      </c>
      <c r="L981" s="74"/>
      <c r="M981" s="74"/>
      <c r="N981" s="74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</row>
    <row r="982" spans="1:36" ht="12.75">
      <c r="A982" s="74" t="s">
        <v>1220</v>
      </c>
      <c r="B982" s="74"/>
      <c r="C982" s="74" t="s">
        <v>1221</v>
      </c>
      <c r="D982" s="74" t="s">
        <v>1222</v>
      </c>
      <c r="E982" s="146">
        <v>700656463</v>
      </c>
      <c r="F982" s="7" t="s">
        <v>1223</v>
      </c>
      <c r="G982" s="7"/>
      <c r="H982" s="74" t="s">
        <v>1224</v>
      </c>
      <c r="I982" s="75" t="s">
        <v>1225</v>
      </c>
      <c r="J982" s="74">
        <v>746668190</v>
      </c>
      <c r="K982" s="74" t="s">
        <v>1226</v>
      </c>
      <c r="L982" s="74"/>
      <c r="M982" s="74"/>
      <c r="N982" s="74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</row>
    <row r="983" spans="1:36" ht="12.75">
      <c r="A983" s="74" t="s">
        <v>1280</v>
      </c>
      <c r="B983" s="74"/>
      <c r="C983" s="74" t="s">
        <v>2970</v>
      </c>
      <c r="D983" s="74" t="s">
        <v>2971</v>
      </c>
      <c r="E983" s="146">
        <v>701715057</v>
      </c>
      <c r="F983" s="7" t="s">
        <v>2972</v>
      </c>
      <c r="G983" s="7"/>
      <c r="H983" s="74" t="s">
        <v>2973</v>
      </c>
      <c r="I983" s="75" t="s">
        <v>2974</v>
      </c>
      <c r="J983" s="74">
        <v>712710117</v>
      </c>
      <c r="K983" s="60" t="s">
        <v>2975</v>
      </c>
      <c r="L983" s="310"/>
      <c r="M983" s="310"/>
      <c r="N983" s="310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</row>
    <row r="984" spans="1:36" ht="12.75">
      <c r="A984" s="74" t="s">
        <v>479</v>
      </c>
      <c r="B984" s="74"/>
      <c r="C984" s="74" t="s">
        <v>480</v>
      </c>
      <c r="D984" s="74" t="s">
        <v>83</v>
      </c>
      <c r="E984" s="146">
        <v>716923720</v>
      </c>
      <c r="F984" s="7" t="s">
        <v>481</v>
      </c>
      <c r="G984" s="7"/>
      <c r="H984" s="74" t="s">
        <v>482</v>
      </c>
      <c r="I984" s="75" t="s">
        <v>483</v>
      </c>
      <c r="J984" s="74">
        <v>703872670</v>
      </c>
      <c r="K984" s="74" t="s">
        <v>484</v>
      </c>
      <c r="L984" s="74"/>
      <c r="M984" s="74"/>
      <c r="N984" s="74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</row>
    <row r="985" spans="1:36" ht="12.75">
      <c r="A985" s="74" t="s">
        <v>1560</v>
      </c>
      <c r="B985" s="74"/>
      <c r="C985" s="74" t="s">
        <v>1561</v>
      </c>
      <c r="D985" s="74" t="s">
        <v>324</v>
      </c>
      <c r="E985" s="146">
        <v>769877948</v>
      </c>
      <c r="F985" s="7" t="s">
        <v>1562</v>
      </c>
      <c r="G985" s="7"/>
      <c r="H985" s="74" t="s">
        <v>1563</v>
      </c>
      <c r="I985" s="75" t="s">
        <v>1564</v>
      </c>
      <c r="J985" s="74" t="s">
        <v>1565</v>
      </c>
      <c r="K985" s="74" t="s">
        <v>1566</v>
      </c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</row>
    <row r="986" spans="1:36" ht="14.25">
      <c r="A986" s="74" t="s">
        <v>1254</v>
      </c>
      <c r="B986" s="74"/>
      <c r="C986" s="74" t="s">
        <v>1255</v>
      </c>
      <c r="D986" s="74" t="s">
        <v>1038</v>
      </c>
      <c r="E986" s="146">
        <v>707927195</v>
      </c>
      <c r="F986" s="7" t="s">
        <v>1256</v>
      </c>
      <c r="G986" s="7"/>
      <c r="H986" s="74" t="s">
        <v>1257</v>
      </c>
      <c r="I986" s="75" t="s">
        <v>100</v>
      </c>
      <c r="J986" s="74">
        <v>700144953</v>
      </c>
      <c r="K986" s="60" t="s">
        <v>1258</v>
      </c>
      <c r="L986" s="311"/>
      <c r="M986" s="311"/>
      <c r="N986" s="311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</row>
    <row r="987" spans="1:36" ht="12.75">
      <c r="A987" s="74" t="s">
        <v>1586</v>
      </c>
      <c r="B987" s="74"/>
      <c r="C987" s="74" t="s">
        <v>1587</v>
      </c>
      <c r="D987" s="74" t="s">
        <v>1142</v>
      </c>
      <c r="E987" s="146">
        <v>791653975</v>
      </c>
      <c r="F987" s="7" t="s">
        <v>1588</v>
      </c>
      <c r="G987" s="7"/>
      <c r="H987" s="7" t="s">
        <v>1589</v>
      </c>
      <c r="I987" s="8" t="s">
        <v>726</v>
      </c>
      <c r="J987" s="74" t="s">
        <v>1590</v>
      </c>
      <c r="K987" s="74" t="s">
        <v>1591</v>
      </c>
      <c r="L987" s="74"/>
      <c r="M987" s="74"/>
      <c r="N987" s="74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</row>
    <row r="988" spans="1:36" ht="12.75">
      <c r="A988" s="74" t="s">
        <v>214</v>
      </c>
      <c r="B988" s="74"/>
      <c r="C988" s="74" t="s">
        <v>215</v>
      </c>
      <c r="D988" s="74" t="s">
        <v>71</v>
      </c>
      <c r="E988" s="146">
        <v>111707734</v>
      </c>
      <c r="F988" s="7" t="s">
        <v>216</v>
      </c>
      <c r="G988" s="7"/>
      <c r="H988" s="74" t="s">
        <v>217</v>
      </c>
      <c r="I988" s="75" t="s">
        <v>218</v>
      </c>
      <c r="J988" s="74">
        <v>254791507732</v>
      </c>
      <c r="K988" s="74" t="s">
        <v>219</v>
      </c>
      <c r="L988" s="74"/>
      <c r="M988" s="74"/>
      <c r="N988" s="74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</row>
    <row r="989" spans="1:36" ht="12.75">
      <c r="A989" s="74" t="s">
        <v>1453</v>
      </c>
      <c r="B989" s="74"/>
      <c r="C989" s="74" t="s">
        <v>1454</v>
      </c>
      <c r="D989" s="74" t="s">
        <v>1222</v>
      </c>
      <c r="E989" s="146">
        <v>748613453</v>
      </c>
      <c r="F989" s="1" t="s">
        <v>1321</v>
      </c>
      <c r="G989" s="1"/>
      <c r="H989" s="74" t="s">
        <v>1455</v>
      </c>
      <c r="I989" s="75" t="s">
        <v>1010</v>
      </c>
      <c r="J989" s="74">
        <v>790984292</v>
      </c>
      <c r="K989" s="74" t="s">
        <v>1011</v>
      </c>
      <c r="L989" s="74"/>
      <c r="M989" s="74"/>
      <c r="N989" s="74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</row>
    <row r="990" spans="1:36" ht="21.75" customHeight="1">
      <c r="A990" s="74" t="s">
        <v>1319</v>
      </c>
      <c r="B990" s="74"/>
      <c r="C990" s="74" t="s">
        <v>1320</v>
      </c>
      <c r="D990" s="74" t="s">
        <v>1222</v>
      </c>
      <c r="E990" s="146">
        <v>743511353</v>
      </c>
      <c r="F990" s="7" t="s">
        <v>1321</v>
      </c>
      <c r="G990" s="7"/>
      <c r="H990" s="74" t="s">
        <v>1322</v>
      </c>
      <c r="I990" s="75" t="s">
        <v>1010</v>
      </c>
      <c r="J990" s="74">
        <v>790984292</v>
      </c>
      <c r="K990" s="74" t="s">
        <v>1011</v>
      </c>
      <c r="L990" s="74"/>
      <c r="M990" s="74"/>
      <c r="N990" s="74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</row>
    <row r="991" spans="1:36" ht="12.75">
      <c r="A991" s="74" t="s">
        <v>1007</v>
      </c>
      <c r="B991" s="74"/>
      <c r="C991" s="74" t="s">
        <v>1008</v>
      </c>
      <c r="D991" s="74" t="s">
        <v>341</v>
      </c>
      <c r="E991" s="146">
        <v>721745357</v>
      </c>
      <c r="F991" s="7" t="s">
        <v>1009</v>
      </c>
      <c r="G991" s="7"/>
      <c r="H991" s="74" t="s">
        <v>1009</v>
      </c>
      <c r="I991" s="75" t="s">
        <v>1010</v>
      </c>
      <c r="J991" s="74" t="s">
        <v>1011</v>
      </c>
      <c r="K991" s="74" t="s">
        <v>1011</v>
      </c>
      <c r="L991" s="74"/>
      <c r="M991" s="74"/>
      <c r="N991" s="74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</row>
    <row r="992" spans="1:36" ht="14.25">
      <c r="A992" s="74" t="s">
        <v>1439</v>
      </c>
      <c r="B992" s="74"/>
      <c r="C992" s="74" t="s">
        <v>1440</v>
      </c>
      <c r="D992" s="74" t="s">
        <v>1441</v>
      </c>
      <c r="E992" s="146">
        <v>751216065</v>
      </c>
      <c r="F992" s="7" t="s">
        <v>1442</v>
      </c>
      <c r="G992" s="7"/>
      <c r="H992" s="74" t="s">
        <v>1443</v>
      </c>
      <c r="I992" s="75" t="s">
        <v>1444</v>
      </c>
      <c r="J992" s="60">
        <v>798985151</v>
      </c>
      <c r="K992" s="60" t="s">
        <v>1445</v>
      </c>
      <c r="L992" s="312"/>
      <c r="M992" s="312"/>
      <c r="N992" s="312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  <c r="AI992" s="76"/>
      <c r="AJ992" s="76"/>
    </row>
    <row r="993" spans="1:36" ht="12.75">
      <c r="A993" s="74" t="s">
        <v>1335</v>
      </c>
      <c r="B993" s="74"/>
      <c r="C993" s="74" t="s">
        <v>1336</v>
      </c>
      <c r="D993" s="74" t="s">
        <v>1337</v>
      </c>
      <c r="E993" s="146">
        <v>796086316</v>
      </c>
      <c r="F993" s="74" t="s">
        <v>1338</v>
      </c>
      <c r="G993" s="74"/>
      <c r="H993" s="74" t="s">
        <v>1339</v>
      </c>
      <c r="I993" s="75" t="s">
        <v>1340</v>
      </c>
      <c r="J993" s="74">
        <v>790984292</v>
      </c>
      <c r="K993" s="74" t="s">
        <v>1341</v>
      </c>
      <c r="L993" s="74"/>
      <c r="M993" s="74"/>
      <c r="N993" s="74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  <c r="AI993" s="76"/>
      <c r="AJ993" s="76"/>
    </row>
    <row r="994" spans="1:36" ht="12.75">
      <c r="A994" s="74" t="s">
        <v>1534</v>
      </c>
      <c r="B994" s="74"/>
      <c r="C994" s="74" t="s">
        <v>1536</v>
      </c>
      <c r="D994" s="74" t="s">
        <v>951</v>
      </c>
      <c r="E994" s="146">
        <v>254768344411</v>
      </c>
      <c r="F994" s="7" t="s">
        <v>1537</v>
      </c>
      <c r="G994" s="7"/>
      <c r="H994" s="74" t="s">
        <v>1538</v>
      </c>
      <c r="I994" s="75" t="s">
        <v>1539</v>
      </c>
      <c r="J994" s="74">
        <v>704489982</v>
      </c>
      <c r="K994" s="74" t="s">
        <v>1540</v>
      </c>
      <c r="L994" s="74"/>
      <c r="M994" s="74"/>
      <c r="N994" s="74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6"/>
    </row>
    <row r="995" spans="1:36" ht="12.75">
      <c r="A995" s="74" t="s">
        <v>1534</v>
      </c>
      <c r="B995" s="74"/>
      <c r="C995" s="74" t="s">
        <v>1536</v>
      </c>
      <c r="D995" s="74" t="s">
        <v>951</v>
      </c>
      <c r="E995" s="146">
        <v>254768344411</v>
      </c>
      <c r="F995" s="7" t="s">
        <v>1537</v>
      </c>
      <c r="G995" s="7"/>
      <c r="H995" s="74" t="s">
        <v>1538</v>
      </c>
      <c r="I995" s="75" t="s">
        <v>1539</v>
      </c>
      <c r="J995" s="74">
        <v>704489982</v>
      </c>
      <c r="K995" s="74" t="s">
        <v>1540</v>
      </c>
      <c r="L995" s="74"/>
      <c r="M995" s="74"/>
      <c r="N995" s="74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6"/>
    </row>
    <row r="996" spans="1:36" ht="12.75">
      <c r="A996" s="74" t="s">
        <v>949</v>
      </c>
      <c r="B996" s="74"/>
      <c r="C996" s="74" t="s">
        <v>950</v>
      </c>
      <c r="D996" s="74" t="s">
        <v>951</v>
      </c>
      <c r="E996" s="146">
        <v>719524276</v>
      </c>
      <c r="F996" s="7"/>
      <c r="G996" s="7"/>
      <c r="H996" s="74" t="s">
        <v>952</v>
      </c>
      <c r="I996" s="75"/>
      <c r="J996" s="76"/>
      <c r="K996" s="76"/>
      <c r="L996" s="74"/>
      <c r="M996" s="74"/>
      <c r="N996" s="74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  <c r="AI996" s="76"/>
      <c r="AJ996" s="76"/>
    </row>
    <row r="997" spans="1:36" ht="12.75">
      <c r="A997" s="74" t="s">
        <v>497</v>
      </c>
      <c r="B997" s="74"/>
      <c r="C997" s="74" t="s">
        <v>498</v>
      </c>
      <c r="D997" s="74" t="s">
        <v>441</v>
      </c>
      <c r="E997" s="146"/>
      <c r="F997" s="7"/>
      <c r="G997" s="7"/>
      <c r="H997" s="74"/>
      <c r="I997" s="136"/>
      <c r="J997" s="74"/>
      <c r="K997" s="74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  <c r="AH997" s="76"/>
      <c r="AI997" s="76"/>
      <c r="AJ997" s="76"/>
    </row>
    <row r="998" spans="1:36" ht="12.75">
      <c r="A998" s="74" t="s">
        <v>1085</v>
      </c>
      <c r="B998" s="74"/>
      <c r="C998" s="74" t="s">
        <v>1086</v>
      </c>
      <c r="D998" s="74" t="s">
        <v>198</v>
      </c>
      <c r="E998" s="146">
        <v>717117819</v>
      </c>
      <c r="F998" s="9"/>
      <c r="G998" s="9"/>
      <c r="H998" s="76"/>
      <c r="I998" s="84"/>
      <c r="J998" s="76"/>
      <c r="K998" s="76"/>
      <c r="L998" s="74"/>
      <c r="M998" s="74"/>
      <c r="N998" s="74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  <c r="AH998" s="76"/>
      <c r="AI998" s="76"/>
      <c r="AJ998" s="76"/>
    </row>
    <row r="999" spans="1:36" ht="12.75">
      <c r="A999" s="74" t="s">
        <v>1857</v>
      </c>
      <c r="B999" s="74"/>
      <c r="C999" s="74" t="s">
        <v>1858</v>
      </c>
      <c r="D999" s="74" t="s">
        <v>1859</v>
      </c>
      <c r="E999" s="146">
        <v>706339688</v>
      </c>
      <c r="F999" s="7"/>
      <c r="G999" s="7"/>
      <c r="H999" s="76"/>
      <c r="I999" s="84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  <c r="AH999" s="76"/>
      <c r="AI999" s="76"/>
      <c r="AJ999" s="76"/>
    </row>
    <row r="1000" spans="1:36" ht="12.75">
      <c r="A1000" s="103" t="s">
        <v>1342</v>
      </c>
      <c r="B1000" s="103"/>
      <c r="C1000" s="103" t="s">
        <v>1343</v>
      </c>
      <c r="D1000" s="76"/>
      <c r="E1000" s="194"/>
      <c r="F1000" s="9"/>
      <c r="G1000" s="9"/>
      <c r="H1000" s="76"/>
      <c r="I1000" s="84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  <c r="AH1000" s="76"/>
      <c r="AI1000" s="76"/>
      <c r="AJ1000" s="76"/>
    </row>
    <row r="1001" spans="1:36" ht="12.75">
      <c r="A1001" s="74" t="s">
        <v>1179</v>
      </c>
      <c r="B1001" s="74"/>
      <c r="C1001" s="74" t="s">
        <v>1180</v>
      </c>
      <c r="D1001" s="98" t="s">
        <v>227</v>
      </c>
      <c r="E1001" s="194">
        <f>254728708806</f>
        <v>254728708806</v>
      </c>
      <c r="F1001" s="7" t="s">
        <v>1181</v>
      </c>
      <c r="G1001" s="7"/>
      <c r="H1001" s="76"/>
      <c r="I1001" s="75" t="s">
        <v>1429</v>
      </c>
      <c r="J1001" s="74">
        <v>716600116</v>
      </c>
      <c r="K1001" s="74" t="s">
        <v>1182</v>
      </c>
      <c r="L1001" s="76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  <c r="AA1001" s="76"/>
      <c r="AB1001" s="76"/>
      <c r="AC1001" s="76"/>
      <c r="AD1001" s="76"/>
      <c r="AE1001" s="76"/>
      <c r="AF1001" s="76"/>
      <c r="AG1001" s="76"/>
      <c r="AH1001" s="76"/>
      <c r="AI1001" s="76"/>
      <c r="AJ1001" s="76"/>
    </row>
    <row r="1002" spans="1:36" ht="12.75">
      <c r="A1002" s="74" t="s">
        <v>1187</v>
      </c>
      <c r="B1002" s="74"/>
      <c r="C1002" s="74" t="s">
        <v>1188</v>
      </c>
      <c r="D1002" s="74" t="s">
        <v>148</v>
      </c>
      <c r="E1002" s="194"/>
      <c r="F1002" s="9"/>
      <c r="G1002" s="9"/>
      <c r="H1002" s="76"/>
      <c r="I1002" s="84"/>
      <c r="J1002" s="76"/>
      <c r="K1002" s="76"/>
      <c r="L1002" s="74"/>
      <c r="M1002" s="74"/>
      <c r="N1002" s="74"/>
      <c r="O1002" s="76"/>
      <c r="P1002" s="76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  <c r="AA1002" s="76"/>
      <c r="AB1002" s="76"/>
      <c r="AC1002" s="76"/>
      <c r="AD1002" s="76"/>
      <c r="AE1002" s="76"/>
      <c r="AF1002" s="76"/>
      <c r="AG1002" s="76"/>
      <c r="AH1002" s="76"/>
      <c r="AI1002" s="76"/>
      <c r="AJ1002" s="76"/>
    </row>
    <row r="1003" spans="1:36" ht="12.75">
      <c r="A1003" s="74" t="s">
        <v>911</v>
      </c>
      <c r="B1003" s="74"/>
      <c r="C1003" s="74" t="s">
        <v>912</v>
      </c>
      <c r="D1003" s="74" t="s">
        <v>330</v>
      </c>
      <c r="E1003" s="194"/>
      <c r="F1003" s="9"/>
      <c r="G1003" s="9"/>
      <c r="H1003" s="76"/>
      <c r="I1003" s="84"/>
      <c r="J1003" s="76"/>
      <c r="K1003" s="76"/>
      <c r="L1003" s="74"/>
      <c r="M1003" s="74"/>
      <c r="N1003" s="74"/>
      <c r="O1003" s="76"/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  <c r="AA1003" s="76"/>
      <c r="AB1003" s="76"/>
      <c r="AC1003" s="76"/>
      <c r="AD1003" s="76"/>
      <c r="AE1003" s="76"/>
      <c r="AF1003" s="76"/>
      <c r="AG1003" s="76"/>
      <c r="AH1003" s="76"/>
      <c r="AI1003" s="76"/>
      <c r="AJ1003" s="76"/>
    </row>
    <row r="1004" spans="1:36" ht="12.75">
      <c r="A1004" s="74" t="s">
        <v>1633</v>
      </c>
      <c r="B1004" s="74"/>
      <c r="C1004" s="74" t="s">
        <v>1634</v>
      </c>
      <c r="D1004" s="76"/>
      <c r="E1004" s="194"/>
      <c r="F1004" s="2"/>
      <c r="G1004" s="2"/>
      <c r="H1004" s="76"/>
      <c r="I1004" s="84"/>
      <c r="J1004" s="76"/>
      <c r="K1004" s="76"/>
      <c r="L1004" s="74"/>
      <c r="M1004" s="74"/>
      <c r="N1004" s="74"/>
      <c r="O1004" s="76"/>
      <c r="P1004" s="76"/>
      <c r="Q1004" s="76"/>
      <c r="R1004" s="76"/>
      <c r="S1004" s="76"/>
      <c r="T1004" s="76"/>
      <c r="U1004" s="76"/>
      <c r="V1004" s="76"/>
      <c r="W1004" s="76"/>
      <c r="X1004" s="76"/>
      <c r="Y1004" s="76"/>
      <c r="Z1004" s="76"/>
      <c r="AA1004" s="76"/>
      <c r="AB1004" s="76"/>
      <c r="AC1004" s="76"/>
      <c r="AD1004" s="76"/>
      <c r="AE1004" s="76"/>
      <c r="AF1004" s="76"/>
      <c r="AG1004" s="76"/>
      <c r="AH1004" s="76"/>
      <c r="AI1004" s="76"/>
      <c r="AJ1004" s="76"/>
    </row>
    <row r="1005" spans="1:36" ht="12.75">
      <c r="A1005" s="74" t="s">
        <v>770</v>
      </c>
      <c r="B1005" s="74"/>
      <c r="C1005" s="74" t="s">
        <v>771</v>
      </c>
      <c r="D1005" s="74" t="s">
        <v>772</v>
      </c>
      <c r="E1005" s="146">
        <v>704274534</v>
      </c>
      <c r="F1005" s="9"/>
      <c r="G1005" s="9"/>
      <c r="H1005" s="76"/>
      <c r="I1005" s="84"/>
      <c r="J1005" s="76"/>
      <c r="K1005" s="76"/>
      <c r="L1005" s="74"/>
      <c r="M1005" s="74"/>
      <c r="N1005" s="74"/>
      <c r="O1005" s="76"/>
      <c r="P1005" s="76"/>
      <c r="Q1005" s="76"/>
      <c r="R1005" s="76"/>
      <c r="S1005" s="76"/>
      <c r="T1005" s="76"/>
      <c r="U1005" s="76"/>
      <c r="V1005" s="76"/>
      <c r="W1005" s="76"/>
      <c r="X1005" s="76"/>
      <c r="Y1005" s="76"/>
      <c r="Z1005" s="76"/>
      <c r="AA1005" s="76"/>
      <c r="AB1005" s="76"/>
      <c r="AC1005" s="76"/>
      <c r="AD1005" s="76"/>
      <c r="AE1005" s="76"/>
      <c r="AF1005" s="76"/>
      <c r="AG1005" s="76"/>
      <c r="AH1005" s="76"/>
      <c r="AI1005" s="76"/>
      <c r="AJ1005" s="76"/>
    </row>
    <row r="1006" spans="1:36" ht="12.75">
      <c r="A1006" s="74" t="s">
        <v>2976</v>
      </c>
      <c r="B1006" s="74"/>
      <c r="C1006" s="74" t="s">
        <v>67</v>
      </c>
      <c r="D1006" s="74" t="s">
        <v>68</v>
      </c>
      <c r="E1006" s="194" t="s">
        <v>3589</v>
      </c>
      <c r="F1006" s="9"/>
      <c r="G1006" s="9"/>
      <c r="H1006" s="76"/>
      <c r="I1006" s="84"/>
      <c r="J1006" s="76"/>
      <c r="K1006" s="76"/>
      <c r="L1006" s="74"/>
      <c r="M1006" s="74"/>
      <c r="N1006" s="74"/>
      <c r="O1006" s="76"/>
      <c r="P1006" s="76"/>
      <c r="Q1006" s="76"/>
      <c r="R1006" s="76"/>
      <c r="S1006" s="76"/>
      <c r="T1006" s="76"/>
      <c r="U1006" s="76"/>
      <c r="V1006" s="76"/>
      <c r="W1006" s="76"/>
      <c r="X1006" s="76"/>
      <c r="Y1006" s="76"/>
      <c r="Z1006" s="76"/>
      <c r="AA1006" s="76"/>
      <c r="AB1006" s="76"/>
      <c r="AC1006" s="76"/>
      <c r="AD1006" s="76"/>
      <c r="AE1006" s="76"/>
      <c r="AF1006" s="76"/>
      <c r="AG1006" s="76"/>
      <c r="AH1006" s="76"/>
      <c r="AI1006" s="76"/>
      <c r="AJ1006" s="76"/>
    </row>
    <row r="1007" spans="1:36" ht="21" customHeight="1">
      <c r="A1007" s="74" t="s">
        <v>2977</v>
      </c>
      <c r="B1007" s="74"/>
      <c r="C1007" s="74" t="s">
        <v>2978</v>
      </c>
      <c r="D1007" s="74" t="s">
        <v>242</v>
      </c>
      <c r="E1007" s="146">
        <v>703337559</v>
      </c>
      <c r="F1007" s="7" t="s">
        <v>2979</v>
      </c>
      <c r="G1007" s="7"/>
      <c r="H1007" s="76"/>
      <c r="I1007" s="84"/>
      <c r="J1007" s="76"/>
      <c r="K1007" s="76"/>
      <c r="L1007" s="76"/>
      <c r="M1007" s="76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  <c r="AA1007" s="76"/>
      <c r="AB1007" s="76"/>
      <c r="AC1007" s="76"/>
      <c r="AD1007" s="76"/>
      <c r="AE1007" s="76"/>
      <c r="AF1007" s="76"/>
      <c r="AG1007" s="76"/>
      <c r="AH1007" s="76"/>
      <c r="AI1007" s="76"/>
      <c r="AJ1007" s="76"/>
    </row>
    <row r="1008" spans="1:36" ht="12.75">
      <c r="A1008" s="74" t="s">
        <v>1887</v>
      </c>
      <c r="B1008" s="74"/>
      <c r="C1008" s="74" t="s">
        <v>1888</v>
      </c>
      <c r="D1008" s="74" t="s">
        <v>1889</v>
      </c>
      <c r="E1008" s="146">
        <v>713024433</v>
      </c>
      <c r="F1008" s="7" t="s">
        <v>1890</v>
      </c>
      <c r="G1008" s="7"/>
      <c r="H1008" s="74" t="s">
        <v>1891</v>
      </c>
      <c r="I1008" s="75" t="s">
        <v>1410</v>
      </c>
      <c r="J1008" s="74">
        <v>754900551</v>
      </c>
      <c r="K1008" s="74" t="s">
        <v>1892</v>
      </c>
      <c r="L1008" s="74"/>
      <c r="M1008" s="74"/>
      <c r="N1008" s="74"/>
      <c r="O1008" s="76"/>
      <c r="P1008" s="76"/>
      <c r="Q1008" s="76"/>
      <c r="R1008" s="76"/>
      <c r="S1008" s="76"/>
      <c r="T1008" s="76"/>
      <c r="U1008" s="76"/>
      <c r="V1008" s="76"/>
      <c r="W1008" s="76"/>
      <c r="X1008" s="76"/>
      <c r="Y1008" s="76"/>
      <c r="Z1008" s="76"/>
      <c r="AA1008" s="76"/>
      <c r="AB1008" s="76"/>
      <c r="AC1008" s="76"/>
      <c r="AD1008" s="76"/>
      <c r="AE1008" s="76"/>
      <c r="AF1008" s="76"/>
      <c r="AG1008" s="76"/>
      <c r="AH1008" s="76"/>
      <c r="AI1008" s="76"/>
      <c r="AJ1008" s="76"/>
    </row>
    <row r="1009" spans="1:36" ht="12.75">
      <c r="A1009" s="74" t="s">
        <v>1893</v>
      </c>
      <c r="B1009" s="74"/>
      <c r="C1009" s="74" t="s">
        <v>1894</v>
      </c>
      <c r="D1009" s="74" t="s">
        <v>183</v>
      </c>
      <c r="E1009" s="146">
        <v>707878739</v>
      </c>
      <c r="F1009" s="7" t="s">
        <v>1895</v>
      </c>
      <c r="G1009" s="7"/>
      <c r="H1009" s="74" t="s">
        <v>1896</v>
      </c>
      <c r="I1009" s="75" t="s">
        <v>887</v>
      </c>
      <c r="J1009" s="74">
        <v>722797441</v>
      </c>
      <c r="K1009" s="74" t="s">
        <v>1296</v>
      </c>
      <c r="L1009" s="74"/>
      <c r="M1009" s="74"/>
      <c r="N1009" s="74"/>
      <c r="O1009" s="76"/>
      <c r="P1009" s="76"/>
      <c r="Q1009" s="76"/>
      <c r="R1009" s="76"/>
      <c r="S1009" s="76"/>
      <c r="T1009" s="76"/>
      <c r="U1009" s="76"/>
      <c r="V1009" s="76"/>
      <c r="W1009" s="76"/>
      <c r="X1009" s="76"/>
      <c r="Y1009" s="76"/>
      <c r="Z1009" s="76"/>
      <c r="AA1009" s="76"/>
      <c r="AB1009" s="76"/>
      <c r="AC1009" s="76"/>
      <c r="AD1009" s="76"/>
      <c r="AE1009" s="76"/>
      <c r="AF1009" s="76"/>
      <c r="AG1009" s="76"/>
      <c r="AH1009" s="76"/>
      <c r="AI1009" s="76"/>
      <c r="AJ1009" s="76"/>
    </row>
    <row r="1010" spans="1:36" ht="12.75">
      <c r="A1010" s="74" t="s">
        <v>1897</v>
      </c>
      <c r="B1010" s="74"/>
      <c r="C1010" s="74" t="s">
        <v>1898</v>
      </c>
      <c r="D1010" s="74" t="s">
        <v>1899</v>
      </c>
      <c r="E1010" s="146">
        <v>112213399</v>
      </c>
      <c r="F1010" s="7" t="s">
        <v>1900</v>
      </c>
      <c r="G1010" s="7"/>
      <c r="H1010" s="74" t="s">
        <v>1901</v>
      </c>
      <c r="I1010" s="75" t="s">
        <v>1902</v>
      </c>
      <c r="J1010" s="74">
        <v>702938420</v>
      </c>
      <c r="K1010" s="74" t="s">
        <v>1903</v>
      </c>
      <c r="L1010" s="74"/>
      <c r="M1010" s="74"/>
      <c r="N1010" s="74"/>
      <c r="O1010" s="76"/>
      <c r="P1010" s="76"/>
      <c r="Q1010" s="76"/>
      <c r="R1010" s="76"/>
      <c r="S1010" s="76"/>
      <c r="T1010" s="76"/>
      <c r="U1010" s="76"/>
      <c r="V1010" s="76"/>
      <c r="W1010" s="76"/>
      <c r="X1010" s="76"/>
      <c r="Y1010" s="76"/>
      <c r="Z1010" s="76"/>
      <c r="AA1010" s="76"/>
      <c r="AB1010" s="76"/>
      <c r="AC1010" s="76"/>
      <c r="AD1010" s="76"/>
      <c r="AE1010" s="76"/>
      <c r="AF1010" s="76"/>
      <c r="AG1010" s="76"/>
      <c r="AH1010" s="76"/>
      <c r="AI1010" s="76"/>
      <c r="AJ1010" s="76"/>
    </row>
    <row r="1011" spans="1:36" ht="12.75">
      <c r="A1011" s="74" t="s">
        <v>1904</v>
      </c>
      <c r="B1011" s="74"/>
      <c r="C1011" s="74" t="s">
        <v>1905</v>
      </c>
      <c r="D1011" s="74" t="s">
        <v>884</v>
      </c>
      <c r="E1011" s="146">
        <v>716513069</v>
      </c>
      <c r="F1011" s="7" t="s">
        <v>1906</v>
      </c>
      <c r="G1011" s="7"/>
      <c r="H1011" s="74" t="s">
        <v>1907</v>
      </c>
      <c r="I1011" s="75" t="s">
        <v>1908</v>
      </c>
      <c r="J1011" s="74">
        <v>716433069</v>
      </c>
      <c r="K1011" s="74" t="s">
        <v>1909</v>
      </c>
      <c r="L1011" s="74"/>
      <c r="M1011" s="74"/>
      <c r="N1011" s="74"/>
      <c r="O1011" s="76"/>
      <c r="P1011" s="76"/>
      <c r="Q1011" s="76"/>
      <c r="R1011" s="76"/>
      <c r="S1011" s="76"/>
      <c r="T1011" s="76"/>
      <c r="U1011" s="76"/>
      <c r="V1011" s="76"/>
      <c r="W1011" s="76"/>
      <c r="X1011" s="76"/>
      <c r="Y1011" s="76"/>
      <c r="Z1011" s="76"/>
      <c r="AA1011" s="76"/>
      <c r="AB1011" s="76"/>
      <c r="AC1011" s="76"/>
      <c r="AD1011" s="76"/>
      <c r="AE1011" s="76"/>
      <c r="AF1011" s="76"/>
      <c r="AG1011" s="76"/>
      <c r="AH1011" s="76"/>
      <c r="AI1011" s="76"/>
      <c r="AJ1011" s="76"/>
    </row>
    <row r="1012" spans="1:36" ht="12.75">
      <c r="A1012" s="74" t="s">
        <v>1358</v>
      </c>
      <c r="B1012" s="74"/>
      <c r="C1012" s="74" t="s">
        <v>1359</v>
      </c>
      <c r="D1012" s="74" t="s">
        <v>1360</v>
      </c>
      <c r="E1012" s="146">
        <v>791858089</v>
      </c>
      <c r="F1012" s="7" t="s">
        <v>1361</v>
      </c>
      <c r="G1012" s="7"/>
      <c r="H1012" s="74" t="s">
        <v>1362</v>
      </c>
      <c r="I1012" s="75" t="s">
        <v>1363</v>
      </c>
      <c r="J1012" s="74">
        <v>725393939</v>
      </c>
      <c r="K1012" s="74" t="s">
        <v>1364</v>
      </c>
      <c r="L1012" s="74"/>
      <c r="M1012" s="74"/>
      <c r="N1012" s="74"/>
      <c r="O1012" s="74"/>
      <c r="P1012" s="76"/>
      <c r="Q1012" s="76"/>
      <c r="R1012" s="76"/>
      <c r="S1012" s="76"/>
      <c r="T1012" s="76"/>
      <c r="U1012" s="76"/>
      <c r="V1012" s="76"/>
      <c r="W1012" s="76"/>
      <c r="X1012" s="76"/>
      <c r="Y1012" s="76"/>
      <c r="Z1012" s="76"/>
      <c r="AA1012" s="76"/>
      <c r="AB1012" s="76"/>
      <c r="AC1012" s="76"/>
      <c r="AD1012" s="76"/>
      <c r="AE1012" s="76"/>
      <c r="AF1012" s="76"/>
      <c r="AG1012" s="76"/>
      <c r="AH1012" s="76"/>
      <c r="AI1012" s="76"/>
      <c r="AJ1012" s="76"/>
    </row>
    <row r="1013" spans="1:36" ht="12.75">
      <c r="A1013" s="74" t="s">
        <v>117</v>
      </c>
      <c r="B1013" s="74"/>
      <c r="C1013" s="74" t="s">
        <v>118</v>
      </c>
      <c r="D1013" s="74" t="s">
        <v>119</v>
      </c>
      <c r="E1013" s="146">
        <v>796290165</v>
      </c>
      <c r="F1013" s="7" t="s">
        <v>120</v>
      </c>
      <c r="G1013" s="7"/>
      <c r="H1013" s="74" t="s">
        <v>121</v>
      </c>
      <c r="I1013" s="75" t="s">
        <v>122</v>
      </c>
      <c r="J1013" s="74">
        <v>701167883</v>
      </c>
      <c r="K1013" s="76"/>
      <c r="L1013" s="76"/>
      <c r="M1013" s="76"/>
      <c r="N1013" s="76"/>
      <c r="O1013" s="76"/>
      <c r="P1013" s="76"/>
      <c r="Q1013" s="76"/>
      <c r="R1013" s="76"/>
      <c r="S1013" s="76"/>
      <c r="T1013" s="76"/>
      <c r="U1013" s="76"/>
      <c r="V1013" s="76"/>
      <c r="W1013" s="76"/>
      <c r="X1013" s="76"/>
      <c r="Y1013" s="76"/>
      <c r="Z1013" s="76"/>
      <c r="AA1013" s="76"/>
      <c r="AB1013" s="76"/>
      <c r="AC1013" s="76"/>
      <c r="AD1013" s="76"/>
      <c r="AE1013" s="76"/>
      <c r="AF1013" s="76"/>
      <c r="AG1013" s="76"/>
      <c r="AH1013" s="76"/>
      <c r="AI1013" s="76"/>
      <c r="AJ1013" s="76"/>
    </row>
    <row r="1014" spans="1:36" ht="12.75">
      <c r="A1014" s="74" t="s">
        <v>1235</v>
      </c>
      <c r="B1014" s="74"/>
      <c r="C1014" s="74" t="s">
        <v>1236</v>
      </c>
      <c r="D1014" s="74" t="s">
        <v>78</v>
      </c>
      <c r="E1014" s="146">
        <v>113105177</v>
      </c>
      <c r="F1014" s="7" t="s">
        <v>1237</v>
      </c>
      <c r="G1014" s="7"/>
      <c r="H1014" s="74" t="s">
        <v>1238</v>
      </c>
      <c r="I1014" s="75" t="s">
        <v>1239</v>
      </c>
      <c r="J1014" s="74">
        <v>7255559329</v>
      </c>
      <c r="K1014" s="74" t="s">
        <v>1240</v>
      </c>
      <c r="L1014" s="74"/>
      <c r="M1014" s="74"/>
      <c r="N1014" s="74"/>
      <c r="O1014" s="74"/>
      <c r="P1014" s="76"/>
      <c r="Q1014" s="76"/>
      <c r="R1014" s="76"/>
      <c r="S1014" s="76"/>
      <c r="T1014" s="76"/>
      <c r="U1014" s="76"/>
      <c r="V1014" s="76"/>
      <c r="W1014" s="76"/>
      <c r="X1014" s="76"/>
      <c r="Y1014" s="76"/>
      <c r="Z1014" s="76"/>
      <c r="AA1014" s="76"/>
      <c r="AB1014" s="76"/>
      <c r="AC1014" s="76"/>
      <c r="AD1014" s="76"/>
      <c r="AE1014" s="76"/>
      <c r="AF1014" s="76"/>
      <c r="AG1014" s="76"/>
      <c r="AH1014" s="76"/>
      <c r="AI1014" s="76"/>
      <c r="AJ1014" s="76"/>
    </row>
    <row r="1015" spans="1:36" ht="12.75">
      <c r="A1015" s="74" t="s">
        <v>543</v>
      </c>
      <c r="B1015" s="74"/>
      <c r="C1015" s="74" t="s">
        <v>544</v>
      </c>
      <c r="D1015" s="74" t="s">
        <v>441</v>
      </c>
      <c r="E1015" s="146">
        <v>790417880</v>
      </c>
      <c r="F1015" s="7" t="s">
        <v>545</v>
      </c>
      <c r="G1015" s="7"/>
      <c r="H1015" s="76"/>
      <c r="I1015" s="84"/>
      <c r="J1015" s="76"/>
      <c r="K1015" s="76"/>
      <c r="L1015" s="76"/>
      <c r="M1015" s="76"/>
      <c r="N1015" s="76"/>
      <c r="O1015" s="76"/>
      <c r="P1015" s="76"/>
      <c r="Q1015" s="76"/>
      <c r="R1015" s="76"/>
      <c r="S1015" s="76"/>
      <c r="T1015" s="76"/>
      <c r="U1015" s="76"/>
      <c r="V1015" s="76"/>
      <c r="W1015" s="76"/>
      <c r="X1015" s="76"/>
      <c r="Y1015" s="76"/>
      <c r="Z1015" s="76"/>
      <c r="AA1015" s="76"/>
      <c r="AB1015" s="76"/>
      <c r="AC1015" s="76"/>
      <c r="AD1015" s="76"/>
      <c r="AE1015" s="76"/>
      <c r="AF1015" s="76"/>
      <c r="AG1015" s="76"/>
      <c r="AH1015" s="76"/>
      <c r="AI1015" s="76"/>
      <c r="AJ1015" s="76"/>
    </row>
    <row r="1016" spans="1:36" ht="12.75">
      <c r="A1016" s="74" t="s">
        <v>991</v>
      </c>
      <c r="B1016" s="74"/>
      <c r="C1016" s="74" t="s">
        <v>992</v>
      </c>
      <c r="D1016" s="74" t="s">
        <v>341</v>
      </c>
      <c r="E1016" s="146">
        <v>706684040</v>
      </c>
      <c r="F1016" s="7" t="s">
        <v>993</v>
      </c>
      <c r="G1016" s="7"/>
      <c r="H1016" s="74" t="s">
        <v>994</v>
      </c>
      <c r="I1016" s="75" t="s">
        <v>269</v>
      </c>
      <c r="J1016" s="74">
        <v>706684040</v>
      </c>
      <c r="K1016" s="74" t="s">
        <v>995</v>
      </c>
      <c r="L1016" s="74"/>
      <c r="M1016" s="74"/>
      <c r="N1016" s="74"/>
      <c r="O1016" s="74"/>
      <c r="P1016" s="76"/>
      <c r="Q1016" s="76"/>
      <c r="R1016" s="76"/>
      <c r="S1016" s="76"/>
      <c r="T1016" s="76"/>
      <c r="U1016" s="76"/>
      <c r="V1016" s="76"/>
      <c r="W1016" s="76"/>
      <c r="X1016" s="76"/>
      <c r="Y1016" s="76"/>
      <c r="Z1016" s="76"/>
      <c r="AA1016" s="76"/>
      <c r="AB1016" s="76"/>
      <c r="AC1016" s="76"/>
      <c r="AD1016" s="76"/>
      <c r="AE1016" s="76"/>
      <c r="AF1016" s="76"/>
      <c r="AG1016" s="76"/>
      <c r="AH1016" s="76"/>
      <c r="AI1016" s="76"/>
      <c r="AJ1016" s="76"/>
    </row>
    <row r="1017" spans="1:36" ht="21">
      <c r="A1017" s="74"/>
      <c r="B1017" s="74"/>
      <c r="C1017" s="74" t="s">
        <v>1379</v>
      </c>
      <c r="D1017" s="74" t="s">
        <v>475</v>
      </c>
      <c r="E1017" s="146">
        <v>743367267</v>
      </c>
      <c r="F1017" s="7" t="s">
        <v>1380</v>
      </c>
      <c r="G1017" s="7"/>
      <c r="H1017" s="74" t="s">
        <v>1381</v>
      </c>
      <c r="I1017" s="75" t="s">
        <v>1382</v>
      </c>
      <c r="J1017" s="74">
        <v>723583259</v>
      </c>
      <c r="K1017" s="205" t="s">
        <v>224</v>
      </c>
      <c r="L1017" s="151"/>
      <c r="M1017" s="151"/>
      <c r="N1017" s="151"/>
      <c r="O1017" s="151"/>
      <c r="P1017" s="76"/>
      <c r="Q1017" s="76"/>
      <c r="R1017" s="76"/>
      <c r="S1017" s="76"/>
      <c r="T1017" s="76"/>
      <c r="U1017" s="76"/>
      <c r="V1017" s="76"/>
      <c r="W1017" s="76"/>
      <c r="X1017" s="76"/>
      <c r="Y1017" s="76"/>
      <c r="Z1017" s="76"/>
      <c r="AA1017" s="76"/>
      <c r="AB1017" s="76"/>
      <c r="AC1017" s="76"/>
      <c r="AD1017" s="76"/>
      <c r="AE1017" s="76"/>
      <c r="AF1017" s="76"/>
      <c r="AG1017" s="76"/>
      <c r="AH1017" s="76"/>
      <c r="AI1017" s="76"/>
      <c r="AJ1017" s="76"/>
    </row>
    <row r="1018" spans="1:36" ht="12.75">
      <c r="A1018" s="74" t="s">
        <v>1149</v>
      </c>
      <c r="B1018" s="74"/>
      <c r="C1018" s="74" t="s">
        <v>1150</v>
      </c>
      <c r="D1018" s="74" t="s">
        <v>1151</v>
      </c>
      <c r="E1018" s="146">
        <v>700779642</v>
      </c>
      <c r="F1018" s="7" t="s">
        <v>1152</v>
      </c>
      <c r="G1018" s="7"/>
      <c r="H1018" s="74" t="s">
        <v>1153</v>
      </c>
      <c r="I1018" s="75" t="s">
        <v>1154</v>
      </c>
      <c r="J1018" s="74">
        <v>713101289</v>
      </c>
      <c r="K1018" s="74" t="s">
        <v>1155</v>
      </c>
      <c r="L1018" s="74"/>
      <c r="M1018" s="74"/>
      <c r="N1018" s="74"/>
      <c r="O1018" s="74"/>
      <c r="P1018" s="76"/>
      <c r="Q1018" s="76"/>
      <c r="R1018" s="76"/>
      <c r="S1018" s="76"/>
      <c r="T1018" s="76"/>
      <c r="U1018" s="76"/>
      <c r="V1018" s="76"/>
      <c r="W1018" s="76"/>
      <c r="X1018" s="76"/>
      <c r="Y1018" s="76"/>
      <c r="Z1018" s="76"/>
      <c r="AA1018" s="76"/>
      <c r="AB1018" s="76"/>
      <c r="AC1018" s="76"/>
      <c r="AD1018" s="76"/>
      <c r="AE1018" s="76"/>
      <c r="AF1018" s="76"/>
      <c r="AG1018" s="76"/>
      <c r="AH1018" s="76"/>
      <c r="AI1018" s="76"/>
      <c r="AJ1018" s="76"/>
    </row>
    <row r="1019" spans="1:36" ht="12.75">
      <c r="A1019" s="74" t="s">
        <v>443</v>
      </c>
      <c r="B1019" s="74"/>
      <c r="C1019" s="74" t="s">
        <v>444</v>
      </c>
      <c r="D1019" s="74" t="s">
        <v>445</v>
      </c>
      <c r="E1019" s="146">
        <v>725158687</v>
      </c>
      <c r="F1019" s="7" t="s">
        <v>342</v>
      </c>
      <c r="G1019" s="7"/>
      <c r="H1019" s="74" t="s">
        <v>446</v>
      </c>
      <c r="I1019" s="75" t="s">
        <v>356</v>
      </c>
      <c r="J1019" s="74">
        <v>715364294</v>
      </c>
      <c r="K1019" s="74" t="s">
        <v>105</v>
      </c>
      <c r="L1019" s="74"/>
      <c r="M1019" s="74"/>
      <c r="N1019" s="74"/>
      <c r="O1019" s="74"/>
      <c r="P1019" s="76"/>
      <c r="Q1019" s="76"/>
      <c r="R1019" s="76"/>
      <c r="S1019" s="76"/>
      <c r="T1019" s="76"/>
      <c r="U1019" s="76"/>
      <c r="V1019" s="76"/>
      <c r="W1019" s="76"/>
      <c r="X1019" s="76"/>
      <c r="Y1019" s="76"/>
      <c r="Z1019" s="76"/>
      <c r="AA1019" s="76"/>
      <c r="AB1019" s="76"/>
      <c r="AC1019" s="76"/>
      <c r="AD1019" s="76"/>
      <c r="AE1019" s="76"/>
      <c r="AF1019" s="76"/>
      <c r="AG1019" s="76"/>
      <c r="AH1019" s="76"/>
      <c r="AI1019" s="76"/>
      <c r="AJ1019" s="76"/>
    </row>
    <row r="1020" spans="1:36" ht="12.75">
      <c r="A1020" s="74" t="s">
        <v>913</v>
      </c>
      <c r="B1020" s="74"/>
      <c r="C1020" s="74" t="s">
        <v>914</v>
      </c>
      <c r="D1020" s="74" t="s">
        <v>341</v>
      </c>
      <c r="E1020" s="146">
        <v>112863597</v>
      </c>
      <c r="F1020" s="7" t="s">
        <v>915</v>
      </c>
      <c r="G1020" s="7"/>
      <c r="H1020" s="76"/>
      <c r="I1020" s="84"/>
      <c r="J1020" s="76"/>
      <c r="K1020" s="76"/>
      <c r="L1020" s="76"/>
      <c r="M1020" s="76"/>
      <c r="N1020" s="76"/>
      <c r="O1020" s="76"/>
      <c r="P1020" s="76"/>
      <c r="Q1020" s="76"/>
      <c r="R1020" s="76"/>
      <c r="S1020" s="76"/>
      <c r="T1020" s="76"/>
      <c r="U1020" s="76"/>
      <c r="V1020" s="76"/>
      <c r="W1020" s="76"/>
      <c r="X1020" s="76"/>
      <c r="Y1020" s="76"/>
      <c r="Z1020" s="76"/>
      <c r="AA1020" s="76"/>
      <c r="AB1020" s="76"/>
      <c r="AC1020" s="76"/>
      <c r="AD1020" s="76"/>
      <c r="AE1020" s="76"/>
      <c r="AF1020" s="76"/>
      <c r="AG1020" s="76"/>
      <c r="AH1020" s="76"/>
      <c r="AI1020" s="76"/>
      <c r="AJ1020" s="76"/>
    </row>
    <row r="1021" spans="1:36" ht="12.75">
      <c r="A1021" s="74" t="s">
        <v>1323</v>
      </c>
      <c r="B1021" s="74"/>
      <c r="C1021" s="74" t="s">
        <v>1324</v>
      </c>
      <c r="D1021" s="74" t="s">
        <v>1325</v>
      </c>
      <c r="E1021" s="146">
        <v>112810203</v>
      </c>
      <c r="F1021" s="7" t="s">
        <v>342</v>
      </c>
      <c r="G1021" s="7"/>
      <c r="H1021" s="74" t="s">
        <v>355</v>
      </c>
      <c r="I1021" s="75" t="s">
        <v>356</v>
      </c>
      <c r="J1021" s="74">
        <v>715364294</v>
      </c>
      <c r="K1021" s="74" t="s">
        <v>105</v>
      </c>
      <c r="L1021" s="60"/>
      <c r="M1021" s="60"/>
      <c r="N1021" s="60"/>
      <c r="O1021" s="60"/>
      <c r="P1021" s="76"/>
      <c r="Q1021" s="76"/>
      <c r="R1021" s="76"/>
      <c r="S1021" s="76"/>
      <c r="T1021" s="76"/>
      <c r="U1021" s="76"/>
      <c r="V1021" s="76"/>
      <c r="W1021" s="76"/>
      <c r="X1021" s="76"/>
      <c r="Y1021" s="76"/>
      <c r="Z1021" s="76"/>
      <c r="AA1021" s="76"/>
      <c r="AB1021" s="76"/>
      <c r="AC1021" s="76"/>
      <c r="AD1021" s="76"/>
      <c r="AE1021" s="76"/>
      <c r="AF1021" s="76"/>
      <c r="AG1021" s="76"/>
      <c r="AH1021" s="76"/>
      <c r="AI1021" s="76"/>
      <c r="AJ1021" s="76"/>
    </row>
    <row r="1022" spans="1:36" ht="12.75">
      <c r="A1022" s="74" t="s">
        <v>514</v>
      </c>
      <c r="B1022" s="74"/>
      <c r="C1022" s="74" t="s">
        <v>515</v>
      </c>
      <c r="D1022" s="74" t="s">
        <v>516</v>
      </c>
      <c r="E1022" s="146">
        <v>794570935</v>
      </c>
      <c r="F1022" s="7" t="s">
        <v>517</v>
      </c>
      <c r="G1022" s="7"/>
      <c r="H1022" s="74" t="s">
        <v>518</v>
      </c>
      <c r="I1022" s="75"/>
      <c r="J1022" s="74">
        <v>724477942</v>
      </c>
      <c r="K1022" s="74" t="s">
        <v>519</v>
      </c>
      <c r="L1022" s="74"/>
      <c r="M1022" s="74"/>
      <c r="N1022" s="74"/>
      <c r="O1022" s="74"/>
      <c r="P1022" s="76"/>
      <c r="Q1022" s="76"/>
      <c r="R1022" s="76"/>
      <c r="S1022" s="76"/>
      <c r="T1022" s="76"/>
      <c r="U1022" s="76"/>
      <c r="V1022" s="76"/>
      <c r="W1022" s="76"/>
      <c r="X1022" s="76"/>
      <c r="Y1022" s="76"/>
      <c r="Z1022" s="76"/>
      <c r="AA1022" s="76"/>
      <c r="AB1022" s="76"/>
      <c r="AC1022" s="76"/>
      <c r="AD1022" s="76"/>
      <c r="AE1022" s="76"/>
      <c r="AF1022" s="76"/>
      <c r="AG1022" s="76"/>
      <c r="AH1022" s="76"/>
      <c r="AI1022" s="76"/>
      <c r="AJ1022" s="76"/>
    </row>
    <row r="1023" spans="1:36" ht="12.75">
      <c r="A1023" s="74" t="s">
        <v>1910</v>
      </c>
      <c r="B1023" s="74"/>
      <c r="C1023" s="74" t="s">
        <v>1911</v>
      </c>
      <c r="D1023" s="74" t="s">
        <v>1912</v>
      </c>
      <c r="E1023" s="146">
        <v>714568431</v>
      </c>
      <c r="F1023" s="7" t="s">
        <v>1913</v>
      </c>
      <c r="G1023" s="7"/>
      <c r="H1023" s="74" t="s">
        <v>1914</v>
      </c>
      <c r="I1023" s="75" t="s">
        <v>1915</v>
      </c>
      <c r="J1023" s="74">
        <v>110345166</v>
      </c>
      <c r="K1023" s="74" t="s">
        <v>1916</v>
      </c>
      <c r="L1023" s="74"/>
      <c r="M1023" s="74"/>
      <c r="N1023" s="74"/>
      <c r="O1023" s="76"/>
      <c r="P1023" s="76"/>
      <c r="Q1023" s="76"/>
      <c r="R1023" s="76"/>
      <c r="S1023" s="76"/>
      <c r="T1023" s="76"/>
      <c r="U1023" s="76"/>
      <c r="V1023" s="76"/>
      <c r="W1023" s="76"/>
      <c r="X1023" s="76"/>
      <c r="Y1023" s="76"/>
      <c r="Z1023" s="76"/>
      <c r="AA1023" s="76"/>
      <c r="AB1023" s="76"/>
      <c r="AC1023" s="76"/>
      <c r="AD1023" s="76"/>
      <c r="AE1023" s="76"/>
      <c r="AF1023" s="76"/>
      <c r="AG1023" s="76"/>
      <c r="AH1023" s="76"/>
      <c r="AI1023" s="76"/>
      <c r="AJ1023" s="76"/>
    </row>
    <row r="1024" spans="1:36" ht="12.75">
      <c r="A1024" s="284" t="s">
        <v>679</v>
      </c>
      <c r="B1024" s="284"/>
      <c r="C1024" s="108" t="s">
        <v>680</v>
      </c>
      <c r="D1024" s="108" t="s">
        <v>1917</v>
      </c>
      <c r="E1024" s="194"/>
      <c r="F1024" s="103" t="s">
        <v>681</v>
      </c>
      <c r="G1024" s="103"/>
      <c r="H1024" s="103" t="s">
        <v>682</v>
      </c>
      <c r="I1024" s="109" t="s">
        <v>179</v>
      </c>
      <c r="J1024" s="110">
        <v>254713487535</v>
      </c>
      <c r="K1024" s="76"/>
      <c r="L1024" s="76"/>
      <c r="M1024" s="76"/>
      <c r="N1024" s="76"/>
      <c r="O1024" s="76"/>
      <c r="P1024" s="76"/>
      <c r="Q1024" s="76"/>
      <c r="R1024" s="76"/>
      <c r="S1024" s="76"/>
      <c r="T1024" s="76"/>
      <c r="U1024" s="76"/>
      <c r="V1024" s="76"/>
      <c r="W1024" s="76"/>
      <c r="X1024" s="76"/>
      <c r="Y1024" s="76"/>
      <c r="Z1024" s="76"/>
      <c r="AA1024" s="76"/>
      <c r="AB1024" s="76"/>
      <c r="AC1024" s="76"/>
      <c r="AD1024" s="76"/>
      <c r="AE1024" s="76"/>
      <c r="AF1024" s="76"/>
      <c r="AG1024" s="76"/>
      <c r="AH1024" s="76"/>
      <c r="AI1024" s="76"/>
      <c r="AJ1024" s="76"/>
    </row>
    <row r="1025" spans="1:36" ht="12.75">
      <c r="A1025" s="108" t="s">
        <v>1598</v>
      </c>
      <c r="B1025" s="108"/>
      <c r="C1025" s="108" t="s">
        <v>1599</v>
      </c>
      <c r="D1025" s="108" t="s">
        <v>68</v>
      </c>
      <c r="E1025" s="194"/>
      <c r="F1025" s="103" t="s">
        <v>1601</v>
      </c>
      <c r="G1025" s="103"/>
      <c r="H1025" s="103" t="s">
        <v>1602</v>
      </c>
      <c r="I1025" s="109" t="s">
        <v>1603</v>
      </c>
      <c r="J1025" s="110">
        <v>254740180940</v>
      </c>
      <c r="K1025" s="76"/>
      <c r="L1025" s="76"/>
      <c r="M1025" s="76"/>
      <c r="N1025" s="76"/>
      <c r="O1025" s="76"/>
      <c r="P1025" s="76"/>
      <c r="Q1025" s="76"/>
      <c r="R1025" s="76"/>
      <c r="S1025" s="76"/>
      <c r="T1025" s="76"/>
      <c r="U1025" s="76"/>
      <c r="V1025" s="76"/>
      <c r="W1025" s="76"/>
      <c r="X1025" s="76"/>
      <c r="Y1025" s="76"/>
      <c r="Z1025" s="76"/>
      <c r="AA1025" s="76"/>
      <c r="AB1025" s="76"/>
      <c r="AC1025" s="76"/>
      <c r="AD1025" s="76"/>
      <c r="AE1025" s="76"/>
      <c r="AF1025" s="76"/>
      <c r="AG1025" s="76"/>
      <c r="AH1025" s="76"/>
      <c r="AI1025" s="76"/>
      <c r="AJ1025" s="76"/>
    </row>
    <row r="1026" spans="1:36" ht="12.75">
      <c r="A1026" s="108" t="s">
        <v>176</v>
      </c>
      <c r="B1026" s="108"/>
      <c r="C1026" s="108" t="s">
        <v>177</v>
      </c>
      <c r="D1026" s="108" t="s">
        <v>508</v>
      </c>
      <c r="E1026" s="146">
        <v>701158499</v>
      </c>
      <c r="F1026" s="103" t="s">
        <v>178</v>
      </c>
      <c r="G1026" s="103"/>
      <c r="H1026" s="103" t="s">
        <v>26</v>
      </c>
      <c r="I1026" s="109" t="s">
        <v>179</v>
      </c>
      <c r="J1026" s="208">
        <v>254719686390</v>
      </c>
      <c r="K1026" s="74" t="s">
        <v>180</v>
      </c>
      <c r="L1026" s="74"/>
      <c r="M1026" s="74"/>
      <c r="N1026" s="74"/>
      <c r="O1026" s="76"/>
      <c r="P1026" s="76"/>
      <c r="Q1026" s="76"/>
      <c r="R1026" s="76"/>
      <c r="S1026" s="76"/>
      <c r="T1026" s="76"/>
      <c r="U1026" s="76"/>
      <c r="V1026" s="76"/>
      <c r="W1026" s="76"/>
      <c r="X1026" s="76"/>
      <c r="Y1026" s="76"/>
      <c r="Z1026" s="76"/>
      <c r="AA1026" s="76"/>
      <c r="AB1026" s="76"/>
      <c r="AC1026" s="76"/>
      <c r="AD1026" s="76"/>
      <c r="AE1026" s="76"/>
      <c r="AF1026" s="76"/>
      <c r="AG1026" s="76"/>
      <c r="AH1026" s="76"/>
      <c r="AI1026" s="76"/>
      <c r="AJ1026" s="76"/>
    </row>
    <row r="1027" spans="1:36" ht="12.75">
      <c r="A1027" s="108" t="s">
        <v>1813</v>
      </c>
      <c r="B1027" s="108"/>
      <c r="C1027" s="434" t="s">
        <v>1814</v>
      </c>
      <c r="D1027" s="108" t="s">
        <v>227</v>
      </c>
      <c r="E1027" s="194"/>
      <c r="F1027" s="103" t="s">
        <v>1815</v>
      </c>
      <c r="G1027" s="103"/>
      <c r="H1027" s="103" t="s">
        <v>1816</v>
      </c>
      <c r="I1027" s="109" t="s">
        <v>218</v>
      </c>
      <c r="J1027" s="110">
        <v>254759441965</v>
      </c>
      <c r="K1027" s="74"/>
      <c r="L1027" s="74"/>
      <c r="M1027" s="74"/>
      <c r="N1027" s="74"/>
      <c r="O1027" s="76"/>
      <c r="P1027" s="76"/>
      <c r="Q1027" s="76"/>
      <c r="R1027" s="76"/>
      <c r="S1027" s="76"/>
      <c r="T1027" s="76"/>
      <c r="U1027" s="76"/>
      <c r="V1027" s="76"/>
      <c r="W1027" s="76"/>
      <c r="X1027" s="76"/>
      <c r="Y1027" s="76"/>
      <c r="Z1027" s="76"/>
      <c r="AA1027" s="76"/>
      <c r="AB1027" s="76"/>
      <c r="AC1027" s="76"/>
      <c r="AD1027" s="76"/>
      <c r="AE1027" s="76"/>
      <c r="AF1027" s="76"/>
      <c r="AG1027" s="76"/>
      <c r="AH1027" s="76"/>
      <c r="AI1027" s="76"/>
      <c r="AJ1027" s="76"/>
    </row>
    <row r="1028" spans="1:36" ht="12.75">
      <c r="A1028" s="108" t="s">
        <v>1475</v>
      </c>
      <c r="B1028" s="108"/>
      <c r="C1028" s="435"/>
      <c r="D1028" s="108" t="s">
        <v>301</v>
      </c>
      <c r="E1028" s="194"/>
      <c r="F1028" s="103" t="s">
        <v>1478</v>
      </c>
      <c r="G1028" s="103"/>
      <c r="H1028" s="103" t="s">
        <v>1481</v>
      </c>
      <c r="I1028" s="109" t="s">
        <v>218</v>
      </c>
      <c r="J1028" s="110">
        <f>254715525242</f>
        <v>254715525242</v>
      </c>
      <c r="K1028" s="76"/>
      <c r="L1028" s="76"/>
      <c r="M1028" s="76"/>
      <c r="N1028" s="76"/>
      <c r="O1028" s="76"/>
      <c r="P1028" s="76"/>
      <c r="Q1028" s="76"/>
      <c r="R1028" s="76"/>
      <c r="S1028" s="76"/>
      <c r="T1028" s="76"/>
      <c r="U1028" s="76"/>
      <c r="V1028" s="76"/>
      <c r="W1028" s="76"/>
      <c r="X1028" s="76"/>
      <c r="Y1028" s="76"/>
      <c r="Z1028" s="76"/>
      <c r="AA1028" s="76"/>
      <c r="AB1028" s="76"/>
      <c r="AC1028" s="76"/>
      <c r="AD1028" s="76"/>
      <c r="AE1028" s="76"/>
      <c r="AF1028" s="76"/>
      <c r="AG1028" s="76"/>
      <c r="AH1028" s="76"/>
      <c r="AI1028" s="76"/>
      <c r="AJ1028" s="76"/>
    </row>
    <row r="1029" spans="1:36" ht="12.75">
      <c r="A1029" s="108" t="s">
        <v>1509</v>
      </c>
      <c r="B1029" s="108"/>
      <c r="C1029" s="435"/>
      <c r="D1029" s="108" t="s">
        <v>155</v>
      </c>
      <c r="E1029" s="194"/>
      <c r="F1029" s="103" t="s">
        <v>902</v>
      </c>
      <c r="G1029" s="103"/>
      <c r="H1029" s="103" t="s">
        <v>903</v>
      </c>
      <c r="I1029" s="109" t="s">
        <v>59</v>
      </c>
      <c r="J1029" s="110">
        <v>797786295</v>
      </c>
      <c r="K1029" s="76"/>
      <c r="L1029" s="76"/>
      <c r="M1029" s="76"/>
      <c r="N1029" s="76"/>
      <c r="O1029" s="76"/>
      <c r="P1029" s="76"/>
      <c r="Q1029" s="76"/>
      <c r="R1029" s="76"/>
      <c r="S1029" s="76"/>
      <c r="T1029" s="76"/>
      <c r="U1029" s="76"/>
      <c r="V1029" s="76"/>
      <c r="W1029" s="76"/>
      <c r="X1029" s="76"/>
      <c r="Y1029" s="76"/>
      <c r="Z1029" s="76"/>
      <c r="AA1029" s="76"/>
      <c r="AB1029" s="76"/>
      <c r="AC1029" s="76"/>
      <c r="AD1029" s="76"/>
      <c r="AE1029" s="76"/>
      <c r="AF1029" s="76"/>
      <c r="AG1029" s="76"/>
      <c r="AH1029" s="76"/>
      <c r="AI1029" s="76"/>
      <c r="AJ1029" s="76"/>
    </row>
    <row r="1030" spans="1:36" ht="12.75">
      <c r="A1030" s="108" t="s">
        <v>1918</v>
      </c>
      <c r="B1030" s="108"/>
      <c r="C1030" s="435"/>
      <c r="D1030" s="108" t="s">
        <v>155</v>
      </c>
      <c r="E1030" s="194"/>
      <c r="F1030" s="103" t="s">
        <v>1879</v>
      </c>
      <c r="G1030" s="103"/>
      <c r="H1030" s="103" t="s">
        <v>1880</v>
      </c>
      <c r="I1030" s="109" t="s">
        <v>1881</v>
      </c>
      <c r="J1030" s="110">
        <v>254792079695</v>
      </c>
      <c r="K1030" s="76"/>
      <c r="L1030" s="76"/>
      <c r="M1030" s="76"/>
      <c r="N1030" s="76"/>
      <c r="O1030" s="76"/>
      <c r="P1030" s="76"/>
      <c r="Q1030" s="76"/>
      <c r="R1030" s="76"/>
      <c r="S1030" s="76"/>
      <c r="T1030" s="76"/>
      <c r="U1030" s="76"/>
      <c r="V1030" s="76"/>
      <c r="W1030" s="76"/>
      <c r="X1030" s="76"/>
      <c r="Y1030" s="76"/>
      <c r="Z1030" s="76"/>
      <c r="AA1030" s="76"/>
      <c r="AB1030" s="76"/>
      <c r="AC1030" s="76"/>
      <c r="AD1030" s="76"/>
      <c r="AE1030" s="76"/>
      <c r="AF1030" s="76"/>
      <c r="AG1030" s="76"/>
      <c r="AH1030" s="76"/>
      <c r="AI1030" s="76"/>
      <c r="AJ1030" s="76"/>
    </row>
    <row r="1031" spans="1:36" ht="12.75">
      <c r="A1031" s="108" t="s">
        <v>900</v>
      </c>
      <c r="B1031" s="108"/>
      <c r="C1031" s="435"/>
      <c r="D1031" s="108" t="s">
        <v>1919</v>
      </c>
      <c r="E1031" s="194"/>
      <c r="F1031" s="103" t="s">
        <v>902</v>
      </c>
      <c r="G1031" s="103"/>
      <c r="H1031" s="103" t="s">
        <v>903</v>
      </c>
      <c r="I1031" s="109" t="s">
        <v>887</v>
      </c>
      <c r="J1031" s="110">
        <v>726581733</v>
      </c>
      <c r="K1031" s="76"/>
      <c r="L1031" s="76"/>
      <c r="M1031" s="76"/>
      <c r="N1031" s="76"/>
      <c r="O1031" s="76"/>
      <c r="P1031" s="76"/>
      <c r="Q1031" s="76"/>
      <c r="R1031" s="76"/>
      <c r="S1031" s="76"/>
      <c r="T1031" s="76"/>
      <c r="U1031" s="76"/>
      <c r="V1031" s="76"/>
      <c r="W1031" s="76"/>
      <c r="X1031" s="76"/>
      <c r="Y1031" s="76"/>
      <c r="Z1031" s="76"/>
      <c r="AA1031" s="76"/>
      <c r="AB1031" s="76"/>
      <c r="AC1031" s="76"/>
      <c r="AD1031" s="76"/>
      <c r="AE1031" s="76"/>
      <c r="AF1031" s="76"/>
      <c r="AG1031" s="76"/>
      <c r="AH1031" s="76"/>
      <c r="AI1031" s="76"/>
      <c r="AJ1031" s="76"/>
    </row>
    <row r="1032" spans="1:36" ht="14.25">
      <c r="A1032" s="74" t="s">
        <v>1920</v>
      </c>
      <c r="B1032" s="313"/>
      <c r="C1032" s="436"/>
      <c r="D1032" s="74" t="s">
        <v>227</v>
      </c>
      <c r="E1032" s="146">
        <v>111640040</v>
      </c>
      <c r="F1032" s="7" t="s">
        <v>342</v>
      </c>
      <c r="G1032" s="7"/>
      <c r="H1032" s="74" t="s">
        <v>343</v>
      </c>
      <c r="I1032" s="75" t="s">
        <v>179</v>
      </c>
      <c r="J1032" s="74" t="s">
        <v>1921</v>
      </c>
      <c r="K1032" s="209" t="s">
        <v>105</v>
      </c>
      <c r="L1032" s="210"/>
      <c r="M1032" s="210"/>
      <c r="N1032" s="210"/>
      <c r="O1032" s="76"/>
      <c r="P1032" s="76"/>
      <c r="Q1032" s="76"/>
      <c r="R1032" s="76"/>
      <c r="S1032" s="76"/>
      <c r="T1032" s="76"/>
      <c r="U1032" s="76"/>
      <c r="V1032" s="76"/>
      <c r="W1032" s="76"/>
      <c r="X1032" s="76"/>
      <c r="Y1032" s="76"/>
      <c r="Z1032" s="76"/>
      <c r="AA1032" s="76"/>
      <c r="AB1032" s="76"/>
      <c r="AC1032" s="76"/>
      <c r="AD1032" s="76"/>
      <c r="AE1032" s="76"/>
      <c r="AF1032" s="76"/>
      <c r="AG1032" s="76"/>
      <c r="AH1032" s="76"/>
      <c r="AI1032" s="76"/>
      <c r="AJ1032" s="76"/>
    </row>
    <row r="1033" spans="1:36" ht="12.75">
      <c r="A1033" s="74" t="s">
        <v>1922</v>
      </c>
      <c r="B1033" s="74"/>
      <c r="C1033" s="74" t="s">
        <v>1923</v>
      </c>
      <c r="D1033" s="74" t="s">
        <v>1924</v>
      </c>
      <c r="E1033" s="146">
        <v>796303691</v>
      </c>
      <c r="F1033" s="7" t="s">
        <v>1925</v>
      </c>
      <c r="G1033" s="7"/>
      <c r="H1033" s="74" t="s">
        <v>1926</v>
      </c>
      <c r="I1033" s="75" t="s">
        <v>599</v>
      </c>
      <c r="J1033" s="74">
        <v>722205756</v>
      </c>
      <c r="K1033" s="74" t="s">
        <v>1927</v>
      </c>
      <c r="L1033" s="74"/>
      <c r="M1033" s="74"/>
      <c r="N1033" s="74"/>
      <c r="O1033" s="76"/>
      <c r="P1033" s="76"/>
      <c r="Q1033" s="76"/>
      <c r="R1033" s="76"/>
      <c r="S1033" s="76"/>
      <c r="T1033" s="76"/>
      <c r="U1033" s="76"/>
      <c r="V1033" s="76"/>
      <c r="W1033" s="76"/>
      <c r="X1033" s="76"/>
      <c r="Y1033" s="76"/>
      <c r="Z1033" s="76"/>
      <c r="AA1033" s="76"/>
      <c r="AB1033" s="76"/>
      <c r="AC1033" s="76"/>
      <c r="AD1033" s="76"/>
      <c r="AE1033" s="76"/>
      <c r="AF1033" s="76"/>
      <c r="AG1033" s="76"/>
      <c r="AH1033" s="76"/>
      <c r="AI1033" s="76"/>
      <c r="AJ1033" s="76"/>
    </row>
    <row r="1034" spans="1:36" ht="12.75">
      <c r="A1034" s="7" t="s">
        <v>1928</v>
      </c>
      <c r="B1034" s="7"/>
      <c r="C1034" s="74" t="s">
        <v>1929</v>
      </c>
      <c r="D1034" s="108" t="s">
        <v>155</v>
      </c>
      <c r="E1034" s="7">
        <v>798311741</v>
      </c>
      <c r="F1034" s="69" t="s">
        <v>1930</v>
      </c>
      <c r="G1034" s="69"/>
      <c r="H1034" s="74" t="s">
        <v>1931</v>
      </c>
      <c r="I1034" s="75" t="s">
        <v>65</v>
      </c>
      <c r="J1034" s="74" t="s">
        <v>1932</v>
      </c>
      <c r="K1034" s="74" t="s">
        <v>1933</v>
      </c>
      <c r="L1034" s="74"/>
      <c r="M1034" s="74"/>
      <c r="N1034" s="74"/>
      <c r="O1034" s="76"/>
      <c r="P1034" s="76"/>
      <c r="Q1034" s="76"/>
      <c r="R1034" s="76"/>
      <c r="S1034" s="76"/>
      <c r="T1034" s="76"/>
      <c r="U1034" s="76"/>
      <c r="V1034" s="76"/>
      <c r="W1034" s="76"/>
      <c r="X1034" s="76"/>
      <c r="Y1034" s="76"/>
      <c r="Z1034" s="76"/>
      <c r="AA1034" s="76"/>
      <c r="AB1034" s="76"/>
      <c r="AC1034" s="76"/>
      <c r="AD1034" s="76"/>
      <c r="AE1034" s="76"/>
      <c r="AF1034" s="76"/>
      <c r="AG1034" s="76"/>
      <c r="AH1034" s="76"/>
      <c r="AI1034" s="76"/>
      <c r="AJ1034" s="76"/>
    </row>
    <row r="1035" spans="1:36" ht="12.75">
      <c r="A1035" s="74" t="s">
        <v>1934</v>
      </c>
      <c r="B1035" s="74"/>
      <c r="C1035" s="74" t="s">
        <v>1935</v>
      </c>
      <c r="D1035" s="74" t="s">
        <v>1924</v>
      </c>
      <c r="E1035" s="146">
        <v>757877780</v>
      </c>
      <c r="F1035" s="7" t="s">
        <v>1936</v>
      </c>
      <c r="G1035" s="7"/>
      <c r="H1035" s="74" t="s">
        <v>1926</v>
      </c>
      <c r="I1035" s="75" t="s">
        <v>599</v>
      </c>
      <c r="J1035" s="74">
        <v>722205756</v>
      </c>
      <c r="K1035" s="74" t="s">
        <v>1927</v>
      </c>
      <c r="L1035" s="74"/>
      <c r="M1035" s="74"/>
      <c r="N1035" s="74"/>
      <c r="O1035" s="76"/>
      <c r="P1035" s="76"/>
      <c r="Q1035" s="76"/>
      <c r="R1035" s="76"/>
      <c r="S1035" s="76"/>
      <c r="T1035" s="76"/>
      <c r="U1035" s="76"/>
      <c r="V1035" s="76"/>
      <c r="W1035" s="76"/>
      <c r="X1035" s="76"/>
      <c r="Y1035" s="76"/>
      <c r="Z1035" s="76"/>
      <c r="AA1035" s="76"/>
      <c r="AB1035" s="76"/>
      <c r="AC1035" s="76"/>
      <c r="AD1035" s="76"/>
      <c r="AE1035" s="76"/>
      <c r="AF1035" s="76"/>
      <c r="AG1035" s="76"/>
      <c r="AH1035" s="76"/>
      <c r="AI1035" s="76"/>
      <c r="AJ1035" s="76"/>
    </row>
    <row r="1036" spans="1:36" ht="12.75">
      <c r="A1036" s="74" t="s">
        <v>821</v>
      </c>
      <c r="B1036" s="74"/>
      <c r="C1036" s="74" t="s">
        <v>822</v>
      </c>
      <c r="D1036" s="74" t="s">
        <v>301</v>
      </c>
      <c r="E1036" s="146">
        <v>793667896</v>
      </c>
      <c r="F1036" s="7" t="s">
        <v>823</v>
      </c>
      <c r="G1036" s="7"/>
      <c r="H1036" s="148" t="s">
        <v>3566</v>
      </c>
      <c r="I1036" s="84"/>
      <c r="J1036" s="76"/>
      <c r="K1036" s="76"/>
      <c r="L1036" s="76"/>
      <c r="M1036" s="76"/>
      <c r="N1036" s="76"/>
      <c r="O1036" s="76"/>
      <c r="P1036" s="76"/>
      <c r="Q1036" s="76"/>
      <c r="R1036" s="76"/>
      <c r="S1036" s="76"/>
      <c r="T1036" s="76"/>
      <c r="U1036" s="76"/>
      <c r="V1036" s="76"/>
      <c r="W1036" s="76"/>
      <c r="X1036" s="76"/>
      <c r="Y1036" s="76"/>
      <c r="Z1036" s="76"/>
      <c r="AA1036" s="76"/>
      <c r="AB1036" s="76"/>
      <c r="AC1036" s="76"/>
      <c r="AD1036" s="76"/>
      <c r="AE1036" s="76"/>
      <c r="AF1036" s="76"/>
      <c r="AG1036" s="76"/>
      <c r="AH1036" s="76"/>
      <c r="AI1036" s="76"/>
      <c r="AJ1036" s="76"/>
    </row>
    <row r="1037" spans="1:36" ht="12.75">
      <c r="A1037" s="74" t="s">
        <v>1938</v>
      </c>
      <c r="B1037" s="74"/>
      <c r="C1037" s="74" t="s">
        <v>16</v>
      </c>
      <c r="D1037" s="74" t="s">
        <v>17</v>
      </c>
      <c r="E1037" s="146">
        <v>757182774</v>
      </c>
      <c r="F1037" s="7" t="s">
        <v>18</v>
      </c>
      <c r="G1037" s="7"/>
      <c r="H1037" s="74" t="s">
        <v>19</v>
      </c>
      <c r="I1037" s="84"/>
      <c r="J1037" s="76"/>
      <c r="K1037" s="76"/>
      <c r="L1037" s="76"/>
      <c r="M1037" s="76"/>
      <c r="N1037" s="76"/>
      <c r="O1037" s="76"/>
      <c r="P1037" s="76"/>
      <c r="Q1037" s="76"/>
      <c r="R1037" s="76"/>
      <c r="S1037" s="76"/>
      <c r="T1037" s="76"/>
      <c r="U1037" s="76"/>
      <c r="V1037" s="76"/>
      <c r="W1037" s="76"/>
      <c r="X1037" s="76"/>
      <c r="Y1037" s="76"/>
      <c r="Z1037" s="76"/>
      <c r="AA1037" s="76"/>
      <c r="AB1037" s="76"/>
      <c r="AC1037" s="76"/>
      <c r="AD1037" s="76"/>
      <c r="AE1037" s="76"/>
      <c r="AF1037" s="76"/>
      <c r="AG1037" s="76"/>
      <c r="AH1037" s="76"/>
      <c r="AI1037" s="76"/>
      <c r="AJ1037" s="76"/>
    </row>
    <row r="1038" spans="1:36" ht="12.75">
      <c r="A1038" s="74" t="s">
        <v>1705</v>
      </c>
      <c r="B1038" s="74"/>
      <c r="C1038" s="74" t="s">
        <v>1706</v>
      </c>
      <c r="D1038" s="74" t="s">
        <v>460</v>
      </c>
      <c r="E1038" s="146">
        <v>110447025</v>
      </c>
      <c r="F1038" s="7" t="s">
        <v>1707</v>
      </c>
      <c r="G1038" s="7"/>
      <c r="H1038" s="74" t="s">
        <v>1708</v>
      </c>
      <c r="I1038" s="75" t="s">
        <v>1939</v>
      </c>
      <c r="J1038" s="74">
        <v>703794054</v>
      </c>
      <c r="K1038" s="76"/>
      <c r="L1038" s="76"/>
      <c r="M1038" s="76"/>
      <c r="N1038" s="76"/>
      <c r="O1038" s="76"/>
      <c r="P1038" s="76"/>
      <c r="Q1038" s="76"/>
      <c r="R1038" s="76"/>
      <c r="S1038" s="76"/>
      <c r="T1038" s="76"/>
      <c r="U1038" s="76"/>
      <c r="V1038" s="76"/>
      <c r="W1038" s="76"/>
      <c r="X1038" s="76"/>
      <c r="Y1038" s="76"/>
      <c r="Z1038" s="76"/>
      <c r="AA1038" s="76"/>
      <c r="AB1038" s="76"/>
      <c r="AC1038" s="76"/>
      <c r="AD1038" s="76"/>
      <c r="AE1038" s="76"/>
      <c r="AF1038" s="76"/>
      <c r="AG1038" s="76"/>
      <c r="AH1038" s="76"/>
      <c r="AI1038" s="76"/>
      <c r="AJ1038" s="76"/>
    </row>
    <row r="1039" spans="1:36" ht="12.75">
      <c r="A1039" s="74" t="s">
        <v>1439</v>
      </c>
      <c r="B1039" s="74"/>
      <c r="C1039" s="74" t="s">
        <v>1440</v>
      </c>
      <c r="D1039" s="74" t="s">
        <v>1441</v>
      </c>
      <c r="E1039" s="146">
        <v>751216065</v>
      </c>
      <c r="F1039" s="7" t="s">
        <v>1442</v>
      </c>
      <c r="G1039" s="7"/>
      <c r="H1039" s="74" t="s">
        <v>1443</v>
      </c>
      <c r="I1039" s="75" t="s">
        <v>1940</v>
      </c>
      <c r="J1039" s="74">
        <v>1110566855</v>
      </c>
      <c r="K1039" s="74" t="s">
        <v>1941</v>
      </c>
      <c r="L1039" s="74"/>
      <c r="M1039" s="74"/>
      <c r="N1039" s="74"/>
      <c r="O1039" s="76"/>
      <c r="P1039" s="76"/>
      <c r="Q1039" s="76"/>
      <c r="R1039" s="76"/>
      <c r="S1039" s="76"/>
      <c r="T1039" s="76"/>
      <c r="U1039" s="76"/>
      <c r="V1039" s="76"/>
      <c r="W1039" s="76"/>
      <c r="X1039" s="76"/>
      <c r="Y1039" s="76"/>
      <c r="Z1039" s="76"/>
      <c r="AA1039" s="76"/>
      <c r="AB1039" s="76"/>
      <c r="AC1039" s="76"/>
      <c r="AD1039" s="76"/>
      <c r="AE1039" s="76"/>
      <c r="AF1039" s="76"/>
      <c r="AG1039" s="76"/>
      <c r="AH1039" s="76"/>
      <c r="AI1039" s="76"/>
      <c r="AJ1039" s="76"/>
    </row>
    <row r="1040" spans="1:36" ht="12.75">
      <c r="A1040" s="74" t="s">
        <v>1093</v>
      </c>
      <c r="B1040" s="74"/>
      <c r="C1040" s="74" t="s">
        <v>1094</v>
      </c>
      <c r="D1040" s="74" t="s">
        <v>1095</v>
      </c>
      <c r="E1040" s="146" t="s">
        <v>1096</v>
      </c>
      <c r="F1040" s="7" t="s">
        <v>1097</v>
      </c>
      <c r="G1040" s="7"/>
      <c r="H1040" s="74" t="s">
        <v>1098</v>
      </c>
      <c r="I1040" s="75" t="s">
        <v>218</v>
      </c>
      <c r="J1040" s="76"/>
      <c r="K1040" s="76"/>
      <c r="L1040" s="76"/>
      <c r="M1040" s="76"/>
      <c r="N1040" s="76"/>
      <c r="O1040" s="76"/>
      <c r="P1040" s="76"/>
      <c r="Q1040" s="76"/>
      <c r="R1040" s="76"/>
      <c r="S1040" s="76"/>
      <c r="T1040" s="76"/>
      <c r="U1040" s="76"/>
      <c r="V1040" s="76"/>
      <c r="W1040" s="76"/>
      <c r="X1040" s="76"/>
      <c r="Y1040" s="76"/>
      <c r="Z1040" s="76"/>
      <c r="AA1040" s="76"/>
      <c r="AB1040" s="76"/>
      <c r="AC1040" s="76"/>
      <c r="AD1040" s="76"/>
      <c r="AE1040" s="76"/>
      <c r="AF1040" s="76"/>
      <c r="AG1040" s="76"/>
      <c r="AH1040" s="76"/>
      <c r="AI1040" s="76"/>
      <c r="AJ1040" s="76"/>
    </row>
    <row r="1041" spans="1:36" ht="12.75">
      <c r="A1041" s="74" t="s">
        <v>1383</v>
      </c>
      <c r="B1041" s="74"/>
      <c r="C1041" s="74" t="s">
        <v>1384</v>
      </c>
      <c r="D1041" s="74" t="s">
        <v>1385</v>
      </c>
      <c r="E1041" s="146">
        <v>746565579</v>
      </c>
      <c r="F1041" s="7" t="s">
        <v>1386</v>
      </c>
      <c r="G1041" s="7"/>
      <c r="H1041" s="74" t="s">
        <v>1387</v>
      </c>
      <c r="I1041" s="75" t="s">
        <v>218</v>
      </c>
      <c r="J1041" s="74">
        <v>204408989</v>
      </c>
      <c r="K1041" s="74" t="s">
        <v>1942</v>
      </c>
      <c r="L1041" s="74"/>
      <c r="M1041" s="74"/>
      <c r="N1041" s="74"/>
      <c r="O1041" s="76"/>
      <c r="P1041" s="76"/>
      <c r="Q1041" s="76"/>
      <c r="R1041" s="76"/>
      <c r="S1041" s="76"/>
      <c r="T1041" s="76"/>
      <c r="U1041" s="76"/>
      <c r="V1041" s="76"/>
      <c r="W1041" s="76"/>
      <c r="X1041" s="76"/>
      <c r="Y1041" s="76"/>
      <c r="Z1041" s="76"/>
      <c r="AA1041" s="76"/>
      <c r="AB1041" s="76"/>
      <c r="AC1041" s="76"/>
      <c r="AD1041" s="76"/>
      <c r="AE1041" s="76"/>
      <c r="AF1041" s="76"/>
      <c r="AG1041" s="76"/>
      <c r="AH1041" s="76"/>
      <c r="AI1041" s="76"/>
      <c r="AJ1041" s="76"/>
    </row>
    <row r="1042" spans="1:36" ht="12.75">
      <c r="A1042" s="7" t="s">
        <v>1943</v>
      </c>
      <c r="B1042" s="7"/>
      <c r="C1042" s="74" t="s">
        <v>1944</v>
      </c>
      <c r="D1042" s="74" t="s">
        <v>108</v>
      </c>
      <c r="E1042" s="146">
        <v>715640703</v>
      </c>
      <c r="F1042" s="7" t="s">
        <v>1945</v>
      </c>
      <c r="G1042" s="7"/>
      <c r="H1042" s="74" t="s">
        <v>1946</v>
      </c>
      <c r="I1042" s="75" t="s">
        <v>1947</v>
      </c>
      <c r="J1042" s="74">
        <v>725393939</v>
      </c>
      <c r="K1042" s="74" t="s">
        <v>1750</v>
      </c>
      <c r="L1042" s="74"/>
      <c r="M1042" s="74"/>
      <c r="N1042" s="74"/>
      <c r="O1042" s="76"/>
      <c r="P1042" s="76"/>
      <c r="Q1042" s="76"/>
      <c r="R1042" s="76"/>
      <c r="S1042" s="76"/>
      <c r="T1042" s="76"/>
      <c r="U1042" s="76"/>
      <c r="V1042" s="76"/>
      <c r="W1042" s="76"/>
      <c r="X1042" s="76"/>
      <c r="Y1042" s="76"/>
      <c r="Z1042" s="76"/>
      <c r="AA1042" s="76"/>
      <c r="AB1042" s="76"/>
      <c r="AC1042" s="76"/>
      <c r="AD1042" s="76"/>
      <c r="AE1042" s="76"/>
      <c r="AF1042" s="76"/>
      <c r="AG1042" s="76"/>
      <c r="AH1042" s="76"/>
      <c r="AI1042" s="76"/>
      <c r="AJ1042" s="76"/>
    </row>
    <row r="1043" spans="1:36" ht="12.75">
      <c r="A1043" s="7" t="s">
        <v>1948</v>
      </c>
      <c r="B1043" s="7"/>
      <c r="C1043" s="74" t="s">
        <v>1949</v>
      </c>
      <c r="D1043" s="74" t="s">
        <v>242</v>
      </c>
      <c r="E1043" s="146">
        <v>746812575</v>
      </c>
      <c r="F1043" s="7" t="s">
        <v>1950</v>
      </c>
      <c r="G1043" s="7"/>
      <c r="H1043" s="74" t="s">
        <v>1951</v>
      </c>
      <c r="I1043" s="75" t="s">
        <v>218</v>
      </c>
      <c r="J1043" s="74">
        <v>799861987</v>
      </c>
      <c r="K1043" s="74" t="s">
        <v>1952</v>
      </c>
      <c r="L1043" s="74"/>
      <c r="M1043" s="74"/>
      <c r="N1043" s="74"/>
      <c r="O1043" s="76"/>
      <c r="P1043" s="76"/>
      <c r="Q1043" s="76"/>
      <c r="R1043" s="76"/>
      <c r="S1043" s="76"/>
      <c r="T1043" s="76"/>
      <c r="U1043" s="76"/>
      <c r="V1043" s="76"/>
      <c r="W1043" s="76"/>
      <c r="X1043" s="76"/>
      <c r="Y1043" s="76"/>
      <c r="Z1043" s="76"/>
      <c r="AA1043" s="76"/>
      <c r="AB1043" s="76"/>
      <c r="AC1043" s="76"/>
      <c r="AD1043" s="76"/>
      <c r="AE1043" s="76"/>
      <c r="AF1043" s="76"/>
      <c r="AG1043" s="76"/>
      <c r="AH1043" s="76"/>
      <c r="AI1043" s="76"/>
      <c r="AJ1043" s="76"/>
    </row>
    <row r="1044" spans="1:36" ht="12.75">
      <c r="A1044" s="74" t="s">
        <v>1957</v>
      </c>
      <c r="B1044" s="74"/>
      <c r="C1044" s="74" t="s">
        <v>1958</v>
      </c>
      <c r="D1044" s="74" t="s">
        <v>1829</v>
      </c>
      <c r="E1044" s="146">
        <v>111950947</v>
      </c>
      <c r="F1044" s="7" t="s">
        <v>1959</v>
      </c>
      <c r="G1044" s="7"/>
      <c r="H1044" s="74" t="s">
        <v>1960</v>
      </c>
      <c r="I1044" s="75" t="s">
        <v>218</v>
      </c>
      <c r="K1044" s="76"/>
      <c r="L1044" s="76"/>
      <c r="M1044" s="76"/>
      <c r="N1044" s="76"/>
      <c r="O1044" s="76"/>
      <c r="P1044" s="76"/>
      <c r="Q1044" s="76"/>
      <c r="R1044" s="76"/>
      <c r="S1044" s="76"/>
      <c r="T1044" s="76"/>
      <c r="U1044" s="76"/>
      <c r="V1044" s="76"/>
      <c r="W1044" s="76"/>
      <c r="X1044" s="76"/>
      <c r="Y1044" s="76"/>
      <c r="Z1044" s="76"/>
      <c r="AA1044" s="76"/>
      <c r="AB1044" s="76"/>
      <c r="AC1044" s="76"/>
      <c r="AD1044" s="76"/>
      <c r="AE1044" s="76"/>
      <c r="AF1044" s="76"/>
      <c r="AG1044" s="76"/>
      <c r="AH1044" s="76"/>
      <c r="AI1044" s="76"/>
      <c r="AJ1044" s="76"/>
    </row>
    <row r="1045" spans="1:36" ht="12.75">
      <c r="A1045" s="273" t="s">
        <v>1961</v>
      </c>
      <c r="B1045" s="273"/>
      <c r="C1045" s="74" t="s">
        <v>1962</v>
      </c>
      <c r="D1045" s="74" t="s">
        <v>108</v>
      </c>
      <c r="E1045" s="146">
        <v>729128465</v>
      </c>
      <c r="F1045" s="7" t="s">
        <v>1963</v>
      </c>
      <c r="G1045" s="7"/>
      <c r="H1045" s="74" t="s">
        <v>1964</v>
      </c>
      <c r="I1045" s="75" t="s">
        <v>218</v>
      </c>
      <c r="J1045" s="74" t="s">
        <v>1965</v>
      </c>
      <c r="K1045" s="74" t="s">
        <v>1966</v>
      </c>
      <c r="L1045" s="74"/>
      <c r="M1045" s="74"/>
      <c r="N1045" s="74"/>
      <c r="O1045" s="76"/>
      <c r="P1045" s="76"/>
      <c r="Q1045" s="76"/>
      <c r="R1045" s="76"/>
      <c r="S1045" s="76"/>
      <c r="T1045" s="76"/>
      <c r="U1045" s="76"/>
      <c r="V1045" s="76"/>
      <c r="W1045" s="76"/>
      <c r="X1045" s="76"/>
      <c r="Y1045" s="76"/>
      <c r="Z1045" s="76"/>
      <c r="AA1045" s="76"/>
      <c r="AB1045" s="76"/>
      <c r="AC1045" s="76"/>
      <c r="AD1045" s="76"/>
      <c r="AE1045" s="76"/>
      <c r="AF1045" s="76"/>
      <c r="AG1045" s="76"/>
      <c r="AH1045" s="76"/>
      <c r="AI1045" s="76"/>
      <c r="AJ1045" s="76"/>
    </row>
    <row r="1046" spans="1:36" ht="12.75">
      <c r="A1046" s="74" t="s">
        <v>1967</v>
      </c>
      <c r="B1046" s="74"/>
      <c r="C1046" s="74" t="s">
        <v>1968</v>
      </c>
      <c r="D1046" s="74" t="s">
        <v>266</v>
      </c>
      <c r="E1046" s="146">
        <v>110471855</v>
      </c>
      <c r="F1046" s="7" t="s">
        <v>1969</v>
      </c>
      <c r="G1046" s="7"/>
      <c r="H1046" s="74" t="s">
        <v>1970</v>
      </c>
      <c r="I1046" s="75" t="s">
        <v>1971</v>
      </c>
      <c r="J1046" s="74">
        <v>723137930</v>
      </c>
      <c r="K1046" s="74" t="s">
        <v>1972</v>
      </c>
      <c r="L1046" s="74"/>
      <c r="M1046" s="74"/>
      <c r="N1046" s="74"/>
      <c r="O1046" s="76"/>
      <c r="P1046" s="76"/>
      <c r="Q1046" s="76"/>
      <c r="R1046" s="76"/>
      <c r="S1046" s="76"/>
      <c r="T1046" s="76"/>
      <c r="U1046" s="76"/>
      <c r="V1046" s="76"/>
      <c r="W1046" s="76"/>
      <c r="X1046" s="76"/>
      <c r="Y1046" s="76"/>
      <c r="Z1046" s="76"/>
      <c r="AA1046" s="76"/>
      <c r="AB1046" s="76"/>
      <c r="AC1046" s="76"/>
      <c r="AD1046" s="76"/>
      <c r="AE1046" s="76"/>
      <c r="AF1046" s="76"/>
      <c r="AG1046" s="76"/>
      <c r="AH1046" s="76"/>
      <c r="AI1046" s="76"/>
      <c r="AJ1046" s="76"/>
    </row>
    <row r="1047" spans="1:36" ht="12.75">
      <c r="A1047" s="74" t="s">
        <v>1973</v>
      </c>
      <c r="B1047" s="74"/>
      <c r="C1047" s="74" t="s">
        <v>1974</v>
      </c>
      <c r="D1047" s="285" t="s">
        <v>508</v>
      </c>
      <c r="E1047" s="146">
        <v>717214255</v>
      </c>
      <c r="F1047" s="7" t="s">
        <v>1975</v>
      </c>
      <c r="G1047" s="7"/>
      <c r="H1047" s="74" t="s">
        <v>2980</v>
      </c>
      <c r="I1047" s="75" t="s">
        <v>1686</v>
      </c>
      <c r="J1047" s="74">
        <v>712585874</v>
      </c>
      <c r="K1047" s="74" t="s">
        <v>1977</v>
      </c>
      <c r="L1047" s="74"/>
      <c r="M1047" s="74"/>
      <c r="N1047" s="74"/>
      <c r="O1047" s="76"/>
      <c r="P1047" s="76"/>
      <c r="Q1047" s="76"/>
      <c r="R1047" s="76"/>
      <c r="S1047" s="76"/>
      <c r="T1047" s="76"/>
      <c r="U1047" s="76"/>
      <c r="V1047" s="76"/>
      <c r="W1047" s="76"/>
      <c r="X1047" s="76"/>
      <c r="Y1047" s="76"/>
      <c r="Z1047" s="76"/>
      <c r="AA1047" s="76"/>
      <c r="AB1047" s="76"/>
      <c r="AC1047" s="76"/>
      <c r="AD1047" s="76"/>
      <c r="AE1047" s="76"/>
      <c r="AF1047" s="76"/>
      <c r="AG1047" s="76"/>
      <c r="AH1047" s="76"/>
      <c r="AI1047" s="76"/>
      <c r="AJ1047" s="76"/>
    </row>
    <row r="1048" spans="1:36" ht="12.75">
      <c r="A1048" s="74" t="s">
        <v>1978</v>
      </c>
      <c r="B1048" s="74"/>
      <c r="C1048" s="74" t="s">
        <v>1979</v>
      </c>
      <c r="D1048" s="96" t="s">
        <v>1980</v>
      </c>
      <c r="E1048" s="146">
        <v>748247150</v>
      </c>
      <c r="F1048" s="7" t="s">
        <v>1981</v>
      </c>
      <c r="G1048" s="7"/>
      <c r="H1048" s="74" t="s">
        <v>1982</v>
      </c>
      <c r="I1048" s="75" t="s">
        <v>916</v>
      </c>
      <c r="J1048" s="74">
        <v>727564582</v>
      </c>
      <c r="K1048" s="148" t="s">
        <v>3567</v>
      </c>
      <c r="L1048" s="173"/>
      <c r="M1048" s="173"/>
      <c r="N1048" s="173"/>
      <c r="O1048" s="76"/>
      <c r="P1048" s="76"/>
      <c r="Q1048" s="76"/>
      <c r="R1048" s="76"/>
      <c r="S1048" s="76"/>
      <c r="T1048" s="76"/>
      <c r="U1048" s="76"/>
      <c r="V1048" s="76"/>
      <c r="W1048" s="76"/>
      <c r="X1048" s="76"/>
      <c r="Y1048" s="76"/>
      <c r="Z1048" s="76"/>
      <c r="AA1048" s="76"/>
      <c r="AB1048" s="76"/>
      <c r="AC1048" s="76"/>
      <c r="AD1048" s="76"/>
      <c r="AE1048" s="76"/>
      <c r="AF1048" s="76"/>
      <c r="AG1048" s="76"/>
      <c r="AH1048" s="76"/>
      <c r="AI1048" s="76"/>
      <c r="AJ1048" s="76"/>
    </row>
    <row r="1049" spans="1:36" ht="15.75" customHeight="1">
      <c r="A1049" s="74" t="s">
        <v>1984</v>
      </c>
      <c r="B1049" s="74"/>
      <c r="C1049" s="74" t="s">
        <v>1985</v>
      </c>
      <c r="D1049" s="273" t="s">
        <v>395</v>
      </c>
      <c r="E1049" s="146">
        <v>759270210</v>
      </c>
      <c r="F1049" s="7" t="s">
        <v>1986</v>
      </c>
      <c r="G1049" s="7"/>
      <c r="H1049" s="74" t="s">
        <v>1987</v>
      </c>
      <c r="I1049" s="75" t="s">
        <v>100</v>
      </c>
      <c r="J1049" s="74">
        <v>771067992</v>
      </c>
      <c r="K1049" s="74" t="s">
        <v>1988</v>
      </c>
      <c r="L1049" s="74"/>
      <c r="M1049" s="74"/>
      <c r="N1049" s="74"/>
      <c r="O1049" s="76"/>
      <c r="P1049" s="76"/>
      <c r="Q1049" s="76"/>
      <c r="R1049" s="76"/>
      <c r="S1049" s="76"/>
      <c r="T1049" s="76"/>
      <c r="U1049" s="76"/>
      <c r="V1049" s="76"/>
      <c r="W1049" s="76"/>
      <c r="X1049" s="76"/>
      <c r="Y1049" s="76"/>
      <c r="Z1049" s="76"/>
      <c r="AA1049" s="76"/>
      <c r="AB1049" s="76"/>
      <c r="AC1049" s="76"/>
      <c r="AD1049" s="76"/>
      <c r="AE1049" s="76"/>
      <c r="AF1049" s="76"/>
      <c r="AG1049" s="76"/>
      <c r="AH1049" s="76"/>
      <c r="AI1049" s="76"/>
      <c r="AJ1049" s="76"/>
    </row>
    <row r="1050" spans="1:36" ht="15">
      <c r="A1050" s="74" t="s">
        <v>1989</v>
      </c>
      <c r="B1050" s="74"/>
      <c r="C1050" s="74" t="s">
        <v>1990</v>
      </c>
      <c r="D1050" s="273" t="s">
        <v>1991</v>
      </c>
      <c r="E1050" s="146">
        <v>113795338</v>
      </c>
      <c r="F1050" s="20" t="s">
        <v>1992</v>
      </c>
      <c r="G1050" s="20"/>
      <c r="H1050" s="74" t="s">
        <v>1993</v>
      </c>
      <c r="I1050" s="75" t="s">
        <v>1994</v>
      </c>
      <c r="J1050" s="74">
        <v>202660859</v>
      </c>
      <c r="K1050" s="74" t="s">
        <v>1995</v>
      </c>
      <c r="L1050" s="74"/>
      <c r="M1050" s="74"/>
      <c r="N1050" s="74"/>
      <c r="O1050" s="76"/>
      <c r="P1050" s="76"/>
      <c r="Q1050" s="76"/>
      <c r="R1050" s="76"/>
      <c r="S1050" s="76"/>
      <c r="T1050" s="76"/>
      <c r="U1050" s="76"/>
      <c r="V1050" s="76"/>
      <c r="W1050" s="76"/>
      <c r="X1050" s="76"/>
      <c r="Y1050" s="76"/>
      <c r="Z1050" s="76"/>
      <c r="AA1050" s="76"/>
      <c r="AB1050" s="76"/>
      <c r="AC1050" s="76"/>
      <c r="AD1050" s="76"/>
      <c r="AE1050" s="76"/>
      <c r="AF1050" s="76"/>
      <c r="AG1050" s="76"/>
      <c r="AH1050" s="76"/>
      <c r="AI1050" s="76"/>
      <c r="AJ1050" s="76"/>
    </row>
    <row r="1051" spans="1:36" ht="12.75">
      <c r="A1051" s="74" t="s">
        <v>1996</v>
      </c>
      <c r="B1051" s="74"/>
      <c r="C1051" s="74" t="s">
        <v>1997</v>
      </c>
      <c r="D1051" s="286" t="s">
        <v>2982</v>
      </c>
      <c r="E1051" s="146">
        <v>115730595</v>
      </c>
      <c r="F1051" s="7" t="s">
        <v>1999</v>
      </c>
      <c r="G1051" s="7"/>
      <c r="H1051" s="74" t="s">
        <v>2000</v>
      </c>
      <c r="I1051" s="75" t="s">
        <v>2001</v>
      </c>
      <c r="J1051" s="74">
        <v>754900551</v>
      </c>
      <c r="K1051" s="74" t="s">
        <v>1892</v>
      </c>
      <c r="L1051" s="74"/>
      <c r="M1051" s="74"/>
      <c r="N1051" s="74"/>
      <c r="O1051" s="76"/>
      <c r="P1051" s="76"/>
      <c r="Q1051" s="76"/>
      <c r="R1051" s="76"/>
      <c r="S1051" s="76"/>
      <c r="T1051" s="76"/>
      <c r="U1051" s="76"/>
      <c r="V1051" s="76"/>
      <c r="W1051" s="76"/>
      <c r="X1051" s="76"/>
      <c r="Y1051" s="76"/>
      <c r="Z1051" s="76"/>
      <c r="AA1051" s="76"/>
      <c r="AB1051" s="76"/>
      <c r="AC1051" s="76"/>
      <c r="AD1051" s="76"/>
      <c r="AE1051" s="76"/>
      <c r="AF1051" s="76"/>
      <c r="AG1051" s="76"/>
      <c r="AH1051" s="76"/>
      <c r="AI1051" s="76"/>
      <c r="AJ1051" s="76"/>
    </row>
    <row r="1052" spans="1:36" ht="12.75">
      <c r="A1052" s="74" t="s">
        <v>2002</v>
      </c>
      <c r="B1052" s="74"/>
      <c r="C1052" s="74" t="s">
        <v>2003</v>
      </c>
      <c r="D1052" s="74" t="s">
        <v>341</v>
      </c>
      <c r="E1052" s="146">
        <v>114133708</v>
      </c>
      <c r="F1052" s="7" t="s">
        <v>2004</v>
      </c>
      <c r="G1052" s="7"/>
      <c r="H1052" s="74" t="s">
        <v>2005</v>
      </c>
      <c r="I1052" s="75" t="s">
        <v>504</v>
      </c>
      <c r="J1052" s="74">
        <v>743809434</v>
      </c>
      <c r="K1052" s="74" t="s">
        <v>2006</v>
      </c>
      <c r="L1052" s="74"/>
      <c r="M1052" s="74"/>
      <c r="N1052" s="74"/>
      <c r="O1052" s="76"/>
      <c r="P1052" s="76"/>
      <c r="Q1052" s="76"/>
      <c r="R1052" s="76"/>
      <c r="S1052" s="76"/>
      <c r="T1052" s="76"/>
      <c r="U1052" s="76"/>
      <c r="V1052" s="76"/>
      <c r="W1052" s="76"/>
      <c r="X1052" s="76"/>
      <c r="Y1052" s="76"/>
      <c r="Z1052" s="76"/>
      <c r="AA1052" s="76"/>
      <c r="AB1052" s="76"/>
      <c r="AC1052" s="76"/>
      <c r="AD1052" s="76"/>
      <c r="AE1052" s="76"/>
      <c r="AF1052" s="76"/>
      <c r="AG1052" s="76"/>
      <c r="AH1052" s="76"/>
      <c r="AI1052" s="76"/>
      <c r="AJ1052" s="76"/>
    </row>
    <row r="1053" spans="1:36" ht="12.75">
      <c r="A1053" s="74" t="s">
        <v>2007</v>
      </c>
      <c r="B1053" s="74"/>
      <c r="C1053" s="74" t="s">
        <v>2008</v>
      </c>
      <c r="D1053" s="74" t="s">
        <v>2983</v>
      </c>
      <c r="E1053" s="146">
        <v>703925256</v>
      </c>
      <c r="F1053" s="7" t="s">
        <v>2010</v>
      </c>
      <c r="G1053" s="7"/>
      <c r="H1053" s="74" t="s">
        <v>2011</v>
      </c>
      <c r="I1053" s="75" t="s">
        <v>1429</v>
      </c>
      <c r="J1053" s="74">
        <v>754900551</v>
      </c>
      <c r="K1053" s="74" t="s">
        <v>1892</v>
      </c>
      <c r="L1053" s="74"/>
      <c r="M1053" s="74"/>
      <c r="N1053" s="74"/>
      <c r="O1053" s="76"/>
      <c r="P1053" s="76"/>
      <c r="Q1053" s="76"/>
      <c r="R1053" s="76"/>
      <c r="S1053" s="76"/>
      <c r="T1053" s="76"/>
      <c r="U1053" s="76"/>
      <c r="V1053" s="76"/>
      <c r="W1053" s="76"/>
      <c r="X1053" s="76"/>
      <c r="Y1053" s="76"/>
      <c r="Z1053" s="76"/>
      <c r="AA1053" s="76"/>
      <c r="AB1053" s="76"/>
      <c r="AC1053" s="76"/>
      <c r="AD1053" s="76"/>
      <c r="AE1053" s="76"/>
      <c r="AF1053" s="76"/>
      <c r="AG1053" s="76"/>
      <c r="AH1053" s="76"/>
      <c r="AI1053" s="76"/>
      <c r="AJ1053" s="76"/>
    </row>
    <row r="1054" spans="1:36" ht="12.75">
      <c r="A1054" s="74" t="s">
        <v>2012</v>
      </c>
      <c r="B1054" s="74"/>
      <c r="C1054" s="74" t="s">
        <v>2013</v>
      </c>
      <c r="D1054" s="74" t="s">
        <v>2014</v>
      </c>
      <c r="E1054" s="146">
        <v>799574404</v>
      </c>
      <c r="F1054" s="7" t="s">
        <v>2015</v>
      </c>
      <c r="G1054" s="7"/>
      <c r="H1054" s="74" t="s">
        <v>2016</v>
      </c>
      <c r="I1054" s="75" t="s">
        <v>2017</v>
      </c>
      <c r="J1054" s="74">
        <v>730241000</v>
      </c>
      <c r="K1054" s="74" t="s">
        <v>2018</v>
      </c>
      <c r="L1054" s="74"/>
      <c r="M1054" s="74"/>
      <c r="N1054" s="74"/>
      <c r="O1054" s="76"/>
      <c r="P1054" s="76"/>
      <c r="Q1054" s="76"/>
      <c r="R1054" s="76"/>
      <c r="S1054" s="76"/>
      <c r="T1054" s="76"/>
      <c r="U1054" s="76"/>
      <c r="V1054" s="76"/>
      <c r="W1054" s="76"/>
      <c r="X1054" s="76"/>
      <c r="Y1054" s="76"/>
      <c r="Z1054" s="76"/>
      <c r="AA1054" s="76"/>
      <c r="AB1054" s="76"/>
      <c r="AC1054" s="76"/>
      <c r="AD1054" s="76"/>
      <c r="AE1054" s="76"/>
      <c r="AF1054" s="76"/>
      <c r="AG1054" s="76"/>
      <c r="AH1054" s="76"/>
      <c r="AI1054" s="76"/>
      <c r="AJ1054" s="76"/>
    </row>
    <row r="1055" spans="1:36" ht="12.75">
      <c r="A1055" s="74" t="s">
        <v>2019</v>
      </c>
      <c r="B1055" s="74"/>
      <c r="C1055" s="74" t="s">
        <v>2020</v>
      </c>
      <c r="D1055" s="74" t="s">
        <v>2014</v>
      </c>
      <c r="E1055" s="146">
        <v>745594951</v>
      </c>
      <c r="F1055" s="7" t="s">
        <v>2021</v>
      </c>
      <c r="G1055" s="7"/>
      <c r="H1055" s="74" t="s">
        <v>2022</v>
      </c>
      <c r="I1055" s="75" t="s">
        <v>1793</v>
      </c>
      <c r="J1055" s="74">
        <v>725766905</v>
      </c>
      <c r="K1055" s="74" t="s">
        <v>2023</v>
      </c>
      <c r="L1055" s="74"/>
      <c r="M1055" s="74"/>
      <c r="N1055" s="74"/>
      <c r="O1055" s="76"/>
      <c r="P1055" s="76"/>
      <c r="Q1055" s="76"/>
      <c r="R1055" s="76"/>
      <c r="S1055" s="76"/>
      <c r="T1055" s="76"/>
      <c r="U1055" s="76"/>
      <c r="V1055" s="76"/>
      <c r="W1055" s="76"/>
      <c r="X1055" s="76"/>
      <c r="Y1055" s="76"/>
      <c r="Z1055" s="76"/>
      <c r="AA1055" s="76"/>
      <c r="AB1055" s="76"/>
      <c r="AC1055" s="76"/>
      <c r="AD1055" s="76"/>
      <c r="AE1055" s="76"/>
      <c r="AF1055" s="76"/>
      <c r="AG1055" s="76"/>
      <c r="AH1055" s="76"/>
      <c r="AI1055" s="76"/>
      <c r="AJ1055" s="76"/>
    </row>
    <row r="1056" spans="1:36" ht="12.75">
      <c r="A1056" s="74" t="s">
        <v>2024</v>
      </c>
      <c r="B1056" s="74"/>
      <c r="C1056" s="74" t="s">
        <v>2025</v>
      </c>
      <c r="D1056" s="74" t="s">
        <v>341</v>
      </c>
      <c r="E1056" s="146">
        <v>112585915</v>
      </c>
      <c r="F1056" s="7" t="s">
        <v>342</v>
      </c>
      <c r="G1056" s="7"/>
      <c r="H1056" s="74" t="s">
        <v>2026</v>
      </c>
      <c r="I1056" s="75"/>
      <c r="J1056" s="74">
        <v>715364294</v>
      </c>
      <c r="K1056" s="74" t="s">
        <v>2027</v>
      </c>
      <c r="L1056" s="74"/>
      <c r="M1056" s="74"/>
      <c r="N1056" s="74"/>
      <c r="O1056" s="76"/>
      <c r="P1056" s="76"/>
      <c r="Q1056" s="76"/>
      <c r="R1056" s="76"/>
      <c r="S1056" s="76"/>
      <c r="T1056" s="76"/>
      <c r="U1056" s="76"/>
      <c r="V1056" s="76"/>
      <c r="W1056" s="76"/>
      <c r="X1056" s="76"/>
      <c r="Y1056" s="76"/>
      <c r="Z1056" s="76"/>
      <c r="AA1056" s="76"/>
      <c r="AB1056" s="76"/>
      <c r="AC1056" s="76"/>
      <c r="AD1056" s="76"/>
      <c r="AE1056" s="76"/>
      <c r="AF1056" s="76"/>
      <c r="AG1056" s="76"/>
      <c r="AH1056" s="76"/>
      <c r="AI1056" s="76"/>
      <c r="AJ1056" s="76"/>
    </row>
    <row r="1057" spans="1:36" ht="12.75">
      <c r="A1057" s="74" t="s">
        <v>2028</v>
      </c>
      <c r="B1057" s="74"/>
      <c r="C1057" s="74" t="s">
        <v>2029</v>
      </c>
      <c r="D1057" s="74" t="s">
        <v>227</v>
      </c>
      <c r="E1057" s="146">
        <v>741475935</v>
      </c>
      <c r="F1057" s="7" t="s">
        <v>2030</v>
      </c>
      <c r="G1057" s="7"/>
      <c r="H1057" s="74" t="s">
        <v>2031</v>
      </c>
      <c r="I1057" s="75" t="s">
        <v>65</v>
      </c>
      <c r="J1057" s="74">
        <v>723457647</v>
      </c>
      <c r="K1057" s="74" t="s">
        <v>2032</v>
      </c>
      <c r="L1057" s="74"/>
      <c r="M1057" s="74"/>
      <c r="N1057" s="74"/>
      <c r="O1057" s="76"/>
      <c r="P1057" s="76"/>
      <c r="Q1057" s="76"/>
      <c r="R1057" s="76"/>
      <c r="S1057" s="76"/>
      <c r="T1057" s="76"/>
      <c r="U1057" s="76"/>
      <c r="V1057" s="76"/>
      <c r="W1057" s="76"/>
      <c r="X1057" s="76"/>
      <c r="Y1057" s="76"/>
      <c r="Z1057" s="76"/>
      <c r="AA1057" s="76"/>
      <c r="AB1057" s="76"/>
      <c r="AC1057" s="76"/>
      <c r="AD1057" s="76"/>
      <c r="AE1057" s="76"/>
      <c r="AF1057" s="76"/>
      <c r="AG1057" s="76"/>
      <c r="AH1057" s="76"/>
      <c r="AI1057" s="76"/>
      <c r="AJ1057" s="76"/>
    </row>
    <row r="1058" spans="1:36" ht="12.75">
      <c r="A1058" s="96" t="s">
        <v>2033</v>
      </c>
      <c r="B1058" s="96"/>
      <c r="C1058" s="96" t="s">
        <v>2034</v>
      </c>
      <c r="D1058" s="74" t="s">
        <v>227</v>
      </c>
      <c r="E1058" s="146">
        <v>719319834</v>
      </c>
      <c r="F1058" s="7" t="s">
        <v>1132</v>
      </c>
      <c r="G1058" s="7"/>
      <c r="H1058" s="74" t="s">
        <v>2035</v>
      </c>
      <c r="I1058" s="75" t="s">
        <v>858</v>
      </c>
      <c r="J1058" s="74">
        <v>7202582237</v>
      </c>
      <c r="K1058" s="74" t="s">
        <v>180</v>
      </c>
      <c r="L1058" s="74"/>
      <c r="M1058" s="74"/>
      <c r="N1058" s="74"/>
      <c r="O1058" s="76"/>
      <c r="P1058" s="76"/>
      <c r="Q1058" s="76"/>
      <c r="R1058" s="76"/>
      <c r="S1058" s="76"/>
      <c r="T1058" s="76"/>
      <c r="U1058" s="76"/>
      <c r="V1058" s="76"/>
      <c r="W1058" s="76"/>
      <c r="X1058" s="76"/>
      <c r="Y1058" s="76"/>
      <c r="Z1058" s="76"/>
      <c r="AA1058" s="76"/>
      <c r="AB1058" s="76"/>
      <c r="AC1058" s="76"/>
      <c r="AD1058" s="76"/>
      <c r="AE1058" s="76"/>
      <c r="AF1058" s="76"/>
      <c r="AG1058" s="76"/>
      <c r="AH1058" s="76"/>
      <c r="AI1058" s="76"/>
      <c r="AJ1058" s="76"/>
    </row>
    <row r="1059" spans="1:36" ht="12.75">
      <c r="A1059" s="74" t="s">
        <v>679</v>
      </c>
      <c r="B1059" s="74"/>
      <c r="C1059" s="74" t="s">
        <v>2037</v>
      </c>
      <c r="D1059" s="74" t="s">
        <v>2038</v>
      </c>
      <c r="E1059" s="146">
        <v>704542249</v>
      </c>
      <c r="F1059" s="7" t="s">
        <v>2039</v>
      </c>
      <c r="G1059" s="7"/>
      <c r="H1059" s="74" t="s">
        <v>613</v>
      </c>
      <c r="I1059" s="75" t="s">
        <v>59</v>
      </c>
      <c r="J1059" s="76"/>
      <c r="K1059" s="74" t="s">
        <v>612</v>
      </c>
      <c r="L1059" s="74"/>
      <c r="M1059" s="74"/>
      <c r="N1059" s="74"/>
      <c r="O1059" s="76"/>
      <c r="P1059" s="76"/>
      <c r="Q1059" s="76"/>
      <c r="R1059" s="76"/>
      <c r="S1059" s="76"/>
      <c r="T1059" s="76"/>
      <c r="U1059" s="76"/>
      <c r="V1059" s="76"/>
      <c r="W1059" s="76"/>
      <c r="X1059" s="76"/>
      <c r="Y1059" s="76"/>
      <c r="Z1059" s="76"/>
      <c r="AA1059" s="76"/>
      <c r="AB1059" s="76"/>
      <c r="AC1059" s="76"/>
      <c r="AD1059" s="76"/>
      <c r="AE1059" s="76"/>
      <c r="AF1059" s="76"/>
      <c r="AG1059" s="76"/>
      <c r="AH1059" s="76"/>
      <c r="AI1059" s="76"/>
      <c r="AJ1059" s="76"/>
    </row>
    <row r="1060" spans="1:36" ht="12.75">
      <c r="A1060" s="74" t="s">
        <v>2040</v>
      </c>
      <c r="B1060" s="74"/>
      <c r="C1060" s="74" t="s">
        <v>2041</v>
      </c>
      <c r="D1060" s="74" t="s">
        <v>227</v>
      </c>
      <c r="E1060" s="146">
        <v>703498941</v>
      </c>
      <c r="F1060" s="7" t="s">
        <v>1107</v>
      </c>
      <c r="G1060" s="7"/>
      <c r="H1060" s="74" t="s">
        <v>2042</v>
      </c>
      <c r="I1060" s="75" t="s">
        <v>14</v>
      </c>
      <c r="J1060" s="76">
        <f>254710453693</f>
        <v>254710453693</v>
      </c>
      <c r="K1060" s="74" t="s">
        <v>105</v>
      </c>
      <c r="L1060" s="74"/>
      <c r="M1060" s="74"/>
      <c r="N1060" s="74"/>
      <c r="O1060" s="76"/>
      <c r="P1060" s="76"/>
      <c r="Q1060" s="76"/>
      <c r="R1060" s="76"/>
      <c r="S1060" s="76"/>
      <c r="T1060" s="76"/>
      <c r="U1060" s="76"/>
      <c r="V1060" s="76"/>
      <c r="W1060" s="76"/>
      <c r="X1060" s="76"/>
      <c r="Y1060" s="76"/>
      <c r="Z1060" s="76"/>
      <c r="AA1060" s="76"/>
      <c r="AB1060" s="76"/>
      <c r="AC1060" s="76"/>
      <c r="AD1060" s="76"/>
      <c r="AE1060" s="76"/>
      <c r="AF1060" s="76"/>
      <c r="AG1060" s="76"/>
      <c r="AH1060" s="76"/>
      <c r="AI1060" s="76"/>
      <c r="AJ1060" s="76"/>
    </row>
    <row r="1061" spans="1:36" ht="12.75">
      <c r="A1061" s="74" t="s">
        <v>2043</v>
      </c>
      <c r="B1061" s="74"/>
      <c r="C1061" s="74" t="s">
        <v>2044</v>
      </c>
      <c r="D1061" s="74" t="s">
        <v>2045</v>
      </c>
      <c r="E1061" s="146">
        <v>722520011</v>
      </c>
      <c r="F1061" s="7" t="s">
        <v>2046</v>
      </c>
      <c r="G1061" s="7"/>
      <c r="H1061" s="74" t="s">
        <v>2047</v>
      </c>
      <c r="I1061" s="75" t="s">
        <v>218</v>
      </c>
      <c r="J1061" s="74">
        <v>254702938420</v>
      </c>
      <c r="K1061" s="74" t="s">
        <v>1903</v>
      </c>
      <c r="L1061" s="74"/>
      <c r="M1061" s="74"/>
      <c r="N1061" s="74"/>
      <c r="O1061" s="76"/>
      <c r="P1061" s="76"/>
      <c r="Q1061" s="76"/>
      <c r="R1061" s="76"/>
      <c r="S1061" s="76"/>
      <c r="T1061" s="76"/>
      <c r="U1061" s="76"/>
      <c r="V1061" s="76"/>
      <c r="W1061" s="76"/>
      <c r="X1061" s="76"/>
      <c r="Y1061" s="76"/>
      <c r="Z1061" s="76"/>
      <c r="AA1061" s="76"/>
      <c r="AB1061" s="76"/>
      <c r="AC1061" s="76"/>
      <c r="AD1061" s="76"/>
      <c r="AE1061" s="76"/>
      <c r="AF1061" s="76"/>
      <c r="AG1061" s="76"/>
      <c r="AH1061" s="76"/>
      <c r="AI1061" s="76"/>
      <c r="AJ1061" s="76"/>
    </row>
    <row r="1062" spans="1:36" ht="12.75">
      <c r="A1062" s="74" t="s">
        <v>2048</v>
      </c>
      <c r="B1062" s="74"/>
      <c r="C1062" s="74" t="s">
        <v>2049</v>
      </c>
      <c r="D1062" s="74" t="s">
        <v>83</v>
      </c>
      <c r="E1062" s="146">
        <v>769377947</v>
      </c>
      <c r="F1062" s="7" t="s">
        <v>2050</v>
      </c>
      <c r="G1062" s="7"/>
      <c r="H1062" s="74" t="s">
        <v>2051</v>
      </c>
      <c r="I1062" s="75" t="s">
        <v>964</v>
      </c>
      <c r="J1062" s="74">
        <v>788232004</v>
      </c>
      <c r="K1062" s="74" t="s">
        <v>2052</v>
      </c>
      <c r="L1062" s="74"/>
      <c r="M1062" s="74"/>
      <c r="N1062" s="74"/>
      <c r="O1062" s="76"/>
      <c r="P1062" s="76"/>
      <c r="Q1062" s="76"/>
      <c r="R1062" s="76"/>
      <c r="S1062" s="76"/>
      <c r="T1062" s="76"/>
      <c r="U1062" s="76"/>
      <c r="V1062" s="76"/>
      <c r="W1062" s="76"/>
      <c r="X1062" s="76"/>
      <c r="Y1062" s="76"/>
      <c r="Z1062" s="76"/>
      <c r="AA1062" s="76"/>
      <c r="AB1062" s="76"/>
      <c r="AC1062" s="76"/>
      <c r="AD1062" s="76"/>
      <c r="AE1062" s="76"/>
      <c r="AF1062" s="76"/>
      <c r="AG1062" s="76"/>
      <c r="AH1062" s="76"/>
      <c r="AI1062" s="76"/>
      <c r="AJ1062" s="76"/>
    </row>
    <row r="1063" spans="1:36" ht="12.75">
      <c r="A1063" s="74" t="s">
        <v>2053</v>
      </c>
      <c r="B1063" s="74"/>
      <c r="C1063" s="74" t="s">
        <v>2054</v>
      </c>
      <c r="D1063" s="74" t="s">
        <v>1661</v>
      </c>
      <c r="E1063" s="146">
        <v>715142837</v>
      </c>
      <c r="F1063" s="7" t="s">
        <v>2055</v>
      </c>
      <c r="G1063" s="7"/>
      <c r="H1063" s="74" t="s">
        <v>2056</v>
      </c>
      <c r="I1063" s="75" t="s">
        <v>237</v>
      </c>
      <c r="J1063" s="74">
        <v>799008086</v>
      </c>
      <c r="K1063" s="74" t="s">
        <v>2057</v>
      </c>
      <c r="L1063" s="74"/>
      <c r="M1063" s="74"/>
      <c r="N1063" s="74"/>
      <c r="O1063" s="76"/>
      <c r="P1063" s="76"/>
      <c r="Q1063" s="76"/>
      <c r="R1063" s="76"/>
      <c r="S1063" s="76"/>
      <c r="T1063" s="76"/>
      <c r="U1063" s="76"/>
      <c r="V1063" s="76"/>
      <c r="W1063" s="76"/>
      <c r="X1063" s="76"/>
      <c r="Y1063" s="76"/>
      <c r="Z1063" s="76"/>
      <c r="AA1063" s="76"/>
      <c r="AB1063" s="76"/>
      <c r="AC1063" s="76"/>
      <c r="AD1063" s="76"/>
      <c r="AE1063" s="76"/>
      <c r="AF1063" s="76"/>
      <c r="AG1063" s="76"/>
      <c r="AH1063" s="76"/>
      <c r="AI1063" s="76"/>
      <c r="AJ1063" s="76"/>
    </row>
    <row r="1064" spans="1:36" ht="12.75">
      <c r="A1064" s="74" t="s">
        <v>2058</v>
      </c>
      <c r="B1064" s="74"/>
      <c r="C1064" s="74" t="s">
        <v>2059</v>
      </c>
      <c r="D1064" s="74" t="s">
        <v>1421</v>
      </c>
      <c r="E1064" s="146">
        <v>746580837</v>
      </c>
      <c r="F1064" s="7" t="s">
        <v>2060</v>
      </c>
      <c r="G1064" s="7"/>
      <c r="H1064" s="74" t="s">
        <v>2061</v>
      </c>
      <c r="I1064" s="75" t="s">
        <v>2062</v>
      </c>
      <c r="J1064" s="74">
        <v>774136619</v>
      </c>
      <c r="K1064" s="192" t="s">
        <v>2063</v>
      </c>
      <c r="L1064" s="74"/>
      <c r="M1064" s="74"/>
      <c r="N1064" s="74"/>
      <c r="O1064" s="76"/>
      <c r="P1064" s="76"/>
      <c r="Q1064" s="76"/>
      <c r="R1064" s="76"/>
      <c r="S1064" s="76"/>
      <c r="T1064" s="76"/>
      <c r="U1064" s="76"/>
      <c r="V1064" s="76"/>
      <c r="W1064" s="76"/>
      <c r="X1064" s="76"/>
      <c r="Y1064" s="76"/>
      <c r="Z1064" s="76"/>
      <c r="AA1064" s="76"/>
      <c r="AB1064" s="76"/>
      <c r="AC1064" s="76"/>
      <c r="AD1064" s="76"/>
      <c r="AE1064" s="76"/>
      <c r="AF1064" s="76"/>
      <c r="AG1064" s="76"/>
      <c r="AH1064" s="76"/>
      <c r="AI1064" s="76"/>
      <c r="AJ1064" s="76"/>
    </row>
    <row r="1065" spans="1:36" ht="12.75">
      <c r="A1065" s="74" t="s">
        <v>2064</v>
      </c>
      <c r="B1065" s="74"/>
      <c r="C1065" s="74" t="s">
        <v>2065</v>
      </c>
      <c r="D1065" s="74" t="s">
        <v>673</v>
      </c>
      <c r="E1065" s="146">
        <v>757116692</v>
      </c>
      <c r="F1065" s="7" t="s">
        <v>2066</v>
      </c>
      <c r="G1065" s="7"/>
      <c r="H1065" s="74" t="s">
        <v>2067</v>
      </c>
      <c r="I1065" s="75" t="s">
        <v>269</v>
      </c>
      <c r="J1065" s="74">
        <v>704142508</v>
      </c>
      <c r="K1065" s="74" t="s">
        <v>2068</v>
      </c>
      <c r="L1065" s="74"/>
      <c r="M1065" s="74"/>
      <c r="N1065" s="74"/>
      <c r="O1065" s="76"/>
      <c r="P1065" s="76"/>
      <c r="Q1065" s="76"/>
      <c r="R1065" s="76"/>
      <c r="S1065" s="76"/>
      <c r="T1065" s="76"/>
      <c r="U1065" s="76"/>
      <c r="V1065" s="76"/>
      <c r="W1065" s="76"/>
      <c r="X1065" s="76"/>
      <c r="Y1065" s="76"/>
      <c r="Z1065" s="76"/>
      <c r="AA1065" s="76"/>
      <c r="AB1065" s="76"/>
      <c r="AC1065" s="76"/>
      <c r="AD1065" s="76"/>
      <c r="AE1065" s="76"/>
      <c r="AF1065" s="76"/>
      <c r="AG1065" s="76"/>
      <c r="AH1065" s="76"/>
      <c r="AI1065" s="76"/>
      <c r="AJ1065" s="76"/>
    </row>
    <row r="1066" spans="1:36" ht="12.75">
      <c r="A1066" s="74" t="s">
        <v>2069</v>
      </c>
      <c r="B1066" s="74"/>
      <c r="C1066" s="74" t="s">
        <v>2070</v>
      </c>
      <c r="D1066" s="74" t="s">
        <v>2071</v>
      </c>
      <c r="E1066" s="146">
        <v>741872405</v>
      </c>
      <c r="F1066" s="7" t="s">
        <v>493</v>
      </c>
      <c r="G1066" s="7"/>
      <c r="H1066" s="76"/>
      <c r="I1066" s="75" t="s">
        <v>2984</v>
      </c>
      <c r="J1066" s="76"/>
      <c r="K1066" s="76"/>
      <c r="L1066" s="76"/>
      <c r="M1066" s="76"/>
      <c r="N1066" s="76"/>
      <c r="O1066" s="76"/>
      <c r="P1066" s="76"/>
      <c r="Q1066" s="76"/>
      <c r="R1066" s="76"/>
      <c r="S1066" s="76"/>
      <c r="T1066" s="76"/>
      <c r="U1066" s="76"/>
      <c r="V1066" s="76"/>
      <c r="W1066" s="76"/>
      <c r="X1066" s="76"/>
      <c r="Y1066" s="76"/>
      <c r="Z1066" s="76"/>
      <c r="AA1066" s="76"/>
      <c r="AB1066" s="76"/>
      <c r="AC1066" s="76"/>
      <c r="AD1066" s="76"/>
      <c r="AE1066" s="76"/>
      <c r="AF1066" s="76"/>
      <c r="AG1066" s="76"/>
      <c r="AH1066" s="76"/>
      <c r="AI1066" s="76"/>
      <c r="AJ1066" s="76"/>
    </row>
    <row r="1067" spans="1:36" ht="12.75">
      <c r="A1067" s="74" t="s">
        <v>2074</v>
      </c>
      <c r="B1067" s="74"/>
      <c r="C1067" s="74" t="s">
        <v>2075</v>
      </c>
      <c r="D1067" s="74" t="s">
        <v>242</v>
      </c>
      <c r="E1067" s="146">
        <v>790950213</v>
      </c>
      <c r="F1067" s="7" t="s">
        <v>2076</v>
      </c>
      <c r="G1067" s="7"/>
      <c r="H1067" s="74" t="s">
        <v>2077</v>
      </c>
      <c r="I1067" s="75" t="s">
        <v>59</v>
      </c>
      <c r="J1067" s="74">
        <v>784611527</v>
      </c>
      <c r="K1067" s="76"/>
      <c r="L1067" s="76"/>
      <c r="M1067" s="76"/>
      <c r="N1067" s="76"/>
      <c r="O1067" s="76"/>
      <c r="P1067" s="76"/>
      <c r="Q1067" s="76"/>
      <c r="R1067" s="76"/>
      <c r="S1067" s="76"/>
      <c r="T1067" s="76"/>
      <c r="U1067" s="76"/>
      <c r="V1067" s="76"/>
      <c r="W1067" s="76"/>
      <c r="X1067" s="76"/>
      <c r="Y1067" s="76"/>
      <c r="Z1067" s="76"/>
      <c r="AA1067" s="76"/>
      <c r="AB1067" s="76"/>
      <c r="AC1067" s="76"/>
      <c r="AD1067" s="76"/>
      <c r="AE1067" s="76"/>
      <c r="AF1067" s="76"/>
      <c r="AG1067" s="76"/>
      <c r="AH1067" s="76"/>
      <c r="AI1067" s="76"/>
      <c r="AJ1067" s="76"/>
    </row>
    <row r="1068" spans="1:36" ht="12.75">
      <c r="A1068" s="74" t="s">
        <v>2078</v>
      </c>
      <c r="B1068" s="74"/>
      <c r="C1068" s="74" t="s">
        <v>2079</v>
      </c>
      <c r="D1068" s="74" t="s">
        <v>616</v>
      </c>
      <c r="E1068" s="146">
        <v>768525666</v>
      </c>
      <c r="F1068" s="7" t="s">
        <v>2080</v>
      </c>
      <c r="G1068" s="7"/>
      <c r="H1068" s="74" t="s">
        <v>2081</v>
      </c>
      <c r="I1068" s="75" t="s">
        <v>65</v>
      </c>
      <c r="J1068" s="74">
        <v>713530619</v>
      </c>
      <c r="K1068" s="76"/>
      <c r="L1068" s="76"/>
      <c r="M1068" s="76"/>
      <c r="N1068" s="76"/>
      <c r="O1068" s="76"/>
      <c r="P1068" s="76"/>
      <c r="Q1068" s="76"/>
      <c r="R1068" s="76"/>
      <c r="S1068" s="76"/>
      <c r="T1068" s="76"/>
      <c r="U1068" s="76"/>
      <c r="V1068" s="76"/>
      <c r="W1068" s="76"/>
      <c r="X1068" s="76"/>
      <c r="Y1068" s="76"/>
      <c r="Z1068" s="76"/>
      <c r="AA1068" s="76"/>
      <c r="AB1068" s="76"/>
      <c r="AC1068" s="76"/>
      <c r="AD1068" s="76"/>
      <c r="AE1068" s="76"/>
      <c r="AF1068" s="76"/>
      <c r="AG1068" s="76"/>
      <c r="AH1068" s="76"/>
      <c r="AI1068" s="76"/>
      <c r="AJ1068" s="76"/>
    </row>
    <row r="1069" spans="1:36" ht="12.75">
      <c r="A1069" s="74" t="s">
        <v>2082</v>
      </c>
      <c r="B1069" s="74"/>
      <c r="C1069" s="74" t="s">
        <v>2083</v>
      </c>
      <c r="D1069" s="74" t="s">
        <v>1328</v>
      </c>
      <c r="E1069" s="146">
        <v>758558128</v>
      </c>
      <c r="F1069" s="7" t="s">
        <v>2084</v>
      </c>
      <c r="G1069" s="7"/>
      <c r="H1069" s="74" t="s">
        <v>2085</v>
      </c>
      <c r="I1069" s="75" t="s">
        <v>2086</v>
      </c>
      <c r="J1069" s="74">
        <v>718794957</v>
      </c>
      <c r="K1069" s="74" t="s">
        <v>2087</v>
      </c>
      <c r="L1069" s="74"/>
      <c r="M1069" s="74"/>
      <c r="N1069" s="74"/>
      <c r="O1069" s="76"/>
      <c r="P1069" s="76"/>
      <c r="Q1069" s="76"/>
      <c r="R1069" s="76"/>
      <c r="S1069" s="76"/>
      <c r="T1069" s="76"/>
      <c r="U1069" s="76"/>
      <c r="V1069" s="76"/>
      <c r="W1069" s="76"/>
      <c r="X1069" s="76"/>
      <c r="Y1069" s="76"/>
      <c r="Z1069" s="76"/>
      <c r="AA1069" s="76"/>
      <c r="AB1069" s="76"/>
      <c r="AC1069" s="76"/>
      <c r="AD1069" s="76"/>
      <c r="AE1069" s="76"/>
      <c r="AF1069" s="76"/>
      <c r="AG1069" s="76"/>
      <c r="AH1069" s="76"/>
      <c r="AI1069" s="76"/>
      <c r="AJ1069" s="76"/>
    </row>
    <row r="1070" spans="1:36" ht="12.75">
      <c r="A1070" s="74" t="s">
        <v>2088</v>
      </c>
      <c r="B1070" s="74"/>
      <c r="C1070" s="74" t="s">
        <v>2089</v>
      </c>
      <c r="D1070" s="74" t="s">
        <v>330</v>
      </c>
      <c r="E1070" s="146">
        <v>720014663</v>
      </c>
      <c r="F1070" s="7" t="s">
        <v>2090</v>
      </c>
      <c r="G1070" s="7"/>
      <c r="H1070" s="74" t="s">
        <v>2091</v>
      </c>
      <c r="I1070" s="75" t="s">
        <v>2092</v>
      </c>
      <c r="J1070" s="74">
        <v>720014663</v>
      </c>
      <c r="K1070" s="74" t="s">
        <v>2093</v>
      </c>
      <c r="L1070" s="74"/>
      <c r="M1070" s="74"/>
      <c r="N1070" s="74"/>
      <c r="O1070" s="76"/>
      <c r="P1070" s="76"/>
      <c r="Q1070" s="76"/>
      <c r="R1070" s="76"/>
      <c r="S1070" s="76"/>
      <c r="T1070" s="76"/>
      <c r="U1070" s="76"/>
      <c r="V1070" s="76"/>
      <c r="W1070" s="76"/>
      <c r="X1070" s="76"/>
      <c r="Y1070" s="76"/>
      <c r="Z1070" s="76"/>
      <c r="AA1070" s="76"/>
      <c r="AB1070" s="76"/>
      <c r="AC1070" s="76"/>
      <c r="AD1070" s="76"/>
      <c r="AE1070" s="76"/>
      <c r="AF1070" s="76"/>
      <c r="AG1070" s="76"/>
      <c r="AH1070" s="76"/>
      <c r="AI1070" s="76"/>
      <c r="AJ1070" s="76"/>
    </row>
    <row r="1071" spans="1:36" ht="12.75">
      <c r="A1071" s="74" t="s">
        <v>2094</v>
      </c>
      <c r="B1071" s="74"/>
      <c r="C1071" s="74" t="s">
        <v>2095</v>
      </c>
      <c r="D1071" s="74" t="s">
        <v>884</v>
      </c>
      <c r="E1071" s="146">
        <v>791276734</v>
      </c>
      <c r="F1071" s="7" t="s">
        <v>2096</v>
      </c>
      <c r="G1071" s="7"/>
      <c r="H1071" s="74" t="s">
        <v>2097</v>
      </c>
      <c r="I1071" s="75" t="s">
        <v>2073</v>
      </c>
      <c r="J1071" s="76"/>
      <c r="K1071" s="74" t="s">
        <v>2098</v>
      </c>
      <c r="L1071" s="74"/>
      <c r="M1071" s="74"/>
      <c r="N1071" s="74"/>
      <c r="O1071" s="76"/>
      <c r="P1071" s="76"/>
      <c r="Q1071" s="76"/>
      <c r="R1071" s="76"/>
      <c r="S1071" s="76"/>
      <c r="T1071" s="76"/>
      <c r="U1071" s="76"/>
      <c r="V1071" s="76"/>
      <c r="W1071" s="76"/>
      <c r="X1071" s="76"/>
      <c r="Y1071" s="76"/>
      <c r="Z1071" s="76"/>
      <c r="AA1071" s="76"/>
      <c r="AB1071" s="76"/>
      <c r="AC1071" s="76"/>
      <c r="AD1071" s="76"/>
      <c r="AE1071" s="76"/>
      <c r="AF1071" s="76"/>
      <c r="AG1071" s="76"/>
      <c r="AH1071" s="76"/>
      <c r="AI1071" s="76"/>
      <c r="AJ1071" s="76"/>
    </row>
    <row r="1072" spans="1:36" ht="12.75">
      <c r="A1072" s="74" t="s">
        <v>2099</v>
      </c>
      <c r="B1072" s="74"/>
      <c r="C1072" s="74" t="s">
        <v>2100</v>
      </c>
      <c r="D1072" s="74" t="s">
        <v>1421</v>
      </c>
      <c r="E1072" s="146">
        <v>769534461</v>
      </c>
      <c r="F1072" s="7" t="s">
        <v>2101</v>
      </c>
      <c r="G1072" s="7"/>
      <c r="H1072" s="74" t="s">
        <v>2102</v>
      </c>
      <c r="I1072" s="75" t="s">
        <v>218</v>
      </c>
      <c r="J1072" s="74">
        <v>717353774</v>
      </c>
      <c r="K1072" s="74" t="s">
        <v>2103</v>
      </c>
      <c r="L1072" s="74"/>
      <c r="M1072" s="74"/>
      <c r="N1072" s="74"/>
      <c r="O1072" s="76"/>
      <c r="P1072" s="76"/>
      <c r="Q1072" s="76"/>
      <c r="R1072" s="76"/>
      <c r="S1072" s="76"/>
      <c r="T1072" s="76"/>
      <c r="U1072" s="76"/>
      <c r="V1072" s="76"/>
      <c r="W1072" s="76"/>
      <c r="X1072" s="76"/>
      <c r="Y1072" s="76"/>
      <c r="Z1072" s="76"/>
      <c r="AA1072" s="76"/>
      <c r="AB1072" s="76"/>
      <c r="AC1072" s="76"/>
      <c r="AD1072" s="76"/>
      <c r="AE1072" s="76"/>
      <c r="AF1072" s="76"/>
      <c r="AG1072" s="76"/>
      <c r="AH1072" s="76"/>
      <c r="AI1072" s="76"/>
      <c r="AJ1072" s="76"/>
    </row>
    <row r="1073" spans="1:36" ht="12.75">
      <c r="A1073" s="74" t="s">
        <v>2104</v>
      </c>
      <c r="B1073" s="74"/>
      <c r="C1073" s="74" t="s">
        <v>2105</v>
      </c>
      <c r="D1073" s="74" t="s">
        <v>148</v>
      </c>
      <c r="E1073" s="146">
        <v>729614999</v>
      </c>
      <c r="F1073" s="7" t="s">
        <v>2106</v>
      </c>
      <c r="G1073" s="7"/>
      <c r="H1073" s="74" t="s">
        <v>2107</v>
      </c>
      <c r="I1073" s="75" t="s">
        <v>2108</v>
      </c>
      <c r="J1073" s="74">
        <v>725633154</v>
      </c>
      <c r="K1073" s="74" t="s">
        <v>2109</v>
      </c>
      <c r="L1073" s="74"/>
      <c r="M1073" s="74"/>
      <c r="N1073" s="74"/>
      <c r="O1073" s="76"/>
      <c r="P1073" s="76"/>
      <c r="Q1073" s="76"/>
      <c r="R1073" s="76"/>
      <c r="S1073" s="76"/>
      <c r="T1073" s="76"/>
      <c r="U1073" s="76"/>
      <c r="V1073" s="76"/>
      <c r="W1073" s="76"/>
      <c r="X1073" s="76"/>
      <c r="Y1073" s="76"/>
      <c r="Z1073" s="76"/>
      <c r="AA1073" s="76"/>
      <c r="AB1073" s="76"/>
      <c r="AC1073" s="76"/>
      <c r="AD1073" s="76"/>
      <c r="AE1073" s="76"/>
      <c r="AF1073" s="76"/>
      <c r="AG1073" s="76"/>
      <c r="AH1073" s="76"/>
      <c r="AI1073" s="76"/>
      <c r="AJ1073" s="76"/>
    </row>
    <row r="1074" spans="1:36" ht="12.75">
      <c r="A1074" s="74" t="s">
        <v>2110</v>
      </c>
      <c r="B1074" s="74"/>
      <c r="C1074" s="74" t="s">
        <v>2111</v>
      </c>
      <c r="D1074" s="74" t="s">
        <v>2112</v>
      </c>
      <c r="E1074" s="30">
        <v>799984377</v>
      </c>
      <c r="F1074" s="7" t="s">
        <v>2113</v>
      </c>
      <c r="G1074" s="7"/>
      <c r="H1074" s="76"/>
      <c r="I1074" s="75" t="s">
        <v>2114</v>
      </c>
      <c r="J1074" s="74">
        <v>745624264</v>
      </c>
      <c r="K1074" s="74" t="s">
        <v>2115</v>
      </c>
      <c r="L1074" s="74"/>
      <c r="M1074" s="74"/>
      <c r="N1074" s="74"/>
      <c r="O1074" s="76"/>
      <c r="P1074" s="76"/>
      <c r="Q1074" s="76"/>
      <c r="R1074" s="76"/>
      <c r="S1074" s="76"/>
      <c r="T1074" s="76"/>
      <c r="U1074" s="76"/>
      <c r="V1074" s="76"/>
      <c r="W1074" s="76"/>
      <c r="X1074" s="76"/>
      <c r="Y1074" s="76"/>
      <c r="Z1074" s="76"/>
      <c r="AA1074" s="76"/>
      <c r="AB1074" s="76"/>
      <c r="AC1074" s="76"/>
      <c r="AD1074" s="76"/>
      <c r="AE1074" s="76"/>
      <c r="AF1074" s="76"/>
      <c r="AG1074" s="76"/>
      <c r="AH1074" s="76"/>
      <c r="AI1074" s="76"/>
      <c r="AJ1074" s="76"/>
    </row>
    <row r="1075" spans="1:36" ht="12.75">
      <c r="A1075" s="74" t="s">
        <v>2116</v>
      </c>
      <c r="B1075" s="74"/>
      <c r="C1075" s="74" t="s">
        <v>2117</v>
      </c>
      <c r="D1075" s="74" t="s">
        <v>501</v>
      </c>
      <c r="E1075" s="146">
        <v>710712800</v>
      </c>
      <c r="F1075" s="7" t="s">
        <v>2118</v>
      </c>
      <c r="G1075" s="7"/>
      <c r="H1075" s="74" t="s">
        <v>2119</v>
      </c>
      <c r="I1075" s="75" t="s">
        <v>2120</v>
      </c>
      <c r="J1075" s="74">
        <v>768261851</v>
      </c>
      <c r="K1075" s="76"/>
      <c r="L1075" s="76"/>
      <c r="M1075" s="76"/>
      <c r="N1075" s="76"/>
      <c r="O1075" s="76"/>
      <c r="P1075" s="76"/>
      <c r="Q1075" s="76"/>
      <c r="R1075" s="76"/>
      <c r="S1075" s="76"/>
      <c r="T1075" s="76"/>
      <c r="U1075" s="76"/>
      <c r="V1075" s="76"/>
      <c r="W1075" s="76"/>
      <c r="X1075" s="76"/>
      <c r="Y1075" s="76"/>
      <c r="Z1075" s="76"/>
      <c r="AA1075" s="76"/>
      <c r="AB1075" s="76"/>
      <c r="AC1075" s="76"/>
      <c r="AD1075" s="76"/>
      <c r="AE1075" s="76"/>
      <c r="AF1075" s="76"/>
      <c r="AG1075" s="76"/>
      <c r="AH1075" s="76"/>
      <c r="AI1075" s="76"/>
      <c r="AJ1075" s="76"/>
    </row>
    <row r="1076" spans="1:36" ht="12.75">
      <c r="A1076" s="74" t="s">
        <v>2121</v>
      </c>
      <c r="B1076" s="74"/>
      <c r="C1076" s="74" t="s">
        <v>2122</v>
      </c>
      <c r="D1076" s="74" t="s">
        <v>201</v>
      </c>
      <c r="E1076" s="146">
        <v>701879131</v>
      </c>
      <c r="F1076" s="7" t="s">
        <v>2123</v>
      </c>
      <c r="G1076" s="7"/>
      <c r="H1076" s="74" t="s">
        <v>2124</v>
      </c>
      <c r="I1076" s="75" t="s">
        <v>134</v>
      </c>
      <c r="J1076" s="74">
        <v>790068947</v>
      </c>
      <c r="K1076" s="74" t="s">
        <v>2125</v>
      </c>
      <c r="L1076" s="74"/>
      <c r="M1076" s="74"/>
      <c r="N1076" s="74"/>
      <c r="O1076" s="76"/>
      <c r="P1076" s="76"/>
      <c r="Q1076" s="76"/>
      <c r="R1076" s="76"/>
      <c r="S1076" s="76"/>
      <c r="T1076" s="76"/>
      <c r="U1076" s="76"/>
      <c r="V1076" s="76"/>
      <c r="W1076" s="76"/>
      <c r="X1076" s="76"/>
      <c r="Y1076" s="76"/>
      <c r="Z1076" s="76"/>
      <c r="AA1076" s="76"/>
      <c r="AB1076" s="76"/>
      <c r="AC1076" s="76"/>
      <c r="AD1076" s="76"/>
      <c r="AE1076" s="76"/>
      <c r="AF1076" s="76"/>
      <c r="AG1076" s="76"/>
      <c r="AH1076" s="76"/>
      <c r="AI1076" s="76"/>
      <c r="AJ1076" s="76"/>
    </row>
    <row r="1077" spans="1:36" ht="12.75">
      <c r="A1077" s="74" t="s">
        <v>2126</v>
      </c>
      <c r="B1077" s="74"/>
      <c r="C1077" s="74" t="s">
        <v>2127</v>
      </c>
      <c r="D1077" s="74" t="s">
        <v>2128</v>
      </c>
      <c r="E1077" s="146">
        <v>768799034</v>
      </c>
      <c r="F1077" s="7" t="s">
        <v>2129</v>
      </c>
      <c r="G1077" s="7"/>
      <c r="H1077" s="74" t="s">
        <v>2130</v>
      </c>
      <c r="I1077" s="75" t="s">
        <v>223</v>
      </c>
      <c r="J1077" s="74">
        <v>733851201</v>
      </c>
      <c r="K1077" s="74" t="s">
        <v>2131</v>
      </c>
      <c r="L1077" s="74"/>
      <c r="M1077" s="74"/>
      <c r="N1077" s="74"/>
      <c r="O1077" s="76"/>
      <c r="P1077" s="76"/>
      <c r="Q1077" s="76"/>
      <c r="R1077" s="76"/>
      <c r="S1077" s="76"/>
      <c r="T1077" s="76"/>
      <c r="U1077" s="76"/>
      <c r="V1077" s="76"/>
      <c r="W1077" s="76"/>
      <c r="X1077" s="76"/>
      <c r="Y1077" s="76"/>
      <c r="Z1077" s="76"/>
      <c r="AA1077" s="76"/>
      <c r="AB1077" s="76"/>
      <c r="AC1077" s="76"/>
      <c r="AD1077" s="76"/>
      <c r="AE1077" s="76"/>
      <c r="AF1077" s="76"/>
      <c r="AG1077" s="76"/>
      <c r="AH1077" s="76"/>
      <c r="AI1077" s="76"/>
      <c r="AJ1077" s="76"/>
    </row>
    <row r="1078" spans="1:36" ht="12.75">
      <c r="A1078" s="7" t="s">
        <v>2132</v>
      </c>
      <c r="B1078" s="7"/>
      <c r="C1078" s="74" t="s">
        <v>1544</v>
      </c>
      <c r="D1078" s="74" t="s">
        <v>2112</v>
      </c>
      <c r="E1078" s="146">
        <v>748410770</v>
      </c>
      <c r="F1078" s="7" t="s">
        <v>1547</v>
      </c>
      <c r="G1078" s="7"/>
      <c r="H1078" s="74" t="s">
        <v>85</v>
      </c>
      <c r="I1078" s="75" t="s">
        <v>451</v>
      </c>
      <c r="J1078" s="74">
        <v>799290741</v>
      </c>
      <c r="K1078" s="74" t="s">
        <v>87</v>
      </c>
      <c r="L1078" s="74"/>
      <c r="M1078" s="74"/>
      <c r="N1078" s="74"/>
      <c r="O1078" s="76"/>
      <c r="P1078" s="76"/>
      <c r="Q1078" s="76"/>
      <c r="R1078" s="76"/>
      <c r="S1078" s="76"/>
      <c r="T1078" s="76"/>
      <c r="U1078" s="76"/>
      <c r="V1078" s="76"/>
      <c r="W1078" s="76"/>
      <c r="X1078" s="76"/>
      <c r="Y1078" s="76"/>
      <c r="Z1078" s="76"/>
      <c r="AA1078" s="76"/>
      <c r="AB1078" s="76"/>
      <c r="AC1078" s="76"/>
      <c r="AD1078" s="76"/>
      <c r="AE1078" s="76"/>
      <c r="AF1078" s="76"/>
      <c r="AG1078" s="76"/>
      <c r="AH1078" s="76"/>
      <c r="AI1078" s="76"/>
      <c r="AJ1078" s="76"/>
    </row>
    <row r="1079" spans="1:36" ht="12.75">
      <c r="A1079" s="7" t="s">
        <v>2133</v>
      </c>
      <c r="B1079" s="7"/>
      <c r="C1079" s="74" t="s">
        <v>2134</v>
      </c>
      <c r="D1079" s="74" t="s">
        <v>2112</v>
      </c>
      <c r="E1079" s="60">
        <v>742584259</v>
      </c>
      <c r="F1079" s="7" t="s">
        <v>2135</v>
      </c>
      <c r="G1079" s="7"/>
      <c r="H1079" s="74" t="s">
        <v>2136</v>
      </c>
      <c r="I1079" s="75" t="s">
        <v>2137</v>
      </c>
      <c r="J1079" s="146">
        <v>742584259</v>
      </c>
      <c r="K1079" s="74" t="s">
        <v>2138</v>
      </c>
      <c r="L1079" s="74"/>
      <c r="M1079" s="74"/>
      <c r="N1079" s="74"/>
      <c r="O1079" s="76"/>
      <c r="P1079" s="76"/>
      <c r="Q1079" s="76"/>
      <c r="R1079" s="76"/>
      <c r="S1079" s="76"/>
      <c r="T1079" s="76"/>
      <c r="U1079" s="76"/>
      <c r="V1079" s="76"/>
      <c r="W1079" s="76"/>
      <c r="X1079" s="76"/>
      <c r="Y1079" s="76"/>
      <c r="Z1079" s="76"/>
      <c r="AA1079" s="76"/>
      <c r="AB1079" s="76"/>
      <c r="AC1079" s="76"/>
      <c r="AD1079" s="76"/>
      <c r="AE1079" s="76"/>
      <c r="AF1079" s="76"/>
      <c r="AG1079" s="76"/>
      <c r="AH1079" s="76"/>
      <c r="AI1079" s="76"/>
      <c r="AJ1079" s="76"/>
    </row>
    <row r="1080" spans="1:36" ht="12.75">
      <c r="A1080" s="74" t="s">
        <v>943</v>
      </c>
      <c r="B1080" s="74"/>
      <c r="C1080" s="74" t="s">
        <v>944</v>
      </c>
      <c r="D1080" s="74" t="s">
        <v>880</v>
      </c>
      <c r="E1080" s="146">
        <v>723242610</v>
      </c>
      <c r="F1080" s="7" t="s">
        <v>945</v>
      </c>
      <c r="G1080" s="7"/>
      <c r="H1080" s="74"/>
      <c r="I1080" s="75"/>
      <c r="J1080" s="74"/>
      <c r="K1080" s="74"/>
      <c r="L1080" s="74"/>
      <c r="M1080" s="74"/>
      <c r="N1080" s="74"/>
      <c r="O1080" s="76"/>
      <c r="P1080" s="76"/>
      <c r="Q1080" s="76"/>
      <c r="R1080" s="76"/>
      <c r="S1080" s="76"/>
      <c r="T1080" s="76"/>
      <c r="U1080" s="76"/>
      <c r="V1080" s="76"/>
      <c r="W1080" s="76"/>
      <c r="X1080" s="76"/>
      <c r="Y1080" s="76"/>
      <c r="Z1080" s="76"/>
      <c r="AA1080" s="76"/>
      <c r="AB1080" s="76"/>
      <c r="AC1080" s="76"/>
      <c r="AD1080" s="76"/>
      <c r="AE1080" s="76"/>
      <c r="AF1080" s="76"/>
      <c r="AG1080" s="76"/>
      <c r="AH1080" s="76"/>
      <c r="AI1080" s="76"/>
      <c r="AJ1080" s="76"/>
    </row>
    <row r="1081" spans="1:36" ht="12.75">
      <c r="A1081" s="74" t="s">
        <v>1823</v>
      </c>
      <c r="B1081" s="74"/>
      <c r="C1081" s="74" t="s">
        <v>1824</v>
      </c>
      <c r="D1081" s="74" t="s">
        <v>880</v>
      </c>
      <c r="E1081" s="146">
        <v>784388520</v>
      </c>
      <c r="F1081" s="7" t="s">
        <v>1826</v>
      </c>
      <c r="G1081" s="7"/>
      <c r="H1081" s="74" t="s">
        <v>2139</v>
      </c>
      <c r="I1081" s="75" t="s">
        <v>218</v>
      </c>
      <c r="J1081" s="74">
        <v>204408989</v>
      </c>
      <c r="K1081" s="74" t="s">
        <v>1942</v>
      </c>
      <c r="L1081" s="74"/>
      <c r="M1081" s="74"/>
      <c r="N1081" s="74"/>
      <c r="O1081" s="76"/>
      <c r="P1081" s="76"/>
      <c r="Q1081" s="76"/>
      <c r="R1081" s="76"/>
      <c r="S1081" s="76"/>
      <c r="T1081" s="76"/>
      <c r="U1081" s="76"/>
      <c r="V1081" s="76"/>
      <c r="W1081" s="76"/>
      <c r="X1081" s="76"/>
      <c r="Y1081" s="76"/>
      <c r="Z1081" s="76"/>
      <c r="AA1081" s="76"/>
      <c r="AB1081" s="76"/>
      <c r="AC1081" s="76"/>
      <c r="AD1081" s="76"/>
      <c r="AE1081" s="76"/>
      <c r="AF1081" s="76"/>
      <c r="AG1081" s="76"/>
      <c r="AH1081" s="76"/>
      <c r="AI1081" s="76"/>
      <c r="AJ1081" s="76"/>
    </row>
    <row r="1082" spans="1:36" ht="12.75">
      <c r="A1082" s="74" t="s">
        <v>1572</v>
      </c>
      <c r="B1082" s="74"/>
      <c r="C1082" s="74" t="s">
        <v>1573</v>
      </c>
      <c r="D1082" s="74" t="s">
        <v>11</v>
      </c>
      <c r="E1082" s="146">
        <v>707651122</v>
      </c>
      <c r="F1082" s="7" t="s">
        <v>1574</v>
      </c>
      <c r="G1082" s="7"/>
      <c r="H1082" s="74" t="s">
        <v>2140</v>
      </c>
      <c r="I1082" s="75" t="s">
        <v>2141</v>
      </c>
      <c r="J1082" s="74">
        <v>112807337</v>
      </c>
      <c r="K1082" s="74" t="s">
        <v>496</v>
      </c>
      <c r="L1082" s="74"/>
      <c r="M1082" s="74"/>
      <c r="N1082" s="74"/>
      <c r="O1082" s="76"/>
      <c r="P1082" s="76"/>
      <c r="Q1082" s="76"/>
      <c r="R1082" s="76"/>
      <c r="S1082" s="76"/>
      <c r="T1082" s="76"/>
      <c r="U1082" s="76"/>
      <c r="V1082" s="76"/>
      <c r="W1082" s="76"/>
      <c r="X1082" s="76"/>
      <c r="Y1082" s="76"/>
      <c r="Z1082" s="76"/>
      <c r="AA1082" s="76"/>
      <c r="AB1082" s="76"/>
      <c r="AC1082" s="76"/>
      <c r="AD1082" s="76"/>
      <c r="AE1082" s="76"/>
      <c r="AF1082" s="76"/>
      <c r="AG1082" s="76"/>
      <c r="AH1082" s="76"/>
      <c r="AI1082" s="76"/>
      <c r="AJ1082" s="76"/>
    </row>
    <row r="1083" spans="1:36" ht="12.75">
      <c r="A1083" s="7" t="s">
        <v>563</v>
      </c>
      <c r="B1083" s="7"/>
      <c r="C1083" s="74" t="s">
        <v>564</v>
      </c>
      <c r="D1083" s="74" t="s">
        <v>565</v>
      </c>
      <c r="E1083" s="146">
        <v>720711717</v>
      </c>
      <c r="F1083" s="7" t="s">
        <v>566</v>
      </c>
      <c r="G1083" s="7"/>
      <c r="H1083" s="74" t="s">
        <v>613</v>
      </c>
      <c r="I1083" s="84"/>
      <c r="J1083" s="74">
        <v>737118289</v>
      </c>
      <c r="K1083" s="76"/>
      <c r="L1083" s="76"/>
      <c r="M1083" s="76"/>
      <c r="N1083" s="76"/>
      <c r="O1083" s="76"/>
      <c r="P1083" s="76"/>
      <c r="Q1083" s="76"/>
      <c r="R1083" s="76"/>
      <c r="S1083" s="76"/>
      <c r="T1083" s="76"/>
      <c r="U1083" s="76"/>
      <c r="V1083" s="76"/>
      <c r="W1083" s="76"/>
      <c r="X1083" s="76"/>
      <c r="Y1083" s="76"/>
      <c r="Z1083" s="76"/>
      <c r="AA1083" s="76"/>
      <c r="AB1083" s="76"/>
      <c r="AC1083" s="76"/>
      <c r="AD1083" s="76"/>
      <c r="AE1083" s="76"/>
      <c r="AF1083" s="76"/>
      <c r="AG1083" s="76"/>
      <c r="AH1083" s="76"/>
      <c r="AI1083" s="76"/>
      <c r="AJ1083" s="76"/>
    </row>
    <row r="1084" spans="1:36" ht="12.75">
      <c r="A1084" s="60" t="s">
        <v>146</v>
      </c>
      <c r="B1084" s="60"/>
      <c r="C1084" s="74" t="s">
        <v>147</v>
      </c>
      <c r="D1084" s="74" t="s">
        <v>148</v>
      </c>
      <c r="E1084" s="146">
        <v>759960969</v>
      </c>
      <c r="F1084" s="7" t="s">
        <v>149</v>
      </c>
      <c r="G1084" s="7"/>
      <c r="H1084" s="76"/>
      <c r="I1084" s="75" t="s">
        <v>2142</v>
      </c>
      <c r="J1084" s="76"/>
      <c r="K1084" s="76"/>
      <c r="L1084" s="76"/>
      <c r="M1084" s="76"/>
      <c r="N1084" s="76"/>
      <c r="O1084" s="76"/>
      <c r="P1084" s="76"/>
      <c r="Q1084" s="76"/>
      <c r="R1084" s="76"/>
      <c r="S1084" s="76"/>
      <c r="T1084" s="76"/>
      <c r="U1084" s="76"/>
      <c r="V1084" s="76"/>
      <c r="W1084" s="76"/>
      <c r="X1084" s="76"/>
      <c r="Y1084" s="76"/>
      <c r="Z1084" s="76"/>
      <c r="AA1084" s="76"/>
      <c r="AB1084" s="76"/>
      <c r="AC1084" s="76"/>
      <c r="AD1084" s="76"/>
      <c r="AE1084" s="76"/>
      <c r="AF1084" s="76"/>
      <c r="AG1084" s="76"/>
      <c r="AH1084" s="76"/>
      <c r="AI1084" s="76"/>
      <c r="AJ1084" s="76"/>
    </row>
    <row r="1085" spans="1:36" ht="12.75">
      <c r="A1085" s="74" t="s">
        <v>2143</v>
      </c>
      <c r="B1085" s="74"/>
      <c r="C1085" s="74" t="s">
        <v>2144</v>
      </c>
      <c r="D1085" s="74" t="s">
        <v>242</v>
      </c>
      <c r="E1085" s="146">
        <v>742382815</v>
      </c>
      <c r="F1085" s="7" t="s">
        <v>2145</v>
      </c>
      <c r="G1085" s="7"/>
      <c r="H1085" s="74" t="s">
        <v>2146</v>
      </c>
      <c r="I1085" s="75" t="s">
        <v>1764</v>
      </c>
      <c r="J1085" s="74">
        <v>742382815</v>
      </c>
      <c r="K1085" s="76"/>
      <c r="L1085" s="76"/>
      <c r="M1085" s="76"/>
      <c r="N1085" s="76"/>
      <c r="O1085" s="76"/>
      <c r="P1085" s="76"/>
      <c r="Q1085" s="76"/>
      <c r="R1085" s="76"/>
      <c r="S1085" s="76"/>
      <c r="T1085" s="76"/>
      <c r="U1085" s="76"/>
      <c r="V1085" s="76"/>
      <c r="W1085" s="76"/>
      <c r="X1085" s="76"/>
      <c r="Y1085" s="76"/>
      <c r="Z1085" s="76"/>
      <c r="AA1085" s="76"/>
      <c r="AB1085" s="76"/>
      <c r="AC1085" s="76"/>
      <c r="AD1085" s="76"/>
      <c r="AE1085" s="76"/>
      <c r="AF1085" s="76"/>
      <c r="AG1085" s="76"/>
      <c r="AH1085" s="76"/>
      <c r="AI1085" s="76"/>
      <c r="AJ1085" s="76"/>
    </row>
    <row r="1086" spans="1:36" ht="12.75">
      <c r="A1086" s="74" t="s">
        <v>2147</v>
      </c>
      <c r="B1086" s="74"/>
      <c r="C1086" s="74" t="s">
        <v>2148</v>
      </c>
      <c r="D1086" s="74" t="s">
        <v>2149</v>
      </c>
      <c r="E1086" s="194">
        <f>254762436784</f>
        <v>254762436784</v>
      </c>
      <c r="F1086" s="7" t="s">
        <v>2150</v>
      </c>
      <c r="G1086" s="7"/>
      <c r="H1086" s="74" t="s">
        <v>2151</v>
      </c>
      <c r="I1086" s="75" t="s">
        <v>237</v>
      </c>
      <c r="J1086" s="74">
        <v>254111121100</v>
      </c>
      <c r="K1086" s="74" t="s">
        <v>2152</v>
      </c>
      <c r="L1086" s="74"/>
      <c r="M1086" s="74"/>
      <c r="N1086" s="74"/>
      <c r="O1086" s="76"/>
      <c r="P1086" s="76"/>
      <c r="Q1086" s="76"/>
      <c r="R1086" s="76"/>
      <c r="S1086" s="76"/>
      <c r="T1086" s="76"/>
      <c r="U1086" s="76"/>
      <c r="V1086" s="76"/>
      <c r="W1086" s="76"/>
      <c r="X1086" s="76"/>
      <c r="Y1086" s="76"/>
      <c r="Z1086" s="76"/>
      <c r="AA1086" s="76"/>
      <c r="AB1086" s="76"/>
      <c r="AC1086" s="76"/>
      <c r="AD1086" s="76"/>
      <c r="AE1086" s="76"/>
      <c r="AF1086" s="76"/>
      <c r="AG1086" s="76"/>
      <c r="AH1086" s="76"/>
      <c r="AI1086" s="76"/>
      <c r="AJ1086" s="76"/>
    </row>
    <row r="1087" spans="1:36" ht="12.75">
      <c r="A1087" s="74" t="s">
        <v>2153</v>
      </c>
      <c r="B1087" s="74"/>
      <c r="C1087" s="74" t="s">
        <v>2154</v>
      </c>
      <c r="D1087" s="76" t="s">
        <v>227</v>
      </c>
      <c r="E1087" s="194">
        <v>254706313335</v>
      </c>
      <c r="F1087" s="9" t="s">
        <v>897</v>
      </c>
      <c r="G1087" s="9"/>
      <c r="H1087" s="76" t="s">
        <v>613</v>
      </c>
      <c r="I1087" s="84" t="s">
        <v>59</v>
      </c>
      <c r="J1087" s="76">
        <v>736118289</v>
      </c>
      <c r="K1087" s="76" t="s">
        <v>898</v>
      </c>
      <c r="L1087" s="76"/>
      <c r="M1087" s="76"/>
      <c r="N1087" s="76"/>
      <c r="O1087" s="76"/>
      <c r="P1087" s="76"/>
      <c r="Q1087" s="76"/>
      <c r="R1087" s="76"/>
      <c r="S1087" s="76"/>
      <c r="T1087" s="76"/>
      <c r="U1087" s="76"/>
      <c r="V1087" s="76"/>
      <c r="W1087" s="76"/>
      <c r="X1087" s="76"/>
      <c r="Y1087" s="76"/>
      <c r="Z1087" s="76"/>
      <c r="AA1087" s="76"/>
      <c r="AB1087" s="76"/>
      <c r="AC1087" s="76"/>
      <c r="AD1087" s="76"/>
      <c r="AE1087" s="76"/>
      <c r="AF1087" s="76"/>
      <c r="AG1087" s="76"/>
      <c r="AH1087" s="76"/>
      <c r="AI1087" s="76"/>
      <c r="AJ1087" s="76"/>
    </row>
    <row r="1088" spans="1:36" ht="12.75">
      <c r="A1088" s="74" t="s">
        <v>2155</v>
      </c>
      <c r="B1088" s="74"/>
      <c r="C1088" s="74" t="s">
        <v>2156</v>
      </c>
      <c r="D1088" s="74" t="s">
        <v>2157</v>
      </c>
      <c r="E1088" s="146">
        <v>114790874</v>
      </c>
      <c r="F1088" s="9"/>
      <c r="G1088" s="9"/>
      <c r="H1088" s="76"/>
      <c r="I1088" s="84"/>
      <c r="J1088" s="76"/>
      <c r="K1088" s="76"/>
      <c r="L1088" s="76"/>
      <c r="M1088" s="76"/>
      <c r="N1088" s="76"/>
      <c r="O1088" s="76"/>
      <c r="P1088" s="76"/>
      <c r="Q1088" s="76"/>
      <c r="R1088" s="76"/>
      <c r="S1088" s="76"/>
      <c r="T1088" s="76"/>
      <c r="U1088" s="76"/>
      <c r="V1088" s="76"/>
      <c r="W1088" s="76"/>
      <c r="X1088" s="76"/>
      <c r="Y1088" s="76"/>
      <c r="Z1088" s="76"/>
      <c r="AA1088" s="76"/>
      <c r="AB1088" s="76"/>
      <c r="AC1088" s="76"/>
      <c r="AD1088" s="76"/>
      <c r="AE1088" s="76"/>
      <c r="AF1088" s="76"/>
      <c r="AG1088" s="76"/>
      <c r="AH1088" s="76"/>
      <c r="AI1088" s="76"/>
      <c r="AJ1088" s="76"/>
    </row>
    <row r="1089" spans="1:36" ht="12.75">
      <c r="A1089" s="74" t="s">
        <v>2158</v>
      </c>
      <c r="B1089" s="74"/>
      <c r="C1089" s="74" t="s">
        <v>2159</v>
      </c>
      <c r="D1089" s="74" t="s">
        <v>227</v>
      </c>
      <c r="E1089" s="146">
        <v>741048174</v>
      </c>
      <c r="F1089" s="7" t="s">
        <v>2160</v>
      </c>
      <c r="G1089" s="7"/>
      <c r="H1089" s="74" t="s">
        <v>2161</v>
      </c>
      <c r="I1089" s="75" t="s">
        <v>2162</v>
      </c>
      <c r="J1089" s="74">
        <v>712649366</v>
      </c>
      <c r="K1089" s="74" t="s">
        <v>2006</v>
      </c>
      <c r="L1089" s="74"/>
      <c r="M1089" s="74"/>
      <c r="N1089" s="74"/>
      <c r="O1089" s="76"/>
      <c r="P1089" s="76"/>
      <c r="Q1089" s="76"/>
      <c r="R1089" s="76"/>
      <c r="S1089" s="76"/>
      <c r="T1089" s="76"/>
      <c r="U1089" s="76"/>
      <c r="V1089" s="76"/>
      <c r="W1089" s="76"/>
      <c r="X1089" s="76"/>
      <c r="Y1089" s="76"/>
      <c r="Z1089" s="76"/>
      <c r="AA1089" s="76"/>
      <c r="AB1089" s="76"/>
      <c r="AC1089" s="76"/>
      <c r="AD1089" s="76"/>
      <c r="AE1089" s="76"/>
      <c r="AF1089" s="76"/>
      <c r="AG1089" s="76"/>
      <c r="AH1089" s="76"/>
      <c r="AI1089" s="76"/>
      <c r="AJ1089" s="76"/>
    </row>
    <row r="1090" spans="1:36" ht="12.75">
      <c r="A1090" s="74" t="s">
        <v>2163</v>
      </c>
      <c r="B1090" s="74"/>
      <c r="C1090" s="74" t="s">
        <v>2164</v>
      </c>
      <c r="D1090" s="74" t="s">
        <v>227</v>
      </c>
      <c r="E1090" s="146">
        <v>759253723</v>
      </c>
      <c r="F1090" s="7" t="s">
        <v>2165</v>
      </c>
      <c r="G1090" s="7"/>
      <c r="H1090" s="74" t="s">
        <v>2166</v>
      </c>
      <c r="I1090" s="84"/>
      <c r="J1090" s="76"/>
      <c r="K1090" s="76"/>
      <c r="L1090" s="76"/>
      <c r="M1090" s="76"/>
      <c r="N1090" s="76"/>
      <c r="O1090" s="76"/>
      <c r="P1090" s="76"/>
      <c r="Q1090" s="76"/>
      <c r="R1090" s="76"/>
      <c r="S1090" s="76"/>
      <c r="T1090" s="76"/>
      <c r="U1090" s="76"/>
      <c r="V1090" s="76"/>
      <c r="W1090" s="76"/>
      <c r="X1090" s="76"/>
      <c r="Y1090" s="76"/>
      <c r="Z1090" s="76"/>
      <c r="AA1090" s="76"/>
      <c r="AB1090" s="76"/>
      <c r="AC1090" s="76"/>
      <c r="AD1090" s="76"/>
      <c r="AE1090" s="76"/>
      <c r="AF1090" s="76"/>
      <c r="AG1090" s="76"/>
      <c r="AH1090" s="76"/>
      <c r="AI1090" s="76"/>
      <c r="AJ1090" s="76"/>
    </row>
    <row r="1091" spans="1:36" ht="12.75">
      <c r="A1091" s="74" t="s">
        <v>2167</v>
      </c>
      <c r="B1091" s="74"/>
      <c r="C1091" s="74" t="s">
        <v>2168</v>
      </c>
      <c r="D1091" s="74" t="s">
        <v>2169</v>
      </c>
      <c r="E1091" s="146">
        <v>707774064</v>
      </c>
      <c r="F1091" s="7" t="s">
        <v>2170</v>
      </c>
      <c r="G1091" s="7"/>
      <c r="H1091" s="74" t="s">
        <v>2171</v>
      </c>
      <c r="I1091" s="75" t="s">
        <v>59</v>
      </c>
      <c r="J1091" s="74">
        <v>703353680</v>
      </c>
      <c r="K1091" s="74" t="s">
        <v>2172</v>
      </c>
      <c r="L1091" s="74"/>
      <c r="M1091" s="74"/>
      <c r="N1091" s="74"/>
      <c r="O1091" s="76"/>
      <c r="P1091" s="76"/>
      <c r="Q1091" s="76"/>
      <c r="R1091" s="76"/>
      <c r="S1091" s="76"/>
      <c r="T1091" s="76"/>
      <c r="U1091" s="76"/>
      <c r="V1091" s="76"/>
      <c r="W1091" s="76"/>
      <c r="X1091" s="76"/>
      <c r="Y1091" s="76"/>
      <c r="Z1091" s="76"/>
      <c r="AA1091" s="76"/>
      <c r="AB1091" s="76"/>
      <c r="AC1091" s="76"/>
      <c r="AD1091" s="76"/>
      <c r="AE1091" s="76"/>
      <c r="AF1091" s="76"/>
      <c r="AG1091" s="76"/>
      <c r="AH1091" s="76"/>
      <c r="AI1091" s="76"/>
      <c r="AJ1091" s="76"/>
    </row>
    <row r="1092" spans="1:36" ht="12.75">
      <c r="A1092" s="74" t="s">
        <v>2173</v>
      </c>
      <c r="B1092" s="74"/>
      <c r="C1092" s="74" t="s">
        <v>2174</v>
      </c>
      <c r="D1092" s="74" t="s">
        <v>891</v>
      </c>
      <c r="E1092" s="146">
        <v>759992528</v>
      </c>
      <c r="F1092" s="7" t="s">
        <v>2175</v>
      </c>
      <c r="G1092" s="7"/>
      <c r="H1092" s="74" t="s">
        <v>1133</v>
      </c>
      <c r="I1092" s="75" t="s">
        <v>2176</v>
      </c>
      <c r="J1092" s="74">
        <v>7202582237</v>
      </c>
      <c r="K1092" s="74" t="s">
        <v>180</v>
      </c>
      <c r="L1092" s="74"/>
      <c r="M1092" s="74"/>
      <c r="N1092" s="74"/>
      <c r="O1092" s="76"/>
      <c r="P1092" s="76"/>
      <c r="Q1092" s="76"/>
      <c r="R1092" s="76"/>
      <c r="S1092" s="76"/>
      <c r="T1092" s="76"/>
      <c r="U1092" s="76"/>
      <c r="V1092" s="76"/>
      <c r="W1092" s="76"/>
      <c r="X1092" s="76"/>
      <c r="Y1092" s="76"/>
      <c r="Z1092" s="76"/>
      <c r="AA1092" s="76"/>
      <c r="AB1092" s="76"/>
      <c r="AC1092" s="76"/>
      <c r="AD1092" s="76"/>
      <c r="AE1092" s="76"/>
      <c r="AF1092" s="76"/>
      <c r="AG1092" s="76"/>
      <c r="AH1092" s="76"/>
      <c r="AI1092" s="76"/>
      <c r="AJ1092" s="76"/>
    </row>
    <row r="1093" spans="1:36" ht="12.75">
      <c r="A1093" s="74" t="s">
        <v>2177</v>
      </c>
      <c r="B1093" s="74"/>
      <c r="C1093" s="74" t="s">
        <v>2178</v>
      </c>
      <c r="D1093" s="74" t="s">
        <v>2179</v>
      </c>
      <c r="E1093" s="146">
        <v>794645593</v>
      </c>
      <c r="F1093" s="7" t="s">
        <v>2180</v>
      </c>
      <c r="G1093" s="7"/>
      <c r="H1093" s="74" t="s">
        <v>2181</v>
      </c>
      <c r="I1093" s="75" t="s">
        <v>2176</v>
      </c>
      <c r="J1093" s="74">
        <v>729794917</v>
      </c>
      <c r="K1093" s="74" t="s">
        <v>180</v>
      </c>
      <c r="L1093" s="74"/>
      <c r="M1093" s="74"/>
      <c r="N1093" s="74"/>
      <c r="O1093" s="76"/>
      <c r="P1093" s="76"/>
      <c r="Q1093" s="76"/>
      <c r="R1093" s="76"/>
      <c r="S1093" s="76"/>
      <c r="T1093" s="76"/>
      <c r="U1093" s="76"/>
      <c r="V1093" s="76"/>
      <c r="W1093" s="76"/>
      <c r="X1093" s="76"/>
      <c r="Y1093" s="76"/>
      <c r="Z1093" s="76"/>
      <c r="AA1093" s="76"/>
      <c r="AB1093" s="76"/>
      <c r="AC1093" s="76"/>
      <c r="AD1093" s="76"/>
      <c r="AE1093" s="76"/>
      <c r="AF1093" s="76"/>
      <c r="AG1093" s="76"/>
      <c r="AH1093" s="76"/>
      <c r="AI1093" s="76"/>
      <c r="AJ1093" s="76"/>
    </row>
    <row r="1094" spans="1:36" ht="12.75">
      <c r="A1094" s="74" t="s">
        <v>2182</v>
      </c>
      <c r="B1094" s="74"/>
      <c r="C1094" s="74" t="s">
        <v>2183</v>
      </c>
      <c r="D1094" s="74" t="s">
        <v>2184</v>
      </c>
      <c r="E1094" s="194">
        <v>254704116291</v>
      </c>
      <c r="F1094" s="7" t="s">
        <v>2185</v>
      </c>
      <c r="G1094" s="7"/>
      <c r="H1094" s="74" t="s">
        <v>2186</v>
      </c>
      <c r="I1094" s="75" t="s">
        <v>59</v>
      </c>
      <c r="J1094" s="74">
        <v>105906508</v>
      </c>
      <c r="K1094" s="74" t="s">
        <v>2187</v>
      </c>
      <c r="L1094" s="74"/>
      <c r="M1094" s="74"/>
      <c r="N1094" s="74"/>
      <c r="O1094" s="76"/>
      <c r="P1094" s="76"/>
      <c r="Q1094" s="76"/>
      <c r="R1094" s="76"/>
      <c r="S1094" s="76"/>
      <c r="T1094" s="76"/>
      <c r="U1094" s="76"/>
      <c r="V1094" s="76"/>
      <c r="W1094" s="76"/>
      <c r="X1094" s="76"/>
      <c r="Y1094" s="76"/>
      <c r="Z1094" s="76"/>
      <c r="AA1094" s="76"/>
      <c r="AB1094" s="76"/>
      <c r="AC1094" s="76"/>
      <c r="AD1094" s="76"/>
      <c r="AE1094" s="76"/>
      <c r="AF1094" s="76"/>
      <c r="AG1094" s="76"/>
      <c r="AH1094" s="76"/>
      <c r="AI1094" s="76"/>
      <c r="AJ1094" s="76"/>
    </row>
    <row r="1095" spans="1:36" ht="12.75">
      <c r="A1095" s="74" t="s">
        <v>2188</v>
      </c>
      <c r="B1095" s="74"/>
      <c r="C1095" s="74" t="s">
        <v>2189</v>
      </c>
      <c r="D1095" s="74" t="s">
        <v>38</v>
      </c>
      <c r="E1095" s="146">
        <v>788097323</v>
      </c>
      <c r="F1095" s="7" t="s">
        <v>2190</v>
      </c>
      <c r="G1095" s="7"/>
      <c r="H1095" s="74" t="s">
        <v>2191</v>
      </c>
      <c r="I1095" s="75" t="s">
        <v>2108</v>
      </c>
      <c r="J1095" s="74">
        <v>725633154</v>
      </c>
      <c r="K1095" s="74" t="s">
        <v>2109</v>
      </c>
      <c r="L1095" s="74"/>
      <c r="M1095" s="74"/>
      <c r="N1095" s="74"/>
      <c r="O1095" s="76"/>
      <c r="P1095" s="76"/>
      <c r="Q1095" s="76"/>
      <c r="R1095" s="76"/>
      <c r="S1095" s="76"/>
      <c r="T1095" s="76"/>
      <c r="U1095" s="76"/>
      <c r="V1095" s="76"/>
      <c r="W1095" s="76"/>
      <c r="X1095" s="76"/>
      <c r="Y1095" s="76"/>
      <c r="Z1095" s="76"/>
      <c r="AA1095" s="76"/>
      <c r="AB1095" s="76"/>
      <c r="AC1095" s="76"/>
      <c r="AD1095" s="76"/>
      <c r="AE1095" s="76"/>
      <c r="AF1095" s="76"/>
      <c r="AG1095" s="76"/>
      <c r="AH1095" s="76"/>
      <c r="AI1095" s="76"/>
      <c r="AJ1095" s="76"/>
    </row>
    <row r="1096" spans="1:36" ht="12.75">
      <c r="A1096" s="74" t="s">
        <v>2192</v>
      </c>
      <c r="B1096" s="74"/>
      <c r="C1096" s="74" t="s">
        <v>2193</v>
      </c>
      <c r="D1096" s="74" t="s">
        <v>242</v>
      </c>
      <c r="E1096" s="146">
        <v>794248235</v>
      </c>
      <c r="F1096" s="7" t="s">
        <v>2194</v>
      </c>
      <c r="G1096" s="7"/>
      <c r="H1096" s="74" t="s">
        <v>2195</v>
      </c>
      <c r="I1096" s="75" t="s">
        <v>237</v>
      </c>
      <c r="J1096" s="76"/>
      <c r="K1096" s="76"/>
      <c r="L1096" s="76"/>
      <c r="M1096" s="76"/>
      <c r="N1096" s="76"/>
      <c r="O1096" s="76"/>
      <c r="P1096" s="76"/>
      <c r="Q1096" s="76"/>
      <c r="R1096" s="76"/>
      <c r="S1096" s="76"/>
      <c r="T1096" s="76"/>
      <c r="U1096" s="76"/>
      <c r="V1096" s="76"/>
      <c r="W1096" s="76"/>
      <c r="X1096" s="76"/>
      <c r="Y1096" s="76"/>
      <c r="Z1096" s="76"/>
      <c r="AA1096" s="76"/>
      <c r="AB1096" s="76"/>
      <c r="AC1096" s="76"/>
      <c r="AD1096" s="76"/>
      <c r="AE1096" s="76"/>
      <c r="AF1096" s="76"/>
      <c r="AG1096" s="76"/>
      <c r="AH1096" s="76"/>
      <c r="AI1096" s="76"/>
      <c r="AJ1096" s="76"/>
    </row>
    <row r="1097" spans="1:36" ht="12.75">
      <c r="A1097" s="74" t="s">
        <v>2196</v>
      </c>
      <c r="B1097" s="74"/>
      <c r="C1097" s="74" t="s">
        <v>2197</v>
      </c>
      <c r="D1097" s="74" t="s">
        <v>2198</v>
      </c>
      <c r="E1097" s="146">
        <v>758006089</v>
      </c>
      <c r="F1097" s="7" t="s">
        <v>2199</v>
      </c>
      <c r="G1097" s="7"/>
      <c r="H1097" s="76"/>
      <c r="I1097" s="84"/>
      <c r="J1097" s="74">
        <v>203754904</v>
      </c>
      <c r="K1097" s="74" t="s">
        <v>2200</v>
      </c>
      <c r="L1097" s="74"/>
      <c r="M1097" s="74"/>
      <c r="N1097" s="74"/>
      <c r="O1097" s="76"/>
      <c r="P1097" s="76"/>
      <c r="Q1097" s="76"/>
      <c r="R1097" s="76"/>
      <c r="S1097" s="76"/>
      <c r="T1097" s="76"/>
      <c r="U1097" s="76"/>
      <c r="V1097" s="76"/>
      <c r="W1097" s="76"/>
      <c r="X1097" s="76"/>
      <c r="Y1097" s="76"/>
      <c r="Z1097" s="76"/>
      <c r="AA1097" s="76"/>
      <c r="AB1097" s="76"/>
      <c r="AC1097" s="76"/>
      <c r="AD1097" s="76"/>
      <c r="AE1097" s="76"/>
      <c r="AF1097" s="76"/>
      <c r="AG1097" s="76"/>
      <c r="AH1097" s="76"/>
      <c r="AI1097" s="76"/>
      <c r="AJ1097" s="76"/>
    </row>
    <row r="1098" spans="1:36" ht="15">
      <c r="A1098" s="74" t="s">
        <v>2201</v>
      </c>
      <c r="B1098" s="74"/>
      <c r="C1098" s="74" t="s">
        <v>2202</v>
      </c>
      <c r="D1098" s="74" t="s">
        <v>2203</v>
      </c>
      <c r="E1098" s="146">
        <v>793812903</v>
      </c>
      <c r="F1098" s="7" t="s">
        <v>2204</v>
      </c>
      <c r="G1098" s="7"/>
      <c r="H1098" s="74" t="s">
        <v>2205</v>
      </c>
      <c r="I1098" s="75" t="s">
        <v>14</v>
      </c>
      <c r="J1098" s="74">
        <v>711291127</v>
      </c>
      <c r="K1098" s="216" t="s">
        <v>2206</v>
      </c>
      <c r="L1098" s="76"/>
      <c r="M1098" s="76"/>
      <c r="N1098" s="76"/>
      <c r="O1098" s="76"/>
      <c r="P1098" s="76"/>
      <c r="Q1098" s="76"/>
      <c r="R1098" s="76"/>
      <c r="S1098" s="76"/>
      <c r="T1098" s="76"/>
      <c r="U1098" s="76"/>
      <c r="V1098" s="76"/>
      <c r="W1098" s="76"/>
      <c r="X1098" s="76"/>
      <c r="Y1098" s="76"/>
      <c r="Z1098" s="76"/>
      <c r="AA1098" s="76"/>
      <c r="AB1098" s="76"/>
      <c r="AC1098" s="76"/>
      <c r="AD1098" s="76"/>
      <c r="AE1098" s="76"/>
      <c r="AF1098" s="76"/>
      <c r="AG1098" s="76"/>
      <c r="AH1098" s="76"/>
      <c r="AI1098" s="76"/>
      <c r="AJ1098" s="76"/>
    </row>
    <row r="1099" spans="1:36" ht="12.75">
      <c r="A1099" s="74" t="s">
        <v>2207</v>
      </c>
      <c r="B1099" s="74"/>
      <c r="C1099" s="74" t="s">
        <v>2208</v>
      </c>
      <c r="D1099" s="74" t="s">
        <v>2209</v>
      </c>
      <c r="E1099" s="146">
        <v>714978525</v>
      </c>
      <c r="F1099" s="7" t="s">
        <v>2210</v>
      </c>
      <c r="G1099" s="7"/>
      <c r="H1099" s="74" t="s">
        <v>2211</v>
      </c>
      <c r="I1099" s="75" t="s">
        <v>59</v>
      </c>
      <c r="J1099" s="76">
        <v>254786789411</v>
      </c>
      <c r="K1099" s="74" t="s">
        <v>2212</v>
      </c>
      <c r="L1099" s="74"/>
      <c r="M1099" s="74"/>
      <c r="N1099" s="74"/>
      <c r="O1099" s="76"/>
      <c r="P1099" s="76"/>
      <c r="Q1099" s="76"/>
      <c r="R1099" s="76"/>
      <c r="S1099" s="76"/>
      <c r="T1099" s="76"/>
      <c r="U1099" s="76"/>
      <c r="V1099" s="76"/>
      <c r="W1099" s="76"/>
      <c r="X1099" s="76"/>
      <c r="Y1099" s="76"/>
      <c r="Z1099" s="76"/>
      <c r="AA1099" s="76"/>
      <c r="AB1099" s="76"/>
      <c r="AC1099" s="76"/>
      <c r="AD1099" s="76"/>
      <c r="AE1099" s="76"/>
      <c r="AF1099" s="76"/>
      <c r="AG1099" s="76"/>
      <c r="AH1099" s="76"/>
      <c r="AI1099" s="76"/>
      <c r="AJ1099" s="76"/>
    </row>
    <row r="1100" spans="1:36" ht="12.75">
      <c r="A1100" s="74" t="s">
        <v>2213</v>
      </c>
      <c r="B1100" s="74"/>
      <c r="C1100" s="74" t="s">
        <v>2214</v>
      </c>
      <c r="D1100" s="74" t="s">
        <v>2209</v>
      </c>
      <c r="E1100" s="146">
        <v>794473791</v>
      </c>
      <c r="F1100" s="7" t="s">
        <v>2215</v>
      </c>
      <c r="G1100" s="7"/>
      <c r="H1100" s="74" t="s">
        <v>941</v>
      </c>
      <c r="I1100" s="75" t="s">
        <v>218</v>
      </c>
      <c r="J1100" s="74">
        <v>704215496</v>
      </c>
      <c r="K1100" s="74" t="s">
        <v>2216</v>
      </c>
      <c r="L1100" s="74"/>
      <c r="M1100" s="74"/>
      <c r="N1100" s="74"/>
      <c r="O1100" s="76"/>
      <c r="P1100" s="76"/>
      <c r="Q1100" s="76"/>
      <c r="R1100" s="76"/>
      <c r="S1100" s="76"/>
      <c r="T1100" s="76"/>
      <c r="U1100" s="76"/>
      <c r="V1100" s="76"/>
      <c r="W1100" s="76"/>
      <c r="X1100" s="76"/>
      <c r="Y1100" s="76"/>
      <c r="Z1100" s="76"/>
      <c r="AA1100" s="76"/>
      <c r="AB1100" s="76"/>
      <c r="AC1100" s="76"/>
      <c r="AD1100" s="76"/>
      <c r="AE1100" s="76"/>
      <c r="AF1100" s="76"/>
      <c r="AG1100" s="76"/>
      <c r="AH1100" s="76"/>
      <c r="AI1100" s="76"/>
      <c r="AJ1100" s="76"/>
    </row>
    <row r="1101" spans="1:36" ht="12.75">
      <c r="A1101" s="74" t="s">
        <v>2217</v>
      </c>
      <c r="B1101" s="74"/>
      <c r="C1101" s="74" t="s">
        <v>2218</v>
      </c>
      <c r="D1101" s="74" t="s">
        <v>1742</v>
      </c>
      <c r="E1101" s="146">
        <v>722312356</v>
      </c>
      <c r="F1101" s="7" t="s">
        <v>2219</v>
      </c>
      <c r="G1101" s="7"/>
      <c r="H1101" s="74" t="s">
        <v>2220</v>
      </c>
      <c r="I1101" s="75" t="s">
        <v>763</v>
      </c>
      <c r="J1101" s="74">
        <v>254723661676</v>
      </c>
      <c r="K1101" s="74" t="s">
        <v>2221</v>
      </c>
      <c r="L1101" s="74"/>
      <c r="M1101" s="74"/>
      <c r="N1101" s="74"/>
      <c r="O1101" s="76"/>
      <c r="P1101" s="76"/>
      <c r="Q1101" s="76"/>
      <c r="R1101" s="76"/>
      <c r="S1101" s="76"/>
      <c r="T1101" s="76"/>
      <c r="U1101" s="76"/>
      <c r="V1101" s="76"/>
      <c r="W1101" s="76"/>
      <c r="X1101" s="76"/>
      <c r="Y1101" s="76"/>
      <c r="Z1101" s="76"/>
      <c r="AA1101" s="76"/>
      <c r="AB1101" s="76"/>
      <c r="AC1101" s="76"/>
      <c r="AD1101" s="76"/>
      <c r="AE1101" s="76"/>
      <c r="AF1101" s="76"/>
      <c r="AG1101" s="76"/>
      <c r="AH1101" s="76"/>
      <c r="AI1101" s="76"/>
      <c r="AJ1101" s="76"/>
    </row>
    <row r="1102" spans="1:36" ht="12.75">
      <c r="A1102" s="74" t="s">
        <v>2987</v>
      </c>
      <c r="B1102" s="74"/>
      <c r="C1102" s="74" t="s">
        <v>2988</v>
      </c>
      <c r="D1102" s="74" t="s">
        <v>2585</v>
      </c>
      <c r="E1102" s="146">
        <v>797103160</v>
      </c>
      <c r="F1102" s="7" t="s">
        <v>2175</v>
      </c>
      <c r="G1102" s="7"/>
      <c r="H1102" s="74"/>
      <c r="I1102" s="75"/>
      <c r="J1102" s="74"/>
      <c r="K1102" s="74"/>
      <c r="L1102" s="74"/>
      <c r="M1102" s="74"/>
      <c r="N1102" s="74"/>
      <c r="O1102" s="76"/>
      <c r="P1102" s="76"/>
      <c r="Q1102" s="76"/>
      <c r="R1102" s="76"/>
      <c r="S1102" s="76"/>
      <c r="T1102" s="76"/>
      <c r="U1102" s="76"/>
      <c r="V1102" s="76"/>
      <c r="W1102" s="76"/>
      <c r="X1102" s="76"/>
      <c r="Y1102" s="76"/>
      <c r="Z1102" s="76"/>
      <c r="AA1102" s="76"/>
      <c r="AB1102" s="76"/>
      <c r="AC1102" s="76"/>
      <c r="AD1102" s="76"/>
      <c r="AE1102" s="76"/>
      <c r="AF1102" s="76"/>
      <c r="AG1102" s="76"/>
      <c r="AH1102" s="76"/>
      <c r="AI1102" s="76"/>
      <c r="AJ1102" s="76"/>
    </row>
    <row r="1103" spans="1:36" ht="12.75">
      <c r="A1103" s="74"/>
      <c r="B1103" s="74"/>
      <c r="C1103" s="74" t="s">
        <v>2231</v>
      </c>
      <c r="D1103" s="74" t="s">
        <v>1998</v>
      </c>
      <c r="E1103" s="146">
        <v>741466571</v>
      </c>
      <c r="F1103" s="7" t="s">
        <v>2232</v>
      </c>
      <c r="G1103" s="7"/>
      <c r="H1103" s="74" t="s">
        <v>2233</v>
      </c>
      <c r="I1103" s="75" t="s">
        <v>2234</v>
      </c>
      <c r="J1103" s="74">
        <v>711933933</v>
      </c>
      <c r="K1103" s="76"/>
      <c r="L1103" s="76"/>
      <c r="M1103" s="76"/>
      <c r="N1103" s="76"/>
      <c r="O1103" s="76"/>
      <c r="P1103" s="76"/>
      <c r="Q1103" s="76"/>
      <c r="R1103" s="76"/>
      <c r="S1103" s="76"/>
      <c r="T1103" s="76"/>
      <c r="U1103" s="76"/>
      <c r="V1103" s="76"/>
      <c r="W1103" s="76"/>
      <c r="X1103" s="76"/>
      <c r="Y1103" s="76"/>
      <c r="Z1103" s="76"/>
      <c r="AA1103" s="76"/>
      <c r="AB1103" s="76"/>
      <c r="AC1103" s="76"/>
      <c r="AD1103" s="76"/>
      <c r="AE1103" s="76"/>
      <c r="AF1103" s="76"/>
      <c r="AG1103" s="76"/>
      <c r="AH1103" s="76"/>
      <c r="AI1103" s="76"/>
      <c r="AJ1103" s="76"/>
    </row>
    <row r="1104" spans="1:36" ht="12.75">
      <c r="A1104" s="74"/>
      <c r="B1104" s="74"/>
      <c r="C1104" s="74" t="s">
        <v>2235</v>
      </c>
      <c r="D1104" s="74" t="s">
        <v>565</v>
      </c>
      <c r="E1104" s="146">
        <v>794178092</v>
      </c>
      <c r="F1104" s="7" t="s">
        <v>2236</v>
      </c>
      <c r="G1104" s="7"/>
      <c r="H1104" s="74" t="s">
        <v>2237</v>
      </c>
      <c r="I1104" s="75" t="s">
        <v>763</v>
      </c>
      <c r="J1104" s="74" t="s">
        <v>2238</v>
      </c>
      <c r="K1104" s="74" t="s">
        <v>2239</v>
      </c>
      <c r="L1104" s="74"/>
      <c r="M1104" s="74"/>
      <c r="N1104" s="74"/>
      <c r="O1104" s="76"/>
      <c r="P1104" s="76"/>
      <c r="Q1104" s="76"/>
      <c r="R1104" s="76"/>
      <c r="S1104" s="76"/>
      <c r="T1104" s="76"/>
      <c r="U1104" s="76"/>
      <c r="V1104" s="76"/>
      <c r="W1104" s="76"/>
      <c r="X1104" s="76"/>
      <c r="Y1104" s="76"/>
      <c r="Z1104" s="76"/>
      <c r="AA1104" s="76"/>
      <c r="AB1104" s="76"/>
      <c r="AC1104" s="76"/>
      <c r="AD1104" s="76"/>
      <c r="AE1104" s="76"/>
      <c r="AF1104" s="76"/>
      <c r="AG1104" s="76"/>
      <c r="AH1104" s="76"/>
      <c r="AI1104" s="76"/>
      <c r="AJ1104" s="76"/>
    </row>
    <row r="1105" spans="1:36" ht="12.75">
      <c r="A1105" s="74"/>
      <c r="B1105" s="74"/>
      <c r="C1105" s="74" t="s">
        <v>2240</v>
      </c>
      <c r="D1105" s="74" t="s">
        <v>565</v>
      </c>
      <c r="E1105" s="146">
        <v>111913060</v>
      </c>
      <c r="F1105" s="7" t="s">
        <v>2241</v>
      </c>
      <c r="G1105" s="7"/>
      <c r="H1105" s="74" t="s">
        <v>2242</v>
      </c>
      <c r="I1105" s="75" t="s">
        <v>1429</v>
      </c>
      <c r="J1105" s="74">
        <v>724099887</v>
      </c>
      <c r="K1105" s="74" t="s">
        <v>2243</v>
      </c>
      <c r="L1105" s="74"/>
      <c r="M1105" s="74"/>
      <c r="N1105" s="74"/>
      <c r="O1105" s="76"/>
      <c r="P1105" s="76"/>
      <c r="Q1105" s="76"/>
      <c r="R1105" s="76"/>
      <c r="S1105" s="76"/>
      <c r="T1105" s="76"/>
      <c r="U1105" s="76"/>
      <c r="V1105" s="76"/>
      <c r="W1105" s="76"/>
      <c r="X1105" s="76"/>
      <c r="Y1105" s="76"/>
      <c r="Z1105" s="76"/>
      <c r="AA1105" s="76"/>
      <c r="AB1105" s="76"/>
      <c r="AC1105" s="76"/>
      <c r="AD1105" s="76"/>
      <c r="AE1105" s="76"/>
      <c r="AF1105" s="76"/>
      <c r="AG1105" s="76"/>
      <c r="AH1105" s="76"/>
      <c r="AI1105" s="76"/>
      <c r="AJ1105" s="76"/>
    </row>
    <row r="1106" spans="1:36" ht="12.75">
      <c r="A1106" s="74"/>
      <c r="B1106" s="74"/>
      <c r="C1106" s="74" t="s">
        <v>2244</v>
      </c>
      <c r="D1106" s="74" t="s">
        <v>2245</v>
      </c>
      <c r="E1106" s="146">
        <v>712466663</v>
      </c>
      <c r="F1106" s="7" t="s">
        <v>2246</v>
      </c>
      <c r="G1106" s="7"/>
      <c r="H1106" s="74" t="s">
        <v>1505</v>
      </c>
      <c r="I1106" s="75" t="s">
        <v>2247</v>
      </c>
      <c r="J1106" s="74" t="s">
        <v>2248</v>
      </c>
      <c r="K1106" s="74" t="s">
        <v>2249</v>
      </c>
      <c r="L1106" s="74"/>
      <c r="M1106" s="74"/>
      <c r="N1106" s="74"/>
      <c r="O1106" s="76"/>
      <c r="P1106" s="76"/>
      <c r="Q1106" s="76"/>
      <c r="R1106" s="76"/>
      <c r="S1106" s="76"/>
      <c r="T1106" s="76"/>
      <c r="U1106" s="76"/>
      <c r="V1106" s="76"/>
      <c r="W1106" s="76"/>
      <c r="X1106" s="76"/>
      <c r="Y1106" s="76"/>
      <c r="Z1106" s="76"/>
      <c r="AA1106" s="76"/>
      <c r="AB1106" s="76"/>
      <c r="AC1106" s="76"/>
      <c r="AD1106" s="76"/>
      <c r="AE1106" s="76"/>
      <c r="AF1106" s="76"/>
      <c r="AG1106" s="76"/>
      <c r="AH1106" s="76"/>
      <c r="AI1106" s="76"/>
      <c r="AJ1106" s="76"/>
    </row>
    <row r="1107" spans="1:36" ht="12.75">
      <c r="A1107" s="74" t="s">
        <v>2250</v>
      </c>
      <c r="B1107" s="60"/>
      <c r="C1107" s="96" t="s">
        <v>2251</v>
      </c>
      <c r="D1107" s="74" t="s">
        <v>2252</v>
      </c>
      <c r="E1107" s="146">
        <v>706942220</v>
      </c>
      <c r="F1107" s="7" t="s">
        <v>2253</v>
      </c>
      <c r="G1107" s="7"/>
      <c r="H1107" s="74" t="s">
        <v>2254</v>
      </c>
      <c r="I1107" s="75" t="s">
        <v>1218</v>
      </c>
      <c r="J1107" s="74">
        <v>103593933</v>
      </c>
      <c r="K1107" s="76"/>
      <c r="L1107" s="76"/>
      <c r="M1107" s="76"/>
      <c r="N1107" s="76"/>
      <c r="O1107" s="76"/>
      <c r="P1107" s="76"/>
      <c r="Q1107" s="76"/>
      <c r="R1107" s="76"/>
      <c r="S1107" s="76"/>
      <c r="T1107" s="76"/>
      <c r="U1107" s="76"/>
      <c r="V1107" s="76"/>
      <c r="W1107" s="76"/>
      <c r="X1107" s="76"/>
      <c r="Y1107" s="76"/>
      <c r="Z1107" s="76"/>
      <c r="AA1107" s="76"/>
      <c r="AB1107" s="76"/>
      <c r="AC1107" s="76"/>
      <c r="AD1107" s="76"/>
      <c r="AE1107" s="76"/>
      <c r="AF1107" s="76"/>
      <c r="AG1107" s="76"/>
      <c r="AH1107" s="76"/>
      <c r="AI1107" s="76"/>
      <c r="AJ1107" s="76"/>
    </row>
    <row r="1108" spans="1:36" ht="12.75">
      <c r="A1108" s="74" t="s">
        <v>2255</v>
      </c>
      <c r="B1108" s="74"/>
      <c r="C1108" s="74"/>
      <c r="D1108" s="74" t="s">
        <v>289</v>
      </c>
      <c r="E1108" s="146">
        <v>713156080</v>
      </c>
      <c r="F1108" s="7" t="s">
        <v>2256</v>
      </c>
      <c r="G1108" s="7"/>
      <c r="H1108" s="74" t="s">
        <v>2257</v>
      </c>
      <c r="I1108" s="75" t="s">
        <v>887</v>
      </c>
      <c r="J1108" s="76">
        <v>254786789411</v>
      </c>
      <c r="K1108" s="74" t="s">
        <v>2212</v>
      </c>
      <c r="L1108" s="74"/>
      <c r="M1108" s="74"/>
      <c r="N1108" s="74"/>
      <c r="O1108" s="76"/>
      <c r="P1108" s="76"/>
      <c r="Q1108" s="76"/>
      <c r="R1108" s="76"/>
      <c r="S1108" s="76"/>
      <c r="T1108" s="76"/>
      <c r="U1108" s="76"/>
      <c r="V1108" s="76"/>
      <c r="W1108" s="76"/>
      <c r="X1108" s="76"/>
      <c r="Y1108" s="76"/>
      <c r="Z1108" s="76"/>
      <c r="AA1108" s="76"/>
      <c r="AB1108" s="76"/>
      <c r="AC1108" s="76"/>
      <c r="AD1108" s="76"/>
      <c r="AE1108" s="76"/>
      <c r="AF1108" s="76"/>
      <c r="AG1108" s="76"/>
      <c r="AH1108" s="76"/>
      <c r="AI1108" s="76"/>
      <c r="AJ1108" s="76"/>
    </row>
    <row r="1109" spans="1:36" ht="12.75">
      <c r="A1109" s="74" t="s">
        <v>2258</v>
      </c>
      <c r="B1109" s="74"/>
      <c r="C1109" s="74" t="s">
        <v>2259</v>
      </c>
      <c r="D1109" s="74" t="s">
        <v>2260</v>
      </c>
      <c r="E1109" s="146">
        <v>718068912</v>
      </c>
      <c r="F1109" s="7" t="s">
        <v>2261</v>
      </c>
      <c r="G1109" s="7"/>
      <c r="H1109" s="74" t="s">
        <v>2262</v>
      </c>
      <c r="I1109" s="75" t="s">
        <v>1218</v>
      </c>
      <c r="J1109" s="74">
        <v>710311361</v>
      </c>
      <c r="K1109" s="74" t="s">
        <v>2263</v>
      </c>
      <c r="L1109" s="74"/>
      <c r="M1109" s="74"/>
      <c r="N1109" s="74"/>
      <c r="O1109" s="76"/>
      <c r="P1109" s="76"/>
      <c r="Q1109" s="76"/>
      <c r="R1109" s="76"/>
      <c r="S1109" s="76"/>
      <c r="T1109" s="76"/>
      <c r="U1109" s="76"/>
      <c r="V1109" s="76"/>
      <c r="W1109" s="76"/>
      <c r="X1109" s="76"/>
      <c r="Y1109" s="76"/>
      <c r="Z1109" s="76"/>
      <c r="AA1109" s="76"/>
      <c r="AB1109" s="76"/>
      <c r="AC1109" s="76"/>
      <c r="AD1109" s="76"/>
      <c r="AE1109" s="76"/>
      <c r="AF1109" s="76"/>
      <c r="AG1109" s="76"/>
      <c r="AH1109" s="76"/>
      <c r="AI1109" s="76"/>
      <c r="AJ1109" s="76"/>
    </row>
    <row r="1110" spans="1:36" ht="14.25">
      <c r="A1110" s="74" t="s">
        <v>2264</v>
      </c>
      <c r="B1110" s="74"/>
      <c r="C1110" s="74" t="s">
        <v>2265</v>
      </c>
      <c r="D1110" s="74" t="s">
        <v>2252</v>
      </c>
      <c r="E1110" s="146">
        <v>111288399</v>
      </c>
      <c r="F1110" s="7" t="s">
        <v>2266</v>
      </c>
      <c r="G1110" s="7"/>
      <c r="H1110" s="74" t="s">
        <v>2267</v>
      </c>
      <c r="I1110" s="75" t="s">
        <v>2017</v>
      </c>
      <c r="J1110" s="219">
        <v>708095732</v>
      </c>
      <c r="K1110" s="74" t="s">
        <v>2268</v>
      </c>
      <c r="L1110" s="74"/>
      <c r="M1110" s="74"/>
      <c r="N1110" s="74"/>
      <c r="O1110" s="76"/>
      <c r="P1110" s="76"/>
      <c r="Q1110" s="76"/>
      <c r="R1110" s="76"/>
      <c r="S1110" s="76"/>
      <c r="T1110" s="76"/>
      <c r="U1110" s="76"/>
      <c r="V1110" s="76"/>
      <c r="W1110" s="76"/>
      <c r="X1110" s="76"/>
      <c r="Y1110" s="76"/>
      <c r="Z1110" s="76"/>
      <c r="AA1110" s="76"/>
      <c r="AB1110" s="76"/>
      <c r="AC1110" s="76"/>
      <c r="AD1110" s="76"/>
      <c r="AE1110" s="76"/>
      <c r="AF1110" s="76"/>
      <c r="AG1110" s="76"/>
      <c r="AH1110" s="76"/>
      <c r="AI1110" s="76"/>
      <c r="AJ1110" s="76"/>
    </row>
    <row r="1111" spans="1:36" ht="12.75">
      <c r="A1111" s="74" t="s">
        <v>2269</v>
      </c>
      <c r="B1111" s="74"/>
      <c r="C1111" s="74" t="s">
        <v>2270</v>
      </c>
      <c r="D1111" s="74" t="s">
        <v>2271</v>
      </c>
      <c r="E1111" s="146">
        <v>742953000</v>
      </c>
      <c r="F1111" s="7" t="s">
        <v>2272</v>
      </c>
      <c r="G1111" s="7"/>
      <c r="H1111" s="74" t="s">
        <v>355</v>
      </c>
      <c r="I1111" s="75" t="s">
        <v>14</v>
      </c>
      <c r="J1111" s="74">
        <v>715364294</v>
      </c>
      <c r="K1111" s="74" t="s">
        <v>105</v>
      </c>
      <c r="L1111" s="74"/>
      <c r="M1111" s="74"/>
      <c r="N1111" s="74"/>
      <c r="O1111" s="76"/>
      <c r="P1111" s="76"/>
      <c r="Q1111" s="76"/>
      <c r="R1111" s="76"/>
      <c r="S1111" s="76"/>
      <c r="T1111" s="76"/>
      <c r="U1111" s="76"/>
      <c r="V1111" s="76"/>
      <c r="W1111" s="76"/>
      <c r="X1111" s="76"/>
      <c r="Y1111" s="76"/>
      <c r="Z1111" s="76"/>
      <c r="AA1111" s="76"/>
      <c r="AB1111" s="76"/>
      <c r="AC1111" s="76"/>
      <c r="AD1111" s="76"/>
      <c r="AE1111" s="76"/>
      <c r="AF1111" s="76"/>
      <c r="AG1111" s="76"/>
      <c r="AH1111" s="76"/>
      <c r="AI1111" s="76"/>
      <c r="AJ1111" s="76"/>
    </row>
    <row r="1112" spans="1:36" ht="12.75">
      <c r="A1112" s="74" t="s">
        <v>2273</v>
      </c>
      <c r="B1112" s="74"/>
      <c r="C1112" s="74" t="s">
        <v>2274</v>
      </c>
      <c r="D1112" s="74" t="s">
        <v>2275</v>
      </c>
      <c r="E1112" s="146">
        <v>712930121</v>
      </c>
      <c r="F1112" s="31" t="s">
        <v>1485</v>
      </c>
      <c r="G1112" s="37"/>
      <c r="H1112" s="74" t="s">
        <v>2276</v>
      </c>
      <c r="I1112" s="75" t="s">
        <v>1218</v>
      </c>
      <c r="J1112" s="74">
        <v>708354720</v>
      </c>
      <c r="K1112" s="74" t="s">
        <v>2277</v>
      </c>
      <c r="L1112" s="74"/>
      <c r="M1112" s="74"/>
      <c r="N1112" s="74"/>
      <c r="O1112" s="76"/>
      <c r="P1112" s="76"/>
      <c r="Q1112" s="76"/>
      <c r="R1112" s="76"/>
      <c r="S1112" s="76"/>
      <c r="T1112" s="76"/>
      <c r="U1112" s="76"/>
      <c r="V1112" s="76"/>
      <c r="W1112" s="76"/>
      <c r="X1112" s="76"/>
      <c r="Y1112" s="76"/>
      <c r="Z1112" s="76"/>
      <c r="AA1112" s="76"/>
      <c r="AB1112" s="76"/>
      <c r="AC1112" s="76"/>
      <c r="AD1112" s="76"/>
      <c r="AE1112" s="76"/>
      <c r="AF1112" s="76"/>
      <c r="AG1112" s="76"/>
      <c r="AH1112" s="76"/>
      <c r="AI1112" s="76"/>
      <c r="AJ1112" s="76"/>
    </row>
    <row r="1113" spans="1:36" ht="12.75">
      <c r="A1113" s="74"/>
      <c r="B1113" s="74"/>
      <c r="C1113" s="74" t="s">
        <v>2265</v>
      </c>
      <c r="D1113" s="74" t="s">
        <v>2252</v>
      </c>
      <c r="E1113" s="146">
        <v>769323576</v>
      </c>
      <c r="F1113" s="7" t="s">
        <v>2253</v>
      </c>
      <c r="G1113" s="7"/>
      <c r="H1113" s="74" t="s">
        <v>2278</v>
      </c>
      <c r="I1113" s="75" t="s">
        <v>1218</v>
      </c>
      <c r="J1113" s="74">
        <v>103593933</v>
      </c>
      <c r="K1113" s="76"/>
      <c r="L1113" s="76"/>
      <c r="M1113" s="76"/>
      <c r="N1113" s="76"/>
      <c r="O1113" s="76"/>
      <c r="P1113" s="76"/>
      <c r="Q1113" s="76"/>
      <c r="R1113" s="76"/>
      <c r="S1113" s="76"/>
      <c r="T1113" s="76"/>
      <c r="U1113" s="76"/>
      <c r="V1113" s="76"/>
      <c r="W1113" s="76"/>
      <c r="X1113" s="76"/>
      <c r="Y1113" s="76"/>
      <c r="Z1113" s="76"/>
      <c r="AA1113" s="76"/>
      <c r="AB1113" s="76"/>
      <c r="AC1113" s="76"/>
      <c r="AD1113" s="76"/>
      <c r="AE1113" s="76"/>
      <c r="AF1113" s="76"/>
      <c r="AG1113" s="76"/>
      <c r="AH1113" s="76"/>
      <c r="AI1113" s="76"/>
      <c r="AJ1113" s="76"/>
    </row>
    <row r="1114" spans="1:36" ht="12.75">
      <c r="A1114" s="60" t="s">
        <v>2279</v>
      </c>
      <c r="B1114" s="60"/>
      <c r="C1114" s="74" t="s">
        <v>2280</v>
      </c>
      <c r="D1114" s="74" t="s">
        <v>155</v>
      </c>
      <c r="E1114" s="146">
        <v>710327336</v>
      </c>
      <c r="F1114" s="7" t="s">
        <v>2281</v>
      </c>
      <c r="G1114" s="7"/>
      <c r="H1114" s="74" t="s">
        <v>2282</v>
      </c>
      <c r="I1114" s="75" t="s">
        <v>2283</v>
      </c>
      <c r="J1114" s="74">
        <v>791994509</v>
      </c>
      <c r="K1114" s="74" t="s">
        <v>2284</v>
      </c>
      <c r="L1114" s="74"/>
      <c r="M1114" s="74"/>
      <c r="N1114" s="74"/>
      <c r="O1114" s="76"/>
      <c r="P1114" s="76"/>
      <c r="Q1114" s="76"/>
      <c r="R1114" s="76"/>
      <c r="S1114" s="76"/>
      <c r="T1114" s="76"/>
      <c r="U1114" s="76"/>
      <c r="V1114" s="76"/>
      <c r="W1114" s="76"/>
      <c r="X1114" s="76"/>
      <c r="Y1114" s="76"/>
      <c r="Z1114" s="76"/>
      <c r="AA1114" s="76"/>
      <c r="AB1114" s="76"/>
      <c r="AC1114" s="76"/>
      <c r="AD1114" s="76"/>
      <c r="AE1114" s="76"/>
      <c r="AF1114" s="76"/>
      <c r="AG1114" s="76"/>
      <c r="AH1114" s="76"/>
      <c r="AI1114" s="76"/>
      <c r="AJ1114" s="76"/>
    </row>
    <row r="1115" spans="1:36" ht="12.75">
      <c r="A1115" s="74" t="s">
        <v>2285</v>
      </c>
      <c r="B1115" s="74"/>
      <c r="C1115" s="74" t="s">
        <v>2286</v>
      </c>
      <c r="D1115" s="74" t="s">
        <v>402</v>
      </c>
      <c r="E1115" s="146">
        <v>707850704</v>
      </c>
      <c r="F1115" s="7" t="s">
        <v>2287</v>
      </c>
      <c r="G1115" s="7"/>
      <c r="H1115" s="74" t="s">
        <v>1987</v>
      </c>
      <c r="I1115" s="75" t="s">
        <v>1357</v>
      </c>
      <c r="J1115" s="74">
        <v>771067992</v>
      </c>
      <c r="K1115" s="74" t="s">
        <v>1988</v>
      </c>
      <c r="L1115" s="76"/>
      <c r="M1115" s="76"/>
      <c r="N1115" s="76"/>
      <c r="O1115" s="76"/>
      <c r="P1115" s="76"/>
      <c r="Q1115" s="76"/>
      <c r="R1115" s="76"/>
      <c r="S1115" s="76"/>
      <c r="T1115" s="76"/>
      <c r="U1115" s="76"/>
      <c r="V1115" s="76"/>
      <c r="W1115" s="76"/>
      <c r="X1115" s="76"/>
      <c r="Y1115" s="76"/>
      <c r="Z1115" s="76"/>
      <c r="AA1115" s="76"/>
      <c r="AB1115" s="76"/>
      <c r="AC1115" s="76"/>
      <c r="AD1115" s="76"/>
      <c r="AE1115" s="76"/>
      <c r="AF1115" s="76"/>
      <c r="AG1115" s="76"/>
      <c r="AH1115" s="76"/>
      <c r="AI1115" s="76"/>
      <c r="AJ1115" s="76"/>
    </row>
    <row r="1116" spans="1:36" ht="12.75">
      <c r="A1116" s="74" t="s">
        <v>2288</v>
      </c>
      <c r="B1116" s="74"/>
      <c r="C1116" s="74" t="s">
        <v>2289</v>
      </c>
      <c r="D1116" s="74" t="s">
        <v>2271</v>
      </c>
      <c r="E1116" s="146">
        <v>794751127</v>
      </c>
      <c r="F1116" s="7" t="s">
        <v>2290</v>
      </c>
      <c r="G1116" s="7"/>
      <c r="H1116" s="74"/>
      <c r="I1116" s="75"/>
      <c r="J1116" s="74"/>
      <c r="K1116" s="74"/>
      <c r="L1116" s="74"/>
      <c r="M1116" s="74"/>
      <c r="N1116" s="74"/>
      <c r="O1116" s="76"/>
      <c r="P1116" s="76"/>
      <c r="Q1116" s="76"/>
      <c r="R1116" s="76"/>
      <c r="S1116" s="76"/>
      <c r="T1116" s="76"/>
      <c r="U1116" s="76"/>
      <c r="V1116" s="76"/>
      <c r="W1116" s="76"/>
      <c r="X1116" s="76"/>
      <c r="Y1116" s="76"/>
      <c r="Z1116" s="76"/>
      <c r="AA1116" s="76"/>
      <c r="AB1116" s="76"/>
      <c r="AC1116" s="76"/>
      <c r="AD1116" s="76"/>
      <c r="AE1116" s="76"/>
      <c r="AF1116" s="76"/>
      <c r="AG1116" s="76"/>
      <c r="AH1116" s="76"/>
      <c r="AI1116" s="76"/>
      <c r="AJ1116" s="76"/>
    </row>
    <row r="1117" spans="1:36" ht="12.75">
      <c r="A1117" s="74" t="s">
        <v>2291</v>
      </c>
      <c r="B1117" s="74"/>
      <c r="C1117" s="74" t="s">
        <v>2292</v>
      </c>
      <c r="D1117" s="96" t="s">
        <v>2293</v>
      </c>
      <c r="E1117" s="146">
        <v>748642157</v>
      </c>
      <c r="F1117" s="7" t="s">
        <v>2290</v>
      </c>
      <c r="G1117" s="7"/>
      <c r="H1117" s="74" t="s">
        <v>2294</v>
      </c>
      <c r="I1117" s="75" t="s">
        <v>223</v>
      </c>
      <c r="J1117" s="74">
        <v>254113015674</v>
      </c>
      <c r="K1117" s="74" t="s">
        <v>2295</v>
      </c>
      <c r="L1117" s="74"/>
      <c r="M1117" s="74"/>
      <c r="N1117" s="74"/>
      <c r="O1117" s="76"/>
      <c r="P1117" s="76"/>
      <c r="Q1117" s="76"/>
      <c r="R1117" s="76"/>
      <c r="S1117" s="76"/>
      <c r="T1117" s="76"/>
      <c r="U1117" s="76"/>
      <c r="V1117" s="76"/>
      <c r="W1117" s="76"/>
      <c r="X1117" s="76"/>
      <c r="Y1117" s="76"/>
      <c r="Z1117" s="76"/>
      <c r="AA1117" s="76"/>
      <c r="AB1117" s="76"/>
      <c r="AC1117" s="76"/>
      <c r="AD1117" s="76"/>
      <c r="AE1117" s="76"/>
      <c r="AF1117" s="76"/>
      <c r="AG1117" s="76"/>
      <c r="AH1117" s="76"/>
      <c r="AI1117" s="76"/>
      <c r="AJ1117" s="76"/>
    </row>
    <row r="1118" spans="1:36" ht="12.75">
      <c r="A1118" s="74" t="s">
        <v>2296</v>
      </c>
      <c r="B1118" s="74"/>
      <c r="C1118" s="74" t="s">
        <v>2297</v>
      </c>
      <c r="D1118" s="74" t="s">
        <v>2293</v>
      </c>
      <c r="E1118" s="146">
        <v>705024474</v>
      </c>
      <c r="F1118" s="7" t="s">
        <v>2290</v>
      </c>
      <c r="G1118" s="7"/>
      <c r="H1118" s="74" t="s">
        <v>2294</v>
      </c>
      <c r="I1118" s="75" t="s">
        <v>223</v>
      </c>
      <c r="J1118" s="74">
        <v>254113015674</v>
      </c>
      <c r="K1118" s="74" t="s">
        <v>2295</v>
      </c>
      <c r="L1118" s="74"/>
      <c r="M1118" s="74"/>
      <c r="N1118" s="74"/>
      <c r="O1118" s="76"/>
      <c r="P1118" s="76"/>
      <c r="Q1118" s="76"/>
      <c r="R1118" s="76"/>
      <c r="S1118" s="76"/>
      <c r="T1118" s="76"/>
      <c r="U1118" s="76"/>
      <c r="V1118" s="76"/>
      <c r="W1118" s="76"/>
      <c r="X1118" s="76"/>
      <c r="Y1118" s="76"/>
      <c r="Z1118" s="76"/>
      <c r="AA1118" s="76"/>
      <c r="AB1118" s="76"/>
      <c r="AC1118" s="76"/>
      <c r="AD1118" s="76"/>
      <c r="AE1118" s="76"/>
      <c r="AF1118" s="76"/>
      <c r="AG1118" s="76"/>
      <c r="AH1118" s="76"/>
      <c r="AI1118" s="76"/>
      <c r="AJ1118" s="76"/>
    </row>
    <row r="1119" spans="1:36" ht="12.75">
      <c r="A1119" s="314" t="s">
        <v>2989</v>
      </c>
      <c r="B1119" s="315"/>
      <c r="C1119" s="76"/>
      <c r="D1119" s="9"/>
      <c r="E1119" s="194"/>
      <c r="F1119" s="9"/>
      <c r="G1119" s="9"/>
      <c r="H1119" s="76"/>
      <c r="I1119" s="84"/>
      <c r="J1119" s="76"/>
      <c r="K1119" s="76"/>
      <c r="L1119" s="76"/>
      <c r="M1119" s="76"/>
      <c r="N1119" s="76"/>
      <c r="O1119" s="76"/>
      <c r="P1119" s="76"/>
      <c r="Q1119" s="76"/>
      <c r="R1119" s="76"/>
      <c r="S1119" s="76"/>
      <c r="T1119" s="76"/>
      <c r="U1119" s="76"/>
      <c r="V1119" s="76"/>
      <c r="W1119" s="76"/>
      <c r="X1119" s="76"/>
      <c r="Y1119" s="76"/>
      <c r="Z1119" s="76"/>
      <c r="AA1119" s="76"/>
      <c r="AB1119" s="76"/>
      <c r="AC1119" s="76"/>
      <c r="AD1119" s="76"/>
      <c r="AE1119" s="76"/>
      <c r="AF1119" s="76"/>
      <c r="AG1119" s="76"/>
      <c r="AH1119" s="76"/>
      <c r="AI1119" s="76"/>
      <c r="AJ1119" s="76"/>
    </row>
    <row r="1120" spans="1:36" ht="12.75">
      <c r="A1120" s="74" t="s">
        <v>2298</v>
      </c>
      <c r="B1120" s="74"/>
      <c r="C1120" s="74" t="s">
        <v>2299</v>
      </c>
      <c r="D1120" s="76"/>
      <c r="E1120" s="194"/>
      <c r="F1120" s="9"/>
      <c r="G1120" s="9"/>
      <c r="H1120" s="76"/>
      <c r="I1120" s="84"/>
      <c r="J1120" s="76"/>
      <c r="K1120" s="76"/>
      <c r="L1120" s="76"/>
      <c r="M1120" s="76"/>
      <c r="N1120" s="76"/>
      <c r="O1120" s="76"/>
      <c r="P1120" s="76"/>
      <c r="Q1120" s="76"/>
      <c r="R1120" s="76"/>
      <c r="S1120" s="76"/>
      <c r="T1120" s="76"/>
      <c r="U1120" s="76"/>
      <c r="V1120" s="76"/>
      <c r="W1120" s="76"/>
      <c r="X1120" s="76"/>
      <c r="Y1120" s="76"/>
      <c r="Z1120" s="76"/>
      <c r="AA1120" s="76"/>
      <c r="AB1120" s="76"/>
      <c r="AC1120" s="76"/>
      <c r="AD1120" s="76"/>
      <c r="AE1120" s="76"/>
      <c r="AF1120" s="76"/>
      <c r="AG1120" s="76"/>
      <c r="AH1120" s="76"/>
      <c r="AI1120" s="76"/>
      <c r="AJ1120" s="76"/>
    </row>
    <row r="1121" spans="1:36" ht="12.75">
      <c r="A1121" s="74" t="s">
        <v>2300</v>
      </c>
      <c r="B1121" s="74"/>
      <c r="C1121" s="74" t="s">
        <v>2301</v>
      </c>
      <c r="D1121" s="74" t="s">
        <v>2302</v>
      </c>
      <c r="E1121" s="146">
        <v>740491425</v>
      </c>
      <c r="F1121" s="7" t="s">
        <v>2303</v>
      </c>
      <c r="G1121" s="7"/>
      <c r="H1121" s="74" t="s">
        <v>2304</v>
      </c>
      <c r="I1121" s="75" t="s">
        <v>495</v>
      </c>
      <c r="J1121" s="74">
        <v>254790938408</v>
      </c>
      <c r="K1121" s="74" t="s">
        <v>496</v>
      </c>
      <c r="L1121" s="74"/>
      <c r="M1121" s="74"/>
      <c r="N1121" s="74"/>
      <c r="O1121" s="76"/>
      <c r="P1121" s="76"/>
      <c r="Q1121" s="76"/>
      <c r="R1121" s="76"/>
      <c r="S1121" s="76"/>
      <c r="T1121" s="76"/>
      <c r="U1121" s="76"/>
      <c r="V1121" s="76"/>
      <c r="W1121" s="76"/>
      <c r="X1121" s="76"/>
      <c r="Y1121" s="76"/>
      <c r="Z1121" s="76"/>
      <c r="AA1121" s="76"/>
      <c r="AB1121" s="76"/>
      <c r="AC1121" s="76"/>
      <c r="AD1121" s="76"/>
      <c r="AE1121" s="76"/>
      <c r="AF1121" s="76"/>
      <c r="AG1121" s="76"/>
      <c r="AH1121" s="76"/>
      <c r="AI1121" s="76"/>
      <c r="AJ1121" s="76"/>
    </row>
    <row r="1122" spans="1:36" ht="12.75">
      <c r="A1122" s="74" t="s">
        <v>2305</v>
      </c>
      <c r="B1122" s="74"/>
      <c r="C1122" s="74" t="s">
        <v>2306</v>
      </c>
      <c r="D1122" s="74" t="s">
        <v>227</v>
      </c>
      <c r="E1122" s="146">
        <v>795213662</v>
      </c>
      <c r="F1122" s="7" t="s">
        <v>2303</v>
      </c>
      <c r="G1122" s="7"/>
      <c r="H1122" s="74" t="s">
        <v>2304</v>
      </c>
      <c r="I1122" s="75" t="s">
        <v>495</v>
      </c>
      <c r="J1122" s="74">
        <v>254790938408</v>
      </c>
      <c r="K1122" s="74" t="s">
        <v>496</v>
      </c>
      <c r="L1122" s="74"/>
      <c r="M1122" s="74"/>
      <c r="N1122" s="74"/>
      <c r="O1122" s="76"/>
      <c r="P1122" s="76"/>
      <c r="Q1122" s="76"/>
      <c r="R1122" s="76"/>
      <c r="S1122" s="76"/>
      <c r="T1122" s="76"/>
      <c r="U1122" s="76"/>
      <c r="V1122" s="76"/>
      <c r="W1122" s="76"/>
      <c r="X1122" s="76"/>
      <c r="Y1122" s="76"/>
      <c r="Z1122" s="76"/>
      <c r="AA1122" s="76"/>
      <c r="AB1122" s="76"/>
      <c r="AC1122" s="76"/>
      <c r="AD1122" s="76"/>
      <c r="AE1122" s="76"/>
      <c r="AF1122" s="76"/>
      <c r="AG1122" s="76"/>
      <c r="AH1122" s="76"/>
      <c r="AI1122" s="76"/>
      <c r="AJ1122" s="76"/>
    </row>
    <row r="1123" spans="1:36" ht="12.75">
      <c r="A1123" s="74" t="s">
        <v>2307</v>
      </c>
      <c r="B1123" s="74"/>
      <c r="C1123" s="74" t="s">
        <v>2308</v>
      </c>
      <c r="D1123" s="74" t="s">
        <v>266</v>
      </c>
      <c r="E1123" s="146">
        <v>101345879</v>
      </c>
      <c r="F1123" s="7" t="s">
        <v>2309</v>
      </c>
      <c r="G1123" s="7"/>
      <c r="H1123" s="74" t="s">
        <v>2310</v>
      </c>
      <c r="I1123" s="75" t="s">
        <v>2311</v>
      </c>
      <c r="J1123" s="74">
        <v>736000293</v>
      </c>
      <c r="K1123" s="74" t="s">
        <v>2312</v>
      </c>
      <c r="L1123" s="74"/>
      <c r="M1123" s="74"/>
      <c r="N1123" s="74"/>
      <c r="O1123" s="76"/>
      <c r="P1123" s="76"/>
      <c r="Q1123" s="76"/>
      <c r="R1123" s="76"/>
      <c r="S1123" s="76"/>
      <c r="T1123" s="76"/>
      <c r="U1123" s="76"/>
      <c r="V1123" s="76"/>
      <c r="W1123" s="76"/>
      <c r="X1123" s="76"/>
      <c r="Y1123" s="76"/>
      <c r="Z1123" s="76"/>
      <c r="AA1123" s="76"/>
      <c r="AB1123" s="76"/>
      <c r="AC1123" s="76"/>
      <c r="AD1123" s="76"/>
      <c r="AE1123" s="76"/>
      <c r="AF1123" s="76"/>
      <c r="AG1123" s="76"/>
      <c r="AH1123" s="76"/>
      <c r="AI1123" s="76"/>
      <c r="AJ1123" s="76"/>
    </row>
    <row r="1124" spans="1:36" ht="12.75">
      <c r="A1124" s="74" t="s">
        <v>2313</v>
      </c>
      <c r="B1124" s="74"/>
      <c r="C1124" s="74" t="s">
        <v>2314</v>
      </c>
      <c r="D1124" s="74" t="s">
        <v>2315</v>
      </c>
      <c r="E1124" s="146">
        <v>741530481</v>
      </c>
      <c r="F1124" s="7" t="s">
        <v>2316</v>
      </c>
      <c r="G1124" s="7"/>
      <c r="H1124" s="74" t="s">
        <v>2317</v>
      </c>
      <c r="I1124" s="75" t="s">
        <v>65</v>
      </c>
      <c r="J1124" s="74">
        <v>732837622</v>
      </c>
      <c r="K1124" s="74" t="s">
        <v>2318</v>
      </c>
      <c r="L1124" s="74"/>
      <c r="M1124" s="74"/>
      <c r="N1124" s="74"/>
      <c r="O1124" s="76"/>
      <c r="P1124" s="76"/>
      <c r="Q1124" s="76"/>
      <c r="R1124" s="76"/>
      <c r="S1124" s="76"/>
      <c r="T1124" s="76"/>
      <c r="U1124" s="76"/>
      <c r="V1124" s="76"/>
      <c r="W1124" s="76"/>
      <c r="X1124" s="76"/>
      <c r="Y1124" s="76"/>
      <c r="Z1124" s="76"/>
      <c r="AA1124" s="76"/>
      <c r="AB1124" s="76"/>
      <c r="AC1124" s="76"/>
      <c r="AD1124" s="76"/>
      <c r="AE1124" s="76"/>
      <c r="AF1124" s="76"/>
      <c r="AG1124" s="76"/>
      <c r="AH1124" s="76"/>
      <c r="AI1124" s="76"/>
      <c r="AJ1124" s="76"/>
    </row>
    <row r="1125" spans="1:36" ht="12.75">
      <c r="A1125" s="74" t="s">
        <v>2319</v>
      </c>
      <c r="B1125" s="74"/>
      <c r="C1125" s="74" t="s">
        <v>2320</v>
      </c>
      <c r="D1125" s="74" t="s">
        <v>266</v>
      </c>
      <c r="E1125" s="146">
        <v>111871220</v>
      </c>
      <c r="F1125" s="7" t="s">
        <v>2321</v>
      </c>
      <c r="G1125" s="7"/>
      <c r="H1125" s="74" t="s">
        <v>2322</v>
      </c>
      <c r="I1125" s="75" t="s">
        <v>2323</v>
      </c>
      <c r="J1125" s="74">
        <v>796499244</v>
      </c>
      <c r="K1125" s="74" t="s">
        <v>2324</v>
      </c>
      <c r="L1125" s="74"/>
      <c r="M1125" s="74"/>
      <c r="N1125" s="74"/>
      <c r="O1125" s="76"/>
      <c r="P1125" s="76"/>
      <c r="Q1125" s="76"/>
      <c r="R1125" s="76"/>
      <c r="S1125" s="76"/>
      <c r="T1125" s="76"/>
      <c r="U1125" s="76"/>
      <c r="V1125" s="76"/>
      <c r="W1125" s="76"/>
      <c r="X1125" s="76"/>
      <c r="Y1125" s="76"/>
      <c r="Z1125" s="76"/>
      <c r="AA1125" s="76"/>
      <c r="AB1125" s="76"/>
      <c r="AC1125" s="76"/>
      <c r="AD1125" s="76"/>
      <c r="AE1125" s="76"/>
      <c r="AF1125" s="76"/>
      <c r="AG1125" s="76"/>
      <c r="AH1125" s="76"/>
      <c r="AI1125" s="76"/>
      <c r="AJ1125" s="76"/>
    </row>
    <row r="1126" spans="1:36" ht="14.25">
      <c r="A1126" s="74" t="s">
        <v>2325</v>
      </c>
      <c r="B1126" s="74"/>
      <c r="C1126" s="74" t="s">
        <v>2326</v>
      </c>
      <c r="D1126" s="96" t="s">
        <v>1829</v>
      </c>
      <c r="E1126" s="146">
        <v>745243613</v>
      </c>
      <c r="F1126" s="7" t="s">
        <v>2327</v>
      </c>
      <c r="G1126" s="7"/>
      <c r="H1126" s="74" t="s">
        <v>2328</v>
      </c>
      <c r="I1126" s="75" t="s">
        <v>218</v>
      </c>
      <c r="J1126" s="220" t="s">
        <v>2329</v>
      </c>
      <c r="K1126" s="220" t="s">
        <v>2330</v>
      </c>
      <c r="L1126" s="221"/>
      <c r="M1126" s="221"/>
      <c r="N1126" s="221"/>
      <c r="O1126" s="76"/>
      <c r="P1126" s="76"/>
      <c r="Q1126" s="76"/>
      <c r="R1126" s="76"/>
      <c r="S1126" s="76"/>
      <c r="T1126" s="76"/>
      <c r="U1126" s="76"/>
      <c r="V1126" s="76"/>
      <c r="W1126" s="76"/>
      <c r="X1126" s="76"/>
      <c r="Y1126" s="76"/>
      <c r="Z1126" s="76"/>
      <c r="AA1126" s="76"/>
      <c r="AB1126" s="76"/>
      <c r="AC1126" s="76"/>
      <c r="AD1126" s="76"/>
      <c r="AE1126" s="76"/>
      <c r="AF1126" s="76"/>
      <c r="AG1126" s="76"/>
      <c r="AH1126" s="76"/>
      <c r="AI1126" s="76"/>
      <c r="AJ1126" s="76"/>
    </row>
    <row r="1127" spans="1:36" ht="16.5">
      <c r="A1127" s="74" t="s">
        <v>2331</v>
      </c>
      <c r="B1127" s="74"/>
      <c r="C1127" s="74" t="s">
        <v>2332</v>
      </c>
      <c r="D1127" s="74" t="s">
        <v>227</v>
      </c>
      <c r="E1127" s="194">
        <f>254114957666</f>
        <v>254114957666</v>
      </c>
      <c r="F1127" s="7" t="s">
        <v>2333</v>
      </c>
      <c r="G1127" s="7"/>
      <c r="H1127" s="74" t="s">
        <v>2334</v>
      </c>
      <c r="I1127" s="75" t="s">
        <v>269</v>
      </c>
      <c r="J1127" s="74" t="s">
        <v>2335</v>
      </c>
      <c r="K1127" s="222" t="s">
        <v>2336</v>
      </c>
      <c r="L1127" s="223"/>
      <c r="M1127" s="223"/>
      <c r="N1127" s="223"/>
      <c r="O1127" s="76"/>
      <c r="P1127" s="76"/>
      <c r="Q1127" s="76"/>
      <c r="R1127" s="76"/>
      <c r="S1127" s="76"/>
      <c r="T1127" s="76"/>
      <c r="U1127" s="76"/>
      <c r="V1127" s="76"/>
      <c r="W1127" s="76"/>
      <c r="X1127" s="76"/>
      <c r="Y1127" s="76"/>
      <c r="Z1127" s="76"/>
      <c r="AA1127" s="76"/>
      <c r="AB1127" s="76"/>
      <c r="AC1127" s="76"/>
      <c r="AD1127" s="76"/>
      <c r="AE1127" s="76"/>
      <c r="AF1127" s="76"/>
      <c r="AG1127" s="76"/>
      <c r="AH1127" s="76"/>
      <c r="AI1127" s="76"/>
      <c r="AJ1127" s="76"/>
    </row>
    <row r="1128" spans="1:36" ht="12.75">
      <c r="A1128" s="74" t="s">
        <v>2337</v>
      </c>
      <c r="B1128" s="74"/>
      <c r="C1128" s="74" t="s">
        <v>2338</v>
      </c>
      <c r="D1128" s="74" t="s">
        <v>2339</v>
      </c>
      <c r="E1128" s="146">
        <v>113205456</v>
      </c>
      <c r="F1128" s="7" t="s">
        <v>2340</v>
      </c>
      <c r="G1128" s="7"/>
      <c r="H1128" s="74" t="s">
        <v>2341</v>
      </c>
      <c r="I1128" s="75" t="s">
        <v>2342</v>
      </c>
      <c r="J1128" s="76">
        <f>254771370824</f>
        <v>254771370824</v>
      </c>
      <c r="K1128" s="74" t="s">
        <v>978</v>
      </c>
      <c r="L1128" s="74"/>
      <c r="M1128" s="74"/>
      <c r="N1128" s="74"/>
      <c r="O1128" s="76"/>
      <c r="P1128" s="76"/>
      <c r="Q1128" s="76"/>
      <c r="R1128" s="76"/>
      <c r="S1128" s="76"/>
      <c r="T1128" s="76"/>
      <c r="U1128" s="76"/>
      <c r="V1128" s="76"/>
      <c r="W1128" s="76"/>
      <c r="X1128" s="76"/>
      <c r="Y1128" s="76"/>
      <c r="Z1128" s="76"/>
      <c r="AA1128" s="76"/>
      <c r="AB1128" s="76"/>
      <c r="AC1128" s="76"/>
      <c r="AD1128" s="76"/>
      <c r="AE1128" s="76"/>
      <c r="AF1128" s="76"/>
      <c r="AG1128" s="76"/>
      <c r="AH1128" s="76"/>
      <c r="AI1128" s="76"/>
      <c r="AJ1128" s="76"/>
    </row>
    <row r="1129" spans="1:36" ht="15">
      <c r="A1129" s="7" t="s">
        <v>2343</v>
      </c>
      <c r="B1129" s="7"/>
      <c r="C1129" s="74" t="s">
        <v>2344</v>
      </c>
      <c r="D1129" s="74" t="s">
        <v>2345</v>
      </c>
      <c r="E1129" s="146">
        <v>254705225201</v>
      </c>
      <c r="F1129" s="7" t="s">
        <v>2346</v>
      </c>
      <c r="G1129" s="7"/>
      <c r="H1129" s="74" t="s">
        <v>2347</v>
      </c>
      <c r="I1129" s="75" t="s">
        <v>237</v>
      </c>
      <c r="J1129" s="224">
        <v>254703094043</v>
      </c>
      <c r="K1129" s="74" t="s">
        <v>2348</v>
      </c>
      <c r="L1129" s="74"/>
      <c r="M1129" s="74"/>
      <c r="N1129" s="74"/>
      <c r="O1129" s="76"/>
      <c r="P1129" s="76"/>
      <c r="Q1129" s="76"/>
      <c r="R1129" s="76"/>
      <c r="S1129" s="76"/>
      <c r="T1129" s="76"/>
      <c r="U1129" s="76"/>
      <c r="V1129" s="76"/>
      <c r="W1129" s="76"/>
      <c r="X1129" s="76"/>
      <c r="Y1129" s="76"/>
      <c r="Z1129" s="76"/>
      <c r="AA1129" s="76"/>
      <c r="AB1129" s="76"/>
      <c r="AC1129" s="76"/>
      <c r="AD1129" s="76"/>
      <c r="AE1129" s="76"/>
      <c r="AF1129" s="76"/>
      <c r="AG1129" s="76"/>
      <c r="AH1129" s="76"/>
      <c r="AI1129" s="76"/>
      <c r="AJ1129" s="76"/>
    </row>
    <row r="1130" spans="1:36" ht="12.75">
      <c r="A1130" s="74" t="s">
        <v>2349</v>
      </c>
      <c r="B1130" s="74"/>
      <c r="C1130" s="74" t="s">
        <v>2350</v>
      </c>
      <c r="D1130" s="74" t="s">
        <v>227</v>
      </c>
      <c r="E1130" s="146">
        <v>254795285206</v>
      </c>
      <c r="F1130" s="7" t="s">
        <v>199</v>
      </c>
      <c r="G1130" s="7"/>
      <c r="H1130" s="74" t="s">
        <v>2351</v>
      </c>
      <c r="I1130" s="75" t="s">
        <v>732</v>
      </c>
      <c r="J1130" s="74">
        <v>720668238</v>
      </c>
      <c r="K1130" s="74" t="s">
        <v>2352</v>
      </c>
      <c r="L1130" s="74"/>
      <c r="M1130" s="74"/>
      <c r="N1130" s="74"/>
      <c r="O1130" s="76"/>
      <c r="P1130" s="76"/>
      <c r="Q1130" s="76"/>
      <c r="R1130" s="76"/>
      <c r="S1130" s="76"/>
      <c r="T1130" s="76"/>
      <c r="U1130" s="76"/>
      <c r="V1130" s="76"/>
      <c r="W1130" s="76"/>
      <c r="X1130" s="76"/>
      <c r="Y1130" s="76"/>
      <c r="Z1130" s="76"/>
      <c r="AA1130" s="76"/>
      <c r="AB1130" s="76"/>
      <c r="AC1130" s="76"/>
      <c r="AD1130" s="76"/>
      <c r="AE1130" s="76"/>
      <c r="AF1130" s="76"/>
      <c r="AG1130" s="76"/>
      <c r="AH1130" s="76"/>
      <c r="AI1130" s="76"/>
      <c r="AJ1130" s="76"/>
    </row>
    <row r="1131" spans="1:36" ht="12.75">
      <c r="A1131" s="74" t="s">
        <v>2353</v>
      </c>
      <c r="B1131" s="74"/>
      <c r="C1131" s="74" t="s">
        <v>2354</v>
      </c>
      <c r="D1131" s="74" t="s">
        <v>2355</v>
      </c>
      <c r="E1131" s="146">
        <v>792560641</v>
      </c>
      <c r="F1131" s="7" t="s">
        <v>420</v>
      </c>
      <c r="G1131" s="7"/>
      <c r="H1131" s="74" t="s">
        <v>2356</v>
      </c>
      <c r="I1131" s="75" t="s">
        <v>562</v>
      </c>
      <c r="J1131" s="74">
        <v>720418444</v>
      </c>
      <c r="K1131" s="74" t="s">
        <v>422</v>
      </c>
      <c r="L1131" s="74"/>
      <c r="M1131" s="74"/>
      <c r="N1131" s="74"/>
      <c r="O1131" s="76"/>
      <c r="P1131" s="76"/>
      <c r="Q1131" s="76"/>
      <c r="R1131" s="76"/>
      <c r="S1131" s="76"/>
      <c r="T1131" s="76"/>
      <c r="U1131" s="76"/>
      <c r="V1131" s="76"/>
      <c r="W1131" s="76"/>
      <c r="X1131" s="76"/>
      <c r="Y1131" s="76"/>
      <c r="Z1131" s="76"/>
      <c r="AA1131" s="76"/>
      <c r="AB1131" s="76"/>
      <c r="AC1131" s="76"/>
      <c r="AD1131" s="76"/>
      <c r="AE1131" s="76"/>
      <c r="AF1131" s="76"/>
      <c r="AG1131" s="76"/>
      <c r="AH1131" s="76"/>
      <c r="AI1131" s="76"/>
      <c r="AJ1131" s="76"/>
    </row>
    <row r="1132" spans="1:36" ht="12.75">
      <c r="A1132" s="74" t="s">
        <v>2357</v>
      </c>
      <c r="B1132" s="74"/>
      <c r="C1132" s="74" t="s">
        <v>2358</v>
      </c>
      <c r="D1132" s="74" t="s">
        <v>460</v>
      </c>
      <c r="E1132" s="146">
        <v>758639040</v>
      </c>
      <c r="F1132" s="7" t="s">
        <v>2359</v>
      </c>
      <c r="G1132" s="7"/>
      <c r="H1132" s="74" t="s">
        <v>2360</v>
      </c>
      <c r="I1132" s="75" t="s">
        <v>1225</v>
      </c>
      <c r="J1132" s="74">
        <v>701574284</v>
      </c>
      <c r="K1132" s="74" t="s">
        <v>2361</v>
      </c>
      <c r="L1132" s="74"/>
      <c r="M1132" s="74"/>
      <c r="N1132" s="74"/>
      <c r="O1132" s="76"/>
      <c r="P1132" s="76"/>
      <c r="Q1132" s="76"/>
      <c r="R1132" s="76"/>
      <c r="S1132" s="76"/>
      <c r="T1132" s="76"/>
      <c r="U1132" s="76"/>
      <c r="V1132" s="76"/>
      <c r="W1132" s="76"/>
      <c r="X1132" s="76"/>
      <c r="Y1132" s="76"/>
      <c r="Z1132" s="76"/>
      <c r="AA1132" s="76"/>
      <c r="AB1132" s="76"/>
      <c r="AC1132" s="76"/>
      <c r="AD1132" s="76"/>
      <c r="AE1132" s="76"/>
      <c r="AF1132" s="76"/>
      <c r="AG1132" s="76"/>
      <c r="AH1132" s="76"/>
      <c r="AI1132" s="76"/>
      <c r="AJ1132" s="76"/>
    </row>
    <row r="1133" spans="1:36" ht="18.75">
      <c r="A1133" s="74" t="s">
        <v>2362</v>
      </c>
      <c r="B1133" s="74"/>
      <c r="C1133" s="74" t="s">
        <v>2363</v>
      </c>
      <c r="D1133" s="74" t="s">
        <v>1912</v>
      </c>
      <c r="E1133" s="146">
        <v>714469231</v>
      </c>
      <c r="F1133" s="7" t="s">
        <v>2364</v>
      </c>
      <c r="G1133" s="7"/>
      <c r="H1133" s="74" t="s">
        <v>2365</v>
      </c>
      <c r="I1133" s="75" t="s">
        <v>218</v>
      </c>
      <c r="J1133" s="225">
        <v>254722205061</v>
      </c>
      <c r="K1133" s="74" t="s">
        <v>2366</v>
      </c>
      <c r="L1133" s="74"/>
      <c r="M1133" s="74"/>
      <c r="N1133" s="76"/>
      <c r="O1133" s="76"/>
      <c r="P1133" s="76"/>
      <c r="Q1133" s="76"/>
      <c r="R1133" s="76"/>
      <c r="S1133" s="76"/>
      <c r="T1133" s="76"/>
      <c r="U1133" s="76"/>
      <c r="V1133" s="76"/>
      <c r="W1133" s="76"/>
      <c r="X1133" s="76"/>
      <c r="Y1133" s="76"/>
      <c r="Z1133" s="76"/>
      <c r="AA1133" s="76"/>
      <c r="AB1133" s="76"/>
      <c r="AC1133" s="76"/>
      <c r="AD1133" s="76"/>
      <c r="AE1133" s="76"/>
      <c r="AF1133" s="76"/>
      <c r="AG1133" s="76"/>
      <c r="AH1133" s="76"/>
      <c r="AI1133" s="76"/>
      <c r="AJ1133" s="76"/>
    </row>
    <row r="1134" spans="1:36" ht="12.75">
      <c r="A1134" s="74" t="s">
        <v>2367</v>
      </c>
      <c r="B1134" s="74"/>
      <c r="C1134" s="74" t="s">
        <v>2368</v>
      </c>
      <c r="D1134" s="74" t="s">
        <v>1829</v>
      </c>
      <c r="E1134" s="146">
        <v>743363779</v>
      </c>
      <c r="F1134" s="7" t="s">
        <v>2369</v>
      </c>
      <c r="G1134" s="7"/>
      <c r="H1134" s="74" t="s">
        <v>2370</v>
      </c>
      <c r="I1134" s="75" t="s">
        <v>1225</v>
      </c>
      <c r="J1134" s="74">
        <v>718198947</v>
      </c>
      <c r="K1134" s="74" t="s">
        <v>2371</v>
      </c>
      <c r="L1134" s="74"/>
      <c r="M1134" s="74"/>
      <c r="N1134" s="76"/>
      <c r="O1134" s="76"/>
      <c r="P1134" s="76"/>
      <c r="Q1134" s="76"/>
      <c r="R1134" s="76"/>
      <c r="S1134" s="76"/>
      <c r="T1134" s="76"/>
      <c r="U1134" s="76"/>
      <c r="V1134" s="76"/>
      <c r="W1134" s="76"/>
      <c r="X1134" s="76"/>
      <c r="Y1134" s="76"/>
      <c r="Z1134" s="76"/>
      <c r="AA1134" s="76"/>
      <c r="AB1134" s="76"/>
      <c r="AC1134" s="76"/>
      <c r="AD1134" s="76"/>
      <c r="AE1134" s="76"/>
      <c r="AF1134" s="76"/>
      <c r="AG1134" s="76"/>
      <c r="AH1134" s="76"/>
      <c r="AI1134" s="76"/>
      <c r="AJ1134" s="76"/>
    </row>
    <row r="1135" spans="1:36" ht="12.75">
      <c r="A1135" s="74" t="s">
        <v>2372</v>
      </c>
      <c r="B1135" s="74"/>
      <c r="C1135" s="74" t="s">
        <v>2373</v>
      </c>
      <c r="D1135" s="74" t="s">
        <v>341</v>
      </c>
      <c r="E1135" s="146">
        <v>115049827</v>
      </c>
      <c r="F1135" s="7" t="s">
        <v>2374</v>
      </c>
      <c r="G1135" s="7"/>
      <c r="H1135" s="74" t="s">
        <v>2375</v>
      </c>
      <c r="I1135" s="75" t="s">
        <v>495</v>
      </c>
      <c r="J1135" s="76"/>
      <c r="K1135" s="76"/>
      <c r="L1135" s="76"/>
      <c r="M1135" s="76"/>
      <c r="N1135" s="76"/>
      <c r="O1135" s="76"/>
      <c r="P1135" s="76"/>
      <c r="Q1135" s="76"/>
      <c r="R1135" s="76"/>
      <c r="S1135" s="76"/>
      <c r="T1135" s="76"/>
      <c r="U1135" s="76"/>
      <c r="V1135" s="76"/>
      <c r="W1135" s="76"/>
      <c r="X1135" s="76"/>
      <c r="Y1135" s="76"/>
      <c r="Z1135" s="76"/>
      <c r="AA1135" s="76"/>
      <c r="AB1135" s="76"/>
      <c r="AC1135" s="76"/>
      <c r="AD1135" s="76"/>
      <c r="AE1135" s="76"/>
      <c r="AF1135" s="76"/>
      <c r="AG1135" s="76"/>
      <c r="AH1135" s="76"/>
      <c r="AI1135" s="76"/>
      <c r="AJ1135" s="76"/>
    </row>
    <row r="1136" spans="1:36" ht="12.75">
      <c r="A1136" s="74" t="s">
        <v>2376</v>
      </c>
      <c r="B1136" s="74"/>
      <c r="C1136" s="74" t="s">
        <v>2377</v>
      </c>
      <c r="D1136" s="74" t="s">
        <v>1407</v>
      </c>
      <c r="E1136" s="146">
        <v>795914494</v>
      </c>
      <c r="F1136" s="7" t="s">
        <v>2378</v>
      </c>
      <c r="G1136" s="7"/>
      <c r="H1136" s="76"/>
      <c r="I1136" s="84"/>
      <c r="J1136" s="76">
        <f>AVERAGE(J1130:J1135)</f>
        <v>51516612994.800003</v>
      </c>
      <c r="K1136" s="74" t="s">
        <v>2379</v>
      </c>
      <c r="L1136" s="74"/>
      <c r="M1136" s="74"/>
      <c r="N1136" s="74"/>
      <c r="O1136" s="76"/>
      <c r="P1136" s="76"/>
      <c r="Q1136" s="76"/>
      <c r="R1136" s="76"/>
      <c r="S1136" s="76"/>
      <c r="T1136" s="76"/>
      <c r="U1136" s="76"/>
      <c r="V1136" s="76"/>
      <c r="W1136" s="76"/>
      <c r="X1136" s="76"/>
      <c r="Y1136" s="76"/>
      <c r="Z1136" s="76"/>
      <c r="AA1136" s="76"/>
      <c r="AB1136" s="76"/>
      <c r="AC1136" s="76"/>
      <c r="AD1136" s="76"/>
      <c r="AE1136" s="76"/>
      <c r="AF1136" s="76"/>
      <c r="AG1136" s="76"/>
      <c r="AH1136" s="76"/>
      <c r="AI1136" s="76"/>
      <c r="AJ1136" s="76"/>
    </row>
    <row r="1137" spans="1:36" ht="12.75">
      <c r="A1137" s="74" t="s">
        <v>2380</v>
      </c>
      <c r="B1137" s="74"/>
      <c r="C1137" s="74" t="s">
        <v>2381</v>
      </c>
      <c r="D1137" s="74" t="s">
        <v>1060</v>
      </c>
      <c r="E1137" s="146">
        <v>746384028</v>
      </c>
      <c r="F1137" s="7" t="s">
        <v>2382</v>
      </c>
      <c r="G1137" s="7"/>
      <c r="H1137" s="76"/>
      <c r="I1137" s="84"/>
      <c r="J1137" s="76"/>
      <c r="O1137" s="76"/>
      <c r="P1137" s="76"/>
      <c r="Q1137" s="76"/>
      <c r="R1137" s="76"/>
      <c r="S1137" s="76"/>
      <c r="T1137" s="76"/>
      <c r="U1137" s="76"/>
      <c r="V1137" s="76"/>
      <c r="W1137" s="76"/>
      <c r="X1137" s="76"/>
      <c r="Y1137" s="76"/>
      <c r="Z1137" s="76"/>
      <c r="AA1137" s="76"/>
      <c r="AB1137" s="76"/>
      <c r="AC1137" s="76"/>
      <c r="AD1137" s="76"/>
      <c r="AE1137" s="76"/>
      <c r="AF1137" s="76"/>
      <c r="AG1137" s="76"/>
      <c r="AH1137" s="76"/>
      <c r="AI1137" s="76"/>
      <c r="AJ1137" s="76"/>
    </row>
    <row r="1138" spans="1:36" ht="12.75">
      <c r="A1138" s="7" t="s">
        <v>2383</v>
      </c>
      <c r="B1138" s="7"/>
      <c r="C1138" s="74" t="s">
        <v>2384</v>
      </c>
      <c r="D1138" s="74" t="s">
        <v>71</v>
      </c>
      <c r="E1138" s="146">
        <v>113005716</v>
      </c>
      <c r="F1138" s="7" t="s">
        <v>2385</v>
      </c>
      <c r="G1138" s="7"/>
      <c r="H1138" s="74" t="s">
        <v>2386</v>
      </c>
      <c r="I1138" s="84"/>
      <c r="J1138" s="76"/>
      <c r="K1138" s="76"/>
      <c r="L1138" s="76"/>
      <c r="M1138" s="76"/>
      <c r="N1138" s="76"/>
      <c r="O1138" s="76"/>
      <c r="P1138" s="76"/>
      <c r="Q1138" s="76"/>
      <c r="R1138" s="76"/>
      <c r="S1138" s="76"/>
      <c r="T1138" s="76"/>
      <c r="U1138" s="76"/>
      <c r="V1138" s="76"/>
      <c r="W1138" s="76"/>
      <c r="X1138" s="76"/>
      <c r="Y1138" s="76"/>
      <c r="Z1138" s="76"/>
      <c r="AA1138" s="76"/>
      <c r="AB1138" s="76"/>
      <c r="AC1138" s="76"/>
      <c r="AD1138" s="76"/>
      <c r="AE1138" s="76"/>
      <c r="AF1138" s="76"/>
      <c r="AG1138" s="76"/>
      <c r="AH1138" s="76"/>
      <c r="AI1138" s="76"/>
      <c r="AJ1138" s="76"/>
    </row>
    <row r="1139" spans="1:36" ht="12.75">
      <c r="A1139" s="74" t="s">
        <v>2387</v>
      </c>
      <c r="B1139" s="74"/>
      <c r="C1139" s="74" t="s">
        <v>2388</v>
      </c>
      <c r="D1139" s="74" t="s">
        <v>2389</v>
      </c>
      <c r="E1139" s="194">
        <f>254727730123</f>
        <v>254727730123</v>
      </c>
      <c r="F1139" s="31" t="s">
        <v>2390</v>
      </c>
      <c r="G1139" s="37"/>
      <c r="H1139" s="74" t="s">
        <v>2391</v>
      </c>
      <c r="I1139" s="75" t="s">
        <v>269</v>
      </c>
      <c r="J1139" s="76">
        <f>254726676157</f>
        <v>254726676157</v>
      </c>
      <c r="K1139" s="74" t="s">
        <v>2277</v>
      </c>
      <c r="L1139" s="74"/>
      <c r="M1139" s="74"/>
      <c r="N1139" s="74"/>
      <c r="O1139" s="76"/>
      <c r="P1139" s="76"/>
      <c r="Q1139" s="76"/>
      <c r="R1139" s="76"/>
      <c r="S1139" s="76"/>
      <c r="T1139" s="76"/>
      <c r="U1139" s="76"/>
      <c r="V1139" s="76"/>
      <c r="W1139" s="76"/>
      <c r="X1139" s="76"/>
      <c r="Y1139" s="76"/>
      <c r="Z1139" s="76"/>
      <c r="AA1139" s="76"/>
      <c r="AB1139" s="76"/>
      <c r="AC1139" s="76"/>
      <c r="AD1139" s="76"/>
      <c r="AE1139" s="76"/>
      <c r="AF1139" s="76"/>
      <c r="AG1139" s="76"/>
      <c r="AH1139" s="76"/>
      <c r="AI1139" s="76"/>
      <c r="AJ1139" s="76"/>
    </row>
    <row r="1140" spans="1:36" ht="12.75">
      <c r="A1140" s="74" t="s">
        <v>2392</v>
      </c>
      <c r="B1140" s="74"/>
      <c r="C1140" s="74" t="s">
        <v>2393</v>
      </c>
      <c r="D1140" s="74" t="s">
        <v>71</v>
      </c>
      <c r="E1140" s="146">
        <v>735143953</v>
      </c>
      <c r="F1140" s="7" t="s">
        <v>2394</v>
      </c>
      <c r="G1140" s="7"/>
      <c r="H1140" s="74" t="s">
        <v>2395</v>
      </c>
      <c r="I1140" s="75" t="s">
        <v>2396</v>
      </c>
      <c r="J1140" s="74">
        <v>25425811516</v>
      </c>
      <c r="K1140" s="74" t="s">
        <v>2397</v>
      </c>
      <c r="L1140" s="74"/>
      <c r="M1140" s="74"/>
      <c r="N1140" s="74"/>
      <c r="O1140" s="76"/>
      <c r="P1140" s="76"/>
      <c r="Q1140" s="76"/>
      <c r="R1140" s="76"/>
      <c r="S1140" s="76"/>
      <c r="T1140" s="76"/>
      <c r="U1140" s="76"/>
      <c r="V1140" s="76"/>
      <c r="W1140" s="76"/>
      <c r="X1140" s="76"/>
      <c r="Y1140" s="76"/>
      <c r="Z1140" s="76"/>
      <c r="AA1140" s="76"/>
      <c r="AB1140" s="76"/>
      <c r="AC1140" s="76"/>
      <c r="AD1140" s="76"/>
      <c r="AE1140" s="76"/>
      <c r="AF1140" s="76"/>
      <c r="AG1140" s="76"/>
      <c r="AH1140" s="76"/>
      <c r="AI1140" s="76"/>
      <c r="AJ1140" s="76"/>
    </row>
    <row r="1141" spans="1:36" ht="12.75">
      <c r="A1141" s="74" t="s">
        <v>2398</v>
      </c>
      <c r="B1141" s="74"/>
      <c r="C1141" s="74" t="s">
        <v>2399</v>
      </c>
      <c r="D1141" s="74" t="s">
        <v>2389</v>
      </c>
      <c r="E1141" s="146">
        <v>740439197</v>
      </c>
      <c r="F1141" s="7" t="s">
        <v>2400</v>
      </c>
      <c r="G1141" s="7"/>
      <c r="H1141" s="74" t="s">
        <v>2401</v>
      </c>
      <c r="I1141" s="75" t="s">
        <v>1994</v>
      </c>
      <c r="J1141" s="74">
        <v>792735720</v>
      </c>
      <c r="K1141" s="74" t="s">
        <v>2402</v>
      </c>
      <c r="L1141" s="74"/>
      <c r="M1141" s="74"/>
      <c r="N1141" s="74"/>
      <c r="O1141" s="76"/>
      <c r="P1141" s="76"/>
      <c r="Q1141" s="76"/>
      <c r="R1141" s="76"/>
      <c r="S1141" s="76"/>
      <c r="T1141" s="76"/>
      <c r="U1141" s="76"/>
      <c r="V1141" s="76"/>
      <c r="W1141" s="76"/>
      <c r="X1141" s="76"/>
      <c r="Y1141" s="76"/>
      <c r="Z1141" s="76"/>
      <c r="AA1141" s="76"/>
      <c r="AB1141" s="76"/>
      <c r="AC1141" s="76"/>
      <c r="AD1141" s="76"/>
      <c r="AE1141" s="76"/>
      <c r="AF1141" s="76"/>
      <c r="AG1141" s="76"/>
      <c r="AH1141" s="76"/>
      <c r="AI1141" s="76"/>
      <c r="AJ1141" s="76"/>
    </row>
    <row r="1142" spans="1:36" ht="12.75">
      <c r="A1142" s="74" t="s">
        <v>2403</v>
      </c>
      <c r="B1142" s="74"/>
      <c r="C1142" s="74" t="s">
        <v>2404</v>
      </c>
      <c r="D1142" s="74" t="s">
        <v>2405</v>
      </c>
      <c r="E1142" s="146">
        <v>768495473</v>
      </c>
      <c r="F1142" s="7" t="s">
        <v>1620</v>
      </c>
      <c r="G1142" s="7"/>
      <c r="H1142" s="74" t="s">
        <v>2406</v>
      </c>
      <c r="I1142" s="75" t="s">
        <v>1793</v>
      </c>
      <c r="J1142" s="74">
        <v>7202582237</v>
      </c>
      <c r="K1142" s="74" t="s">
        <v>180</v>
      </c>
      <c r="L1142" s="74"/>
      <c r="M1142" s="74"/>
      <c r="N1142" s="74"/>
      <c r="O1142" s="76"/>
      <c r="P1142" s="76"/>
      <c r="Q1142" s="76"/>
      <c r="R1142" s="76"/>
      <c r="S1142" s="76"/>
      <c r="T1142" s="76"/>
      <c r="U1142" s="76"/>
      <c r="V1142" s="76"/>
      <c r="W1142" s="76"/>
      <c r="X1142" s="76"/>
      <c r="Y1142" s="76"/>
      <c r="Z1142" s="76"/>
      <c r="AA1142" s="76"/>
      <c r="AB1142" s="76"/>
      <c r="AC1142" s="76"/>
      <c r="AD1142" s="76"/>
      <c r="AE1142" s="76"/>
      <c r="AF1142" s="76"/>
      <c r="AG1142" s="76"/>
      <c r="AH1142" s="76"/>
      <c r="AI1142" s="76"/>
      <c r="AJ1142" s="76"/>
    </row>
    <row r="1143" spans="1:36" ht="12.75">
      <c r="A1143" s="74" t="s">
        <v>2407</v>
      </c>
      <c r="B1143" s="74"/>
      <c r="C1143" s="74" t="s">
        <v>2408</v>
      </c>
      <c r="D1143" s="74" t="s">
        <v>71</v>
      </c>
      <c r="E1143" s="146">
        <v>796705022</v>
      </c>
      <c r="F1143" s="7" t="s">
        <v>2409</v>
      </c>
      <c r="G1143" s="7"/>
      <c r="H1143" s="74" t="s">
        <v>2410</v>
      </c>
      <c r="I1143" s="75" t="s">
        <v>59</v>
      </c>
      <c r="J1143" s="74">
        <v>721301581</v>
      </c>
      <c r="K1143" s="74" t="s">
        <v>2411</v>
      </c>
      <c r="L1143" s="74"/>
      <c r="M1143" s="74"/>
      <c r="N1143" s="74"/>
      <c r="O1143" s="76"/>
      <c r="P1143" s="76"/>
      <c r="Q1143" s="76"/>
      <c r="R1143" s="76"/>
      <c r="S1143" s="76"/>
      <c r="T1143" s="76"/>
      <c r="U1143" s="76"/>
      <c r="V1143" s="76"/>
      <c r="W1143" s="76"/>
      <c r="X1143" s="76"/>
      <c r="Y1143" s="76"/>
      <c r="Z1143" s="76"/>
      <c r="AA1143" s="76"/>
      <c r="AB1143" s="76"/>
      <c r="AC1143" s="76"/>
      <c r="AD1143" s="76"/>
      <c r="AE1143" s="76"/>
      <c r="AF1143" s="76"/>
      <c r="AG1143" s="76"/>
      <c r="AH1143" s="76"/>
      <c r="AI1143" s="76"/>
      <c r="AJ1143" s="76"/>
    </row>
    <row r="1144" spans="1:36" ht="12.75">
      <c r="A1144" s="74" t="s">
        <v>2412</v>
      </c>
      <c r="B1144" s="74"/>
      <c r="C1144" s="74" t="s">
        <v>2413</v>
      </c>
      <c r="D1144" s="74" t="s">
        <v>873</v>
      </c>
      <c r="E1144" s="146">
        <v>796705177</v>
      </c>
      <c r="F1144" s="7" t="s">
        <v>2414</v>
      </c>
      <c r="G1144" s="7"/>
      <c r="H1144" s="74" t="s">
        <v>2415</v>
      </c>
      <c r="I1144" s="75" t="s">
        <v>1472</v>
      </c>
      <c r="J1144" s="74">
        <v>2034548</v>
      </c>
      <c r="K1144" s="192" t="s">
        <v>2416</v>
      </c>
      <c r="L1144" s="74"/>
      <c r="M1144" s="74"/>
      <c r="N1144" s="74"/>
      <c r="O1144" s="76"/>
      <c r="P1144" s="76"/>
      <c r="Q1144" s="76"/>
      <c r="R1144" s="76"/>
      <c r="S1144" s="76"/>
      <c r="T1144" s="76"/>
      <c r="U1144" s="76"/>
      <c r="V1144" s="76"/>
      <c r="W1144" s="76"/>
      <c r="X1144" s="76"/>
      <c r="Y1144" s="76"/>
      <c r="Z1144" s="76"/>
      <c r="AA1144" s="76"/>
      <c r="AB1144" s="76"/>
      <c r="AC1144" s="76"/>
      <c r="AD1144" s="76"/>
      <c r="AE1144" s="76"/>
      <c r="AF1144" s="76"/>
      <c r="AG1144" s="76"/>
      <c r="AH1144" s="76"/>
      <c r="AI1144" s="76"/>
      <c r="AJ1144" s="76"/>
    </row>
    <row r="1145" spans="1:36" ht="12.75">
      <c r="A1145" s="103" t="s">
        <v>2207</v>
      </c>
      <c r="B1145" s="228"/>
      <c r="C1145" s="228" t="s">
        <v>2208</v>
      </c>
      <c r="D1145" s="228" t="s">
        <v>2209</v>
      </c>
      <c r="E1145" s="288">
        <v>714978525</v>
      </c>
      <c r="F1145" s="48" t="s">
        <v>2210</v>
      </c>
      <c r="G1145" s="48"/>
      <c r="H1145" s="228" t="s">
        <v>2211</v>
      </c>
      <c r="I1145" s="229" t="s">
        <v>59</v>
      </c>
      <c r="J1145" s="230">
        <v>254786789411</v>
      </c>
      <c r="K1145" s="228" t="s">
        <v>2212</v>
      </c>
      <c r="L1145" s="231"/>
      <c r="M1145" s="231"/>
      <c r="N1145" s="231"/>
      <c r="O1145" s="76"/>
      <c r="P1145" s="76"/>
      <c r="Q1145" s="76"/>
      <c r="R1145" s="76"/>
      <c r="S1145" s="76"/>
      <c r="T1145" s="76"/>
      <c r="U1145" s="76"/>
      <c r="V1145" s="76"/>
      <c r="W1145" s="76"/>
      <c r="X1145" s="76"/>
      <c r="Y1145" s="76"/>
      <c r="Z1145" s="76"/>
      <c r="AA1145" s="76"/>
      <c r="AB1145" s="76"/>
      <c r="AC1145" s="76"/>
      <c r="AD1145" s="76"/>
      <c r="AE1145" s="76"/>
      <c r="AF1145" s="76"/>
      <c r="AG1145" s="76"/>
      <c r="AH1145" s="76"/>
      <c r="AI1145" s="76"/>
      <c r="AJ1145" s="76"/>
    </row>
    <row r="1146" spans="1:36" ht="12.75">
      <c r="A1146" s="289" t="s">
        <v>2213</v>
      </c>
      <c r="B1146" s="235"/>
      <c r="C1146" s="235" t="s">
        <v>2214</v>
      </c>
      <c r="D1146" s="235" t="s">
        <v>2209</v>
      </c>
      <c r="E1146" s="290">
        <v>794473791</v>
      </c>
      <c r="F1146" s="50" t="s">
        <v>2215</v>
      </c>
      <c r="G1146" s="50"/>
      <c r="H1146" s="235" t="s">
        <v>941</v>
      </c>
      <c r="I1146" s="236" t="s">
        <v>218</v>
      </c>
      <c r="J1146" s="237">
        <v>704215496</v>
      </c>
      <c r="K1146" s="235" t="s">
        <v>2216</v>
      </c>
      <c r="L1146" s="238"/>
      <c r="M1146" s="238"/>
      <c r="N1146" s="238"/>
      <c r="O1146" s="76"/>
      <c r="P1146" s="76"/>
      <c r="Q1146" s="76"/>
      <c r="R1146" s="76"/>
      <c r="S1146" s="76"/>
      <c r="T1146" s="76"/>
      <c r="U1146" s="76"/>
      <c r="V1146" s="76"/>
      <c r="W1146" s="76"/>
      <c r="X1146" s="76"/>
      <c r="Y1146" s="76"/>
      <c r="Z1146" s="76"/>
      <c r="AA1146" s="76"/>
      <c r="AB1146" s="76"/>
      <c r="AC1146" s="76"/>
      <c r="AD1146" s="76"/>
      <c r="AE1146" s="76"/>
      <c r="AF1146" s="76"/>
      <c r="AG1146" s="76"/>
      <c r="AH1146" s="76"/>
      <c r="AI1146" s="76"/>
      <c r="AJ1146" s="76"/>
    </row>
    <row r="1147" spans="1:36" ht="12.75">
      <c r="A1147" s="289" t="s">
        <v>2217</v>
      </c>
      <c r="B1147" s="235"/>
      <c r="C1147" s="235" t="s">
        <v>2218</v>
      </c>
      <c r="D1147" s="235" t="s">
        <v>1742</v>
      </c>
      <c r="E1147" s="290">
        <v>722312356</v>
      </c>
      <c r="F1147" s="50" t="s">
        <v>2219</v>
      </c>
      <c r="G1147" s="50"/>
      <c r="H1147" s="235" t="s">
        <v>2220</v>
      </c>
      <c r="I1147" s="236" t="s">
        <v>763</v>
      </c>
      <c r="J1147" s="237">
        <v>254723661676</v>
      </c>
      <c r="K1147" s="235" t="s">
        <v>2221</v>
      </c>
      <c r="L1147" s="238"/>
      <c r="M1147" s="238"/>
      <c r="N1147" s="238"/>
      <c r="O1147" s="76"/>
      <c r="P1147" s="76"/>
      <c r="Q1147" s="76"/>
      <c r="R1147" s="76"/>
      <c r="S1147" s="76"/>
      <c r="T1147" s="76"/>
      <c r="U1147" s="76"/>
      <c r="V1147" s="76"/>
      <c r="W1147" s="76"/>
      <c r="X1147" s="76"/>
      <c r="Y1147" s="76"/>
      <c r="Z1147" s="76"/>
      <c r="AA1147" s="76"/>
      <c r="AB1147" s="76"/>
      <c r="AC1147" s="76"/>
      <c r="AD1147" s="76"/>
      <c r="AE1147" s="76"/>
      <c r="AF1147" s="76"/>
      <c r="AG1147" s="76"/>
      <c r="AH1147" s="76"/>
      <c r="AI1147" s="76"/>
      <c r="AJ1147" s="76"/>
    </row>
    <row r="1148" spans="1:36" ht="12.75">
      <c r="A1148" s="289" t="s">
        <v>2417</v>
      </c>
      <c r="B1148" s="235"/>
      <c r="C1148" s="235" t="s">
        <v>2231</v>
      </c>
      <c r="D1148" s="235" t="s">
        <v>1998</v>
      </c>
      <c r="E1148" s="290">
        <v>741466571</v>
      </c>
      <c r="F1148" s="50" t="s">
        <v>2232</v>
      </c>
      <c r="G1148" s="50"/>
      <c r="H1148" s="235" t="s">
        <v>2233</v>
      </c>
      <c r="I1148" s="236" t="s">
        <v>2234</v>
      </c>
      <c r="J1148" s="237">
        <v>711933933</v>
      </c>
      <c r="K1148" s="235"/>
      <c r="L1148" s="238"/>
      <c r="M1148" s="238"/>
      <c r="N1148" s="238"/>
      <c r="O1148" s="76"/>
      <c r="P1148" s="76"/>
      <c r="Q1148" s="76"/>
      <c r="R1148" s="76"/>
      <c r="S1148" s="76"/>
      <c r="T1148" s="76"/>
      <c r="U1148" s="76"/>
      <c r="V1148" s="76"/>
      <c r="W1148" s="76"/>
      <c r="X1148" s="76"/>
      <c r="Y1148" s="76"/>
      <c r="Z1148" s="76"/>
      <c r="AA1148" s="76"/>
      <c r="AB1148" s="76"/>
      <c r="AC1148" s="76"/>
      <c r="AD1148" s="76"/>
      <c r="AE1148" s="76"/>
      <c r="AF1148" s="76"/>
      <c r="AG1148" s="76"/>
      <c r="AH1148" s="76"/>
      <c r="AI1148" s="76"/>
      <c r="AJ1148" s="76"/>
    </row>
    <row r="1149" spans="1:36" ht="12.75">
      <c r="A1149" s="289" t="s">
        <v>2418</v>
      </c>
      <c r="B1149" s="235"/>
      <c r="C1149" s="235" t="s">
        <v>2235</v>
      </c>
      <c r="D1149" s="235" t="s">
        <v>565</v>
      </c>
      <c r="E1149" s="290">
        <v>794178092</v>
      </c>
      <c r="F1149" s="50" t="s">
        <v>2236</v>
      </c>
      <c r="G1149" s="50"/>
      <c r="H1149" s="235" t="s">
        <v>2237</v>
      </c>
      <c r="I1149" s="236" t="s">
        <v>763</v>
      </c>
      <c r="J1149" s="235" t="s">
        <v>2238</v>
      </c>
      <c r="K1149" s="235" t="s">
        <v>2239</v>
      </c>
      <c r="L1149" s="238"/>
      <c r="M1149" s="238"/>
      <c r="N1149" s="238"/>
      <c r="O1149" s="76"/>
      <c r="P1149" s="76"/>
      <c r="Q1149" s="76"/>
      <c r="R1149" s="76"/>
      <c r="S1149" s="76"/>
      <c r="T1149" s="76"/>
      <c r="U1149" s="76"/>
      <c r="V1149" s="76"/>
      <c r="W1149" s="76"/>
      <c r="X1149" s="76"/>
      <c r="Y1149" s="76"/>
      <c r="Z1149" s="76"/>
      <c r="AA1149" s="76"/>
      <c r="AB1149" s="76"/>
      <c r="AC1149" s="76"/>
      <c r="AD1149" s="76"/>
      <c r="AE1149" s="76"/>
      <c r="AF1149" s="76"/>
      <c r="AG1149" s="76"/>
      <c r="AH1149" s="76"/>
      <c r="AI1149" s="76"/>
      <c r="AJ1149" s="76"/>
    </row>
    <row r="1150" spans="1:36" ht="12.75">
      <c r="A1150" s="289" t="s">
        <v>2419</v>
      </c>
      <c r="B1150" s="235"/>
      <c r="C1150" s="235" t="s">
        <v>2240</v>
      </c>
      <c r="D1150" s="235" t="s">
        <v>565</v>
      </c>
      <c r="E1150" s="290">
        <v>111913060</v>
      </c>
      <c r="F1150" s="50" t="s">
        <v>2241</v>
      </c>
      <c r="G1150" s="50"/>
      <c r="H1150" s="235" t="s">
        <v>2242</v>
      </c>
      <c r="I1150" s="236" t="s">
        <v>1429</v>
      </c>
      <c r="J1150" s="237">
        <v>724099887</v>
      </c>
      <c r="K1150" s="235" t="s">
        <v>2243</v>
      </c>
      <c r="L1150" s="238"/>
      <c r="M1150" s="238"/>
      <c r="N1150" s="238"/>
      <c r="O1150" s="76"/>
      <c r="P1150" s="76"/>
      <c r="Q1150" s="76"/>
      <c r="R1150" s="76"/>
      <c r="S1150" s="76"/>
      <c r="T1150" s="76"/>
      <c r="U1150" s="76"/>
      <c r="V1150" s="76"/>
      <c r="W1150" s="76"/>
      <c r="X1150" s="76"/>
      <c r="Y1150" s="76"/>
      <c r="Z1150" s="76"/>
      <c r="AA1150" s="76"/>
      <c r="AB1150" s="76"/>
      <c r="AC1150" s="76"/>
      <c r="AD1150" s="76"/>
      <c r="AE1150" s="76"/>
      <c r="AF1150" s="76"/>
      <c r="AG1150" s="76"/>
      <c r="AH1150" s="76"/>
      <c r="AI1150" s="76"/>
      <c r="AJ1150" s="76"/>
    </row>
    <row r="1151" spans="1:36" ht="12.75">
      <c r="A1151" s="289" t="s">
        <v>2420</v>
      </c>
      <c r="B1151" s="235"/>
      <c r="C1151" s="235" t="s">
        <v>2244</v>
      </c>
      <c r="D1151" s="235" t="s">
        <v>2245</v>
      </c>
      <c r="E1151" s="290">
        <v>712466663</v>
      </c>
      <c r="F1151" s="50" t="s">
        <v>2246</v>
      </c>
      <c r="G1151" s="50"/>
      <c r="H1151" s="235" t="s">
        <v>1505</v>
      </c>
      <c r="I1151" s="236" t="s">
        <v>2247</v>
      </c>
      <c r="J1151" s="235" t="s">
        <v>2248</v>
      </c>
      <c r="K1151" s="235" t="s">
        <v>2249</v>
      </c>
      <c r="L1151" s="238"/>
      <c r="M1151" s="238"/>
      <c r="N1151" s="238"/>
      <c r="O1151" s="76"/>
      <c r="P1151" s="76"/>
      <c r="Q1151" s="76"/>
      <c r="R1151" s="76"/>
      <c r="S1151" s="76"/>
      <c r="T1151" s="76"/>
      <c r="U1151" s="76"/>
      <c r="V1151" s="76"/>
      <c r="W1151" s="76"/>
      <c r="X1151" s="76"/>
      <c r="Y1151" s="76"/>
      <c r="Z1151" s="76"/>
      <c r="AA1151" s="76"/>
      <c r="AB1151" s="76"/>
      <c r="AC1151" s="76"/>
      <c r="AD1151" s="76"/>
      <c r="AE1151" s="76"/>
      <c r="AF1151" s="76"/>
      <c r="AG1151" s="76"/>
      <c r="AH1151" s="76"/>
      <c r="AI1151" s="76"/>
      <c r="AJ1151" s="76"/>
    </row>
    <row r="1152" spans="1:36" ht="12.75">
      <c r="A1152" s="74" t="s">
        <v>2421</v>
      </c>
      <c r="B1152" s="74"/>
      <c r="C1152" s="74" t="s">
        <v>2422</v>
      </c>
      <c r="D1152" s="74" t="s">
        <v>1742</v>
      </c>
      <c r="E1152" s="146">
        <v>790857077</v>
      </c>
      <c r="F1152" s="7" t="s">
        <v>2423</v>
      </c>
      <c r="G1152" s="7"/>
      <c r="H1152" s="74" t="s">
        <v>2424</v>
      </c>
      <c r="I1152" s="75" t="s">
        <v>1564</v>
      </c>
      <c r="J1152" s="74">
        <v>724095296</v>
      </c>
      <c r="K1152" s="74" t="s">
        <v>2425</v>
      </c>
      <c r="L1152" s="74"/>
      <c r="M1152" s="74"/>
      <c r="N1152" s="74"/>
      <c r="O1152" s="76"/>
      <c r="P1152" s="76"/>
      <c r="Q1152" s="76"/>
      <c r="R1152" s="76"/>
      <c r="S1152" s="76"/>
      <c r="T1152" s="76"/>
      <c r="U1152" s="76"/>
      <c r="V1152" s="76"/>
      <c r="W1152" s="76"/>
      <c r="X1152" s="76"/>
      <c r="Y1152" s="76"/>
      <c r="Z1152" s="76"/>
      <c r="AA1152" s="76"/>
      <c r="AB1152" s="76"/>
      <c r="AC1152" s="76"/>
      <c r="AD1152" s="76"/>
      <c r="AE1152" s="76"/>
      <c r="AF1152" s="76"/>
      <c r="AG1152" s="76"/>
      <c r="AH1152" s="76"/>
      <c r="AI1152" s="76"/>
      <c r="AJ1152" s="76"/>
    </row>
    <row r="1153" spans="1:36" ht="12.75">
      <c r="A1153" s="74" t="s">
        <v>2426</v>
      </c>
      <c r="B1153" s="74"/>
      <c r="C1153" s="74" t="s">
        <v>2427</v>
      </c>
      <c r="D1153" s="74" t="s">
        <v>2428</v>
      </c>
      <c r="E1153" s="146">
        <v>111779356</v>
      </c>
      <c r="F1153" s="7" t="s">
        <v>2429</v>
      </c>
      <c r="G1153" s="7"/>
      <c r="H1153" s="74" t="s">
        <v>2430</v>
      </c>
      <c r="I1153" s="75" t="s">
        <v>2431</v>
      </c>
      <c r="J1153" s="74">
        <v>724338524</v>
      </c>
      <c r="K1153" s="74" t="s">
        <v>2432</v>
      </c>
      <c r="L1153" s="74"/>
      <c r="M1153" s="74"/>
      <c r="N1153" s="74"/>
      <c r="O1153" s="76"/>
      <c r="P1153" s="76"/>
      <c r="Q1153" s="76"/>
      <c r="R1153" s="76"/>
      <c r="S1153" s="76"/>
      <c r="T1153" s="76"/>
      <c r="U1153" s="76"/>
      <c r="V1153" s="76"/>
      <c r="W1153" s="76"/>
      <c r="X1153" s="76"/>
      <c r="Y1153" s="76"/>
      <c r="Z1153" s="76"/>
      <c r="AA1153" s="76"/>
      <c r="AB1153" s="76"/>
      <c r="AC1153" s="76"/>
      <c r="AD1153" s="76"/>
      <c r="AE1153" s="76"/>
      <c r="AF1153" s="76"/>
      <c r="AG1153" s="76"/>
      <c r="AH1153" s="76"/>
      <c r="AI1153" s="76"/>
      <c r="AJ1153" s="76"/>
    </row>
    <row r="1154" spans="1:36" ht="12.75">
      <c r="A1154" s="74" t="s">
        <v>2433</v>
      </c>
      <c r="B1154" s="74"/>
      <c r="C1154" s="74" t="s">
        <v>2434</v>
      </c>
      <c r="D1154" s="74" t="s">
        <v>2038</v>
      </c>
      <c r="E1154" s="146" t="s">
        <v>2435</v>
      </c>
      <c r="F1154" s="7" t="s">
        <v>2436</v>
      </c>
      <c r="G1154" s="7"/>
      <c r="H1154" s="74" t="s">
        <v>2437</v>
      </c>
      <c r="I1154" s="75" t="s">
        <v>2438</v>
      </c>
      <c r="J1154" s="76"/>
      <c r="K1154" s="76"/>
      <c r="L1154" s="76"/>
      <c r="M1154" s="76"/>
      <c r="N1154" s="76"/>
      <c r="O1154" s="76"/>
      <c r="P1154" s="76"/>
      <c r="Q1154" s="76"/>
      <c r="R1154" s="76"/>
      <c r="S1154" s="76"/>
      <c r="T1154" s="76"/>
      <c r="U1154" s="76"/>
      <c r="V1154" s="76"/>
      <c r="W1154" s="76"/>
      <c r="X1154" s="76"/>
      <c r="Y1154" s="76"/>
      <c r="Z1154" s="76"/>
      <c r="AA1154" s="76"/>
      <c r="AB1154" s="76"/>
      <c r="AC1154" s="76"/>
      <c r="AD1154" s="76"/>
      <c r="AE1154" s="76"/>
      <c r="AF1154" s="76"/>
      <c r="AG1154" s="76"/>
      <c r="AH1154" s="76"/>
      <c r="AI1154" s="76"/>
      <c r="AJ1154" s="76"/>
    </row>
    <row r="1155" spans="1:36" ht="12.75">
      <c r="A1155" s="74" t="s">
        <v>2439</v>
      </c>
      <c r="B1155" s="74"/>
      <c r="C1155" s="74" t="s">
        <v>2440</v>
      </c>
      <c r="D1155" s="74" t="s">
        <v>2441</v>
      </c>
      <c r="E1155" s="146">
        <v>797958895</v>
      </c>
      <c r="F1155" s="7" t="s">
        <v>2442</v>
      </c>
      <c r="G1155" s="7"/>
      <c r="H1155" s="74" t="s">
        <v>2443</v>
      </c>
      <c r="I1155" s="75" t="s">
        <v>1218</v>
      </c>
      <c r="J1155" s="74">
        <v>730116690</v>
      </c>
      <c r="K1155" s="74" t="s">
        <v>2444</v>
      </c>
      <c r="L1155" s="74"/>
      <c r="M1155" s="74"/>
      <c r="N1155" s="76"/>
      <c r="O1155" s="76"/>
      <c r="P1155" s="76"/>
      <c r="Q1155" s="76"/>
      <c r="R1155" s="76"/>
      <c r="S1155" s="76"/>
      <c r="T1155" s="76"/>
      <c r="U1155" s="76"/>
      <c r="V1155" s="76"/>
      <c r="W1155" s="76"/>
      <c r="X1155" s="76"/>
      <c r="Y1155" s="76"/>
      <c r="Z1155" s="76"/>
      <c r="AA1155" s="76"/>
      <c r="AB1155" s="76"/>
      <c r="AC1155" s="76"/>
      <c r="AD1155" s="76"/>
      <c r="AE1155" s="76"/>
      <c r="AF1155" s="76"/>
      <c r="AG1155" s="76"/>
      <c r="AH1155" s="76"/>
      <c r="AI1155" s="76"/>
      <c r="AJ1155" s="76"/>
    </row>
    <row r="1156" spans="1:36" ht="12.75">
      <c r="A1156" s="74" t="s">
        <v>2445</v>
      </c>
      <c r="B1156" s="74"/>
      <c r="C1156" s="74" t="s">
        <v>2446</v>
      </c>
      <c r="D1156" s="74" t="s">
        <v>2441</v>
      </c>
      <c r="E1156" s="146">
        <v>714096627</v>
      </c>
      <c r="F1156" s="7" t="s">
        <v>2447</v>
      </c>
      <c r="G1156" s="7"/>
      <c r="H1156" s="74" t="s">
        <v>2448</v>
      </c>
      <c r="I1156" s="75" t="s">
        <v>1218</v>
      </c>
      <c r="J1156" s="74">
        <v>715114454</v>
      </c>
      <c r="K1156" s="74" t="s">
        <v>2449</v>
      </c>
      <c r="L1156" s="74"/>
      <c r="M1156" s="74"/>
      <c r="N1156" s="76"/>
      <c r="O1156" s="76"/>
      <c r="P1156" s="76"/>
      <c r="Q1156" s="76"/>
      <c r="R1156" s="76"/>
      <c r="S1156" s="76"/>
      <c r="T1156" s="76"/>
      <c r="U1156" s="76"/>
      <c r="V1156" s="76"/>
      <c r="W1156" s="76"/>
      <c r="X1156" s="76"/>
      <c r="Y1156" s="76"/>
      <c r="Z1156" s="76"/>
      <c r="AA1156" s="76"/>
      <c r="AB1156" s="76"/>
      <c r="AC1156" s="76"/>
      <c r="AD1156" s="76"/>
      <c r="AE1156" s="76"/>
      <c r="AF1156" s="76"/>
      <c r="AG1156" s="76"/>
      <c r="AH1156" s="76"/>
      <c r="AI1156" s="76"/>
      <c r="AJ1156" s="76"/>
    </row>
    <row r="1157" spans="1:36" ht="12.75">
      <c r="A1157" s="74" t="s">
        <v>2450</v>
      </c>
      <c r="B1157" s="74"/>
      <c r="C1157" s="74"/>
      <c r="D1157" s="74" t="s">
        <v>2452</v>
      </c>
      <c r="E1157" s="287" t="s">
        <v>2453</v>
      </c>
      <c r="F1157" s="7" t="s">
        <v>2454</v>
      </c>
      <c r="G1157" s="7"/>
      <c r="H1157" s="74" t="s">
        <v>2455</v>
      </c>
      <c r="I1157" s="75" t="s">
        <v>2456</v>
      </c>
      <c r="J1157" s="76"/>
      <c r="K1157" s="76"/>
      <c r="L1157" s="76"/>
      <c r="M1157" s="76"/>
      <c r="N1157" s="76"/>
      <c r="O1157" s="76"/>
      <c r="P1157" s="76"/>
      <c r="Q1157" s="76"/>
      <c r="R1157" s="76"/>
      <c r="S1157" s="76"/>
      <c r="T1157" s="76"/>
      <c r="U1157" s="76"/>
      <c r="V1157" s="76"/>
      <c r="W1157" s="76"/>
      <c r="X1157" s="76"/>
      <c r="Y1157" s="76"/>
      <c r="Z1157" s="76"/>
      <c r="AA1157" s="76"/>
      <c r="AB1157" s="76"/>
      <c r="AC1157" s="76"/>
      <c r="AD1157" s="76"/>
      <c r="AE1157" s="76"/>
      <c r="AF1157" s="76"/>
      <c r="AG1157" s="76"/>
      <c r="AH1157" s="76"/>
      <c r="AI1157" s="76"/>
      <c r="AJ1157" s="76"/>
    </row>
    <row r="1158" spans="1:36" ht="12.75">
      <c r="A1158" s="74" t="s">
        <v>2458</v>
      </c>
      <c r="B1158" s="74"/>
      <c r="C1158" s="74"/>
      <c r="D1158" s="74" t="s">
        <v>1862</v>
      </c>
      <c r="E1158" s="146">
        <v>717351469</v>
      </c>
      <c r="F1158" s="7" t="s">
        <v>2460</v>
      </c>
      <c r="G1158" s="7"/>
      <c r="H1158" s="74" t="s">
        <v>2461</v>
      </c>
      <c r="I1158" s="75" t="s">
        <v>1218</v>
      </c>
      <c r="J1158" s="74" t="s">
        <v>2462</v>
      </c>
      <c r="K1158" s="76"/>
      <c r="L1158" s="76"/>
      <c r="M1158" s="76"/>
      <c r="N1158" s="76"/>
      <c r="O1158" s="76"/>
      <c r="P1158" s="76"/>
      <c r="Q1158" s="76"/>
      <c r="R1158" s="76"/>
      <c r="S1158" s="76"/>
      <c r="T1158" s="76"/>
      <c r="U1158" s="76"/>
      <c r="V1158" s="76"/>
      <c r="W1158" s="76"/>
      <c r="X1158" s="76"/>
      <c r="Y1158" s="76"/>
      <c r="Z1158" s="76"/>
      <c r="AA1158" s="76"/>
      <c r="AB1158" s="76"/>
      <c r="AC1158" s="76"/>
      <c r="AD1158" s="76"/>
      <c r="AE1158" s="76"/>
      <c r="AF1158" s="76"/>
      <c r="AG1158" s="76"/>
      <c r="AH1158" s="76"/>
      <c r="AI1158" s="76"/>
      <c r="AJ1158" s="76"/>
    </row>
    <row r="1159" spans="1:36" ht="12.75">
      <c r="A1159" s="74" t="s">
        <v>2463</v>
      </c>
      <c r="B1159" s="74"/>
      <c r="C1159" s="74" t="s">
        <v>2464</v>
      </c>
      <c r="D1159" s="74" t="s">
        <v>407</v>
      </c>
      <c r="E1159" s="146">
        <v>724851760</v>
      </c>
      <c r="F1159" s="7" t="s">
        <v>2465</v>
      </c>
      <c r="G1159" s="7"/>
      <c r="H1159" s="74" t="s">
        <v>2466</v>
      </c>
      <c r="I1159" s="75" t="s">
        <v>59</v>
      </c>
      <c r="J1159" s="74">
        <v>737633903</v>
      </c>
      <c r="K1159" s="74" t="s">
        <v>1101</v>
      </c>
      <c r="L1159" s="74"/>
      <c r="M1159" s="74"/>
      <c r="N1159" s="76"/>
      <c r="O1159" s="76"/>
      <c r="P1159" s="76"/>
      <c r="Q1159" s="76"/>
      <c r="R1159" s="76"/>
      <c r="S1159" s="76"/>
      <c r="T1159" s="76"/>
      <c r="U1159" s="76"/>
      <c r="V1159" s="76"/>
      <c r="W1159" s="76"/>
      <c r="X1159" s="76"/>
      <c r="Y1159" s="76"/>
      <c r="Z1159" s="76"/>
      <c r="AA1159" s="76"/>
      <c r="AB1159" s="76"/>
      <c r="AC1159" s="76"/>
      <c r="AD1159" s="76"/>
      <c r="AE1159" s="76"/>
      <c r="AF1159" s="76"/>
      <c r="AG1159" s="76"/>
      <c r="AH1159" s="76"/>
      <c r="AI1159" s="76"/>
      <c r="AJ1159" s="76"/>
    </row>
    <row r="1160" spans="1:36" ht="12.75">
      <c r="A1160" s="74" t="s">
        <v>2467</v>
      </c>
      <c r="B1160" s="74"/>
      <c r="C1160" s="74" t="s">
        <v>2468</v>
      </c>
      <c r="D1160" s="74" t="s">
        <v>2469</v>
      </c>
      <c r="E1160" s="146">
        <v>713403319</v>
      </c>
      <c r="F1160" s="74" t="s">
        <v>2226</v>
      </c>
      <c r="G1160" s="74"/>
      <c r="H1160" s="74" t="s">
        <v>2470</v>
      </c>
      <c r="I1160" s="75" t="s">
        <v>100</v>
      </c>
      <c r="J1160" s="76">
        <v>254202582237</v>
      </c>
      <c r="K1160" s="74" t="s">
        <v>180</v>
      </c>
      <c r="L1160" s="74"/>
      <c r="M1160" s="74"/>
      <c r="N1160" s="76"/>
      <c r="O1160" s="76"/>
      <c r="P1160" s="76"/>
      <c r="Q1160" s="76"/>
      <c r="R1160" s="76"/>
      <c r="S1160" s="76"/>
      <c r="T1160" s="76"/>
      <c r="U1160" s="76"/>
      <c r="V1160" s="76"/>
      <c r="W1160" s="76"/>
      <c r="X1160" s="76"/>
      <c r="Y1160" s="76"/>
      <c r="Z1160" s="76"/>
      <c r="AA1160" s="76"/>
      <c r="AB1160" s="76"/>
      <c r="AC1160" s="76"/>
      <c r="AD1160" s="76"/>
      <c r="AE1160" s="76"/>
      <c r="AF1160" s="76"/>
      <c r="AG1160" s="76"/>
      <c r="AH1160" s="76"/>
      <c r="AI1160" s="76"/>
      <c r="AJ1160" s="76"/>
    </row>
    <row r="1161" spans="1:36" ht="12.75">
      <c r="A1161" s="74" t="s">
        <v>2471</v>
      </c>
      <c r="B1161" s="74"/>
      <c r="C1161" s="74" t="s">
        <v>2472</v>
      </c>
      <c r="D1161" s="74" t="s">
        <v>2473</v>
      </c>
      <c r="E1161" s="146">
        <v>742745688</v>
      </c>
      <c r="F1161" s="7" t="s">
        <v>2474</v>
      </c>
      <c r="G1161" s="7"/>
      <c r="H1161" s="74" t="s">
        <v>2475</v>
      </c>
      <c r="I1161" s="75" t="s">
        <v>269</v>
      </c>
      <c r="J1161" s="74">
        <v>730700000</v>
      </c>
      <c r="K1161" s="74" t="s">
        <v>2476</v>
      </c>
      <c r="L1161" s="76"/>
      <c r="M1161" s="76"/>
      <c r="N1161" s="76"/>
      <c r="O1161" s="76"/>
      <c r="P1161" s="76"/>
      <c r="Q1161" s="76"/>
      <c r="R1161" s="76"/>
      <c r="S1161" s="76"/>
      <c r="T1161" s="76"/>
      <c r="U1161" s="76"/>
      <c r="V1161" s="76"/>
      <c r="W1161" s="76"/>
      <c r="X1161" s="76"/>
      <c r="Y1161" s="76"/>
      <c r="Z1161" s="76"/>
      <c r="AA1161" s="76"/>
      <c r="AB1161" s="76"/>
      <c r="AC1161" s="76"/>
      <c r="AD1161" s="76"/>
      <c r="AE1161" s="76"/>
      <c r="AF1161" s="76"/>
      <c r="AG1161" s="76"/>
      <c r="AH1161" s="76"/>
      <c r="AI1161" s="76"/>
      <c r="AJ1161" s="76"/>
    </row>
    <row r="1162" spans="1:36" ht="12.75">
      <c r="A1162" s="60" t="s">
        <v>3568</v>
      </c>
      <c r="C1162" s="60" t="s">
        <v>3569</v>
      </c>
      <c r="D1162" s="60" t="s">
        <v>2452</v>
      </c>
      <c r="E1162" s="60">
        <v>790495023</v>
      </c>
      <c r="F1162" s="60" t="s">
        <v>3570</v>
      </c>
      <c r="H1162" s="60" t="s">
        <v>3571</v>
      </c>
      <c r="I1162" s="88" t="s">
        <v>269</v>
      </c>
      <c r="J1162" s="60">
        <v>700666000</v>
      </c>
      <c r="K1162" s="60" t="s">
        <v>3572</v>
      </c>
    </row>
    <row r="1163" spans="1:36" ht="12.75">
      <c r="A1163" s="74" t="s">
        <v>2483</v>
      </c>
      <c r="B1163" s="74"/>
      <c r="C1163" s="74" t="s">
        <v>2484</v>
      </c>
      <c r="D1163" s="74" t="s">
        <v>341</v>
      </c>
      <c r="E1163" s="146">
        <f>254740932662</f>
        <v>254740932662</v>
      </c>
      <c r="F1163" s="7" t="s">
        <v>342</v>
      </c>
      <c r="G1163" s="7"/>
      <c r="H1163" s="74" t="s">
        <v>343</v>
      </c>
      <c r="I1163" s="75" t="s">
        <v>41</v>
      </c>
      <c r="J1163" s="316">
        <f>254710453693</f>
        <v>254710453693</v>
      </c>
      <c r="K1163" s="170" t="s">
        <v>105</v>
      </c>
      <c r="L1163" s="170"/>
      <c r="M1163" s="170"/>
      <c r="N1163" s="76"/>
      <c r="O1163" s="76"/>
      <c r="P1163" s="76"/>
      <c r="Q1163" s="76"/>
      <c r="R1163" s="76"/>
      <c r="S1163" s="76"/>
      <c r="T1163" s="76"/>
      <c r="U1163" s="76"/>
      <c r="V1163" s="76"/>
      <c r="W1163" s="76"/>
      <c r="X1163" s="76"/>
      <c r="Y1163" s="76"/>
      <c r="Z1163" s="76"/>
      <c r="AA1163" s="76"/>
      <c r="AB1163" s="76"/>
      <c r="AC1163" s="76"/>
      <c r="AD1163" s="76"/>
      <c r="AE1163" s="76"/>
      <c r="AF1163" s="76"/>
      <c r="AG1163" s="76"/>
      <c r="AH1163" s="76"/>
      <c r="AI1163" s="76"/>
      <c r="AJ1163" s="76"/>
    </row>
    <row r="1164" spans="1:36" ht="12.75">
      <c r="A1164" s="74" t="s">
        <v>2990</v>
      </c>
      <c r="B1164" s="74"/>
      <c r="C1164" s="74" t="s">
        <v>2486</v>
      </c>
      <c r="D1164" s="74" t="s">
        <v>998</v>
      </c>
      <c r="E1164" s="146">
        <v>769021386</v>
      </c>
      <c r="F1164" s="9"/>
      <c r="G1164" s="9"/>
      <c r="H1164" s="76"/>
      <c r="I1164" s="84"/>
      <c r="J1164" s="76"/>
      <c r="K1164" s="76"/>
      <c r="L1164" s="76"/>
      <c r="M1164" s="76"/>
      <c r="N1164" s="76"/>
      <c r="O1164" s="76"/>
      <c r="P1164" s="76"/>
      <c r="Q1164" s="76"/>
      <c r="R1164" s="76"/>
      <c r="S1164" s="76"/>
      <c r="T1164" s="76"/>
      <c r="U1164" s="76"/>
      <c r="V1164" s="76"/>
      <c r="W1164" s="76"/>
      <c r="X1164" s="76"/>
      <c r="Y1164" s="76"/>
      <c r="Z1164" s="76"/>
      <c r="AA1164" s="76"/>
      <c r="AB1164" s="76"/>
      <c r="AC1164" s="76"/>
      <c r="AD1164" s="76"/>
      <c r="AE1164" s="76"/>
      <c r="AF1164" s="76"/>
      <c r="AG1164" s="76"/>
      <c r="AH1164" s="76"/>
      <c r="AI1164" s="76"/>
      <c r="AJ1164" s="76"/>
    </row>
    <row r="1165" spans="1:36" ht="12.75">
      <c r="A1165" s="74" t="s">
        <v>2487</v>
      </c>
      <c r="B1165" s="74"/>
      <c r="C1165" s="74" t="s">
        <v>2488</v>
      </c>
      <c r="D1165" s="74" t="s">
        <v>998</v>
      </c>
      <c r="E1165" s="146">
        <v>768039002</v>
      </c>
      <c r="F1165" s="7" t="s">
        <v>2489</v>
      </c>
      <c r="G1165" s="7"/>
      <c r="H1165" s="74" t="s">
        <v>2490</v>
      </c>
      <c r="I1165" s="75" t="s">
        <v>599</v>
      </c>
      <c r="J1165" s="74">
        <v>2547082975</v>
      </c>
      <c r="K1165" s="74" t="s">
        <v>2491</v>
      </c>
      <c r="L1165" s="74"/>
      <c r="M1165" s="74"/>
      <c r="N1165" s="76"/>
      <c r="O1165" s="76"/>
      <c r="P1165" s="76"/>
      <c r="Q1165" s="76"/>
      <c r="R1165" s="76"/>
      <c r="S1165" s="76"/>
      <c r="T1165" s="76"/>
      <c r="U1165" s="76"/>
      <c r="V1165" s="76"/>
      <c r="W1165" s="76"/>
      <c r="X1165" s="76"/>
      <c r="Y1165" s="76"/>
      <c r="Z1165" s="76"/>
      <c r="AA1165" s="76"/>
      <c r="AB1165" s="76"/>
      <c r="AC1165" s="76"/>
      <c r="AD1165" s="76"/>
      <c r="AE1165" s="76"/>
      <c r="AF1165" s="76"/>
      <c r="AG1165" s="76"/>
      <c r="AH1165" s="76"/>
      <c r="AI1165" s="76"/>
      <c r="AJ1165" s="76"/>
    </row>
    <row r="1166" spans="1:36" ht="12.75">
      <c r="A1166" s="74" t="s">
        <v>2492</v>
      </c>
      <c r="B1166" s="74"/>
      <c r="C1166" s="74" t="s">
        <v>2493</v>
      </c>
      <c r="D1166" s="74" t="s">
        <v>799</v>
      </c>
      <c r="E1166" s="146">
        <v>254795391626</v>
      </c>
      <c r="F1166" s="7" t="s">
        <v>2494</v>
      </c>
      <c r="G1166" s="7"/>
      <c r="H1166" s="74" t="s">
        <v>2495</v>
      </c>
      <c r="I1166" s="75" t="s">
        <v>356</v>
      </c>
      <c r="J1166" s="74" t="s">
        <v>2496</v>
      </c>
      <c r="K1166" s="74"/>
      <c r="L1166" s="74"/>
      <c r="M1166" s="74"/>
      <c r="N1166" s="76"/>
      <c r="O1166" s="76"/>
      <c r="P1166" s="76"/>
      <c r="Q1166" s="76"/>
      <c r="R1166" s="76"/>
      <c r="S1166" s="76"/>
      <c r="T1166" s="76"/>
      <c r="U1166" s="76"/>
      <c r="V1166" s="76"/>
      <c r="W1166" s="76"/>
      <c r="X1166" s="76"/>
      <c r="Y1166" s="76"/>
      <c r="Z1166" s="76"/>
      <c r="AA1166" s="76"/>
      <c r="AB1166" s="76"/>
      <c r="AC1166" s="76"/>
      <c r="AD1166" s="76"/>
      <c r="AE1166" s="76"/>
      <c r="AF1166" s="76"/>
      <c r="AG1166" s="76"/>
      <c r="AH1166" s="76"/>
      <c r="AI1166" s="76"/>
      <c r="AJ1166" s="76"/>
    </row>
    <row r="1167" spans="1:36" ht="12.75">
      <c r="A1167" s="74" t="s">
        <v>2497</v>
      </c>
      <c r="B1167" s="74"/>
      <c r="C1167" s="74" t="s">
        <v>2498</v>
      </c>
      <c r="D1167" s="74" t="s">
        <v>2499</v>
      </c>
      <c r="E1167" s="146">
        <v>719200384</v>
      </c>
      <c r="F1167" s="7" t="s">
        <v>2500</v>
      </c>
      <c r="G1167" s="7"/>
      <c r="H1167" s="74" t="s">
        <v>2501</v>
      </c>
      <c r="I1167" s="75" t="s">
        <v>916</v>
      </c>
      <c r="J1167" s="74">
        <v>707163690</v>
      </c>
      <c r="K1167" s="74" t="s">
        <v>2502</v>
      </c>
      <c r="L1167" s="74"/>
      <c r="M1167" s="74"/>
      <c r="N1167" s="76"/>
      <c r="O1167" s="76"/>
      <c r="P1167" s="76"/>
      <c r="Q1167" s="76"/>
      <c r="R1167" s="76"/>
      <c r="S1167" s="76"/>
      <c r="T1167" s="76"/>
      <c r="U1167" s="76"/>
      <c r="V1167" s="76"/>
      <c r="W1167" s="76"/>
      <c r="X1167" s="76"/>
      <c r="Y1167" s="76"/>
      <c r="Z1167" s="76"/>
      <c r="AA1167" s="76"/>
      <c r="AB1167" s="76"/>
      <c r="AC1167" s="76"/>
      <c r="AD1167" s="76"/>
      <c r="AE1167" s="76"/>
      <c r="AF1167" s="76"/>
      <c r="AG1167" s="76"/>
      <c r="AH1167" s="76"/>
      <c r="AI1167" s="76"/>
      <c r="AJ1167" s="76"/>
    </row>
    <row r="1168" spans="1:36" ht="12.75">
      <c r="A1168" s="74" t="s">
        <v>2503</v>
      </c>
      <c r="B1168" s="74"/>
      <c r="C1168" s="74" t="s">
        <v>2504</v>
      </c>
      <c r="D1168" s="74" t="s">
        <v>2441</v>
      </c>
      <c r="E1168" s="146">
        <v>708245199</v>
      </c>
      <c r="F1168" s="7" t="s">
        <v>2505</v>
      </c>
      <c r="G1168" s="7"/>
      <c r="H1168" s="74" t="s">
        <v>2506</v>
      </c>
      <c r="I1168" s="75" t="s">
        <v>2507</v>
      </c>
      <c r="J1168" s="74">
        <v>726715863</v>
      </c>
      <c r="K1168" s="76"/>
      <c r="L1168" s="76"/>
      <c r="M1168" s="76"/>
      <c r="N1168" s="76"/>
      <c r="O1168" s="76"/>
      <c r="P1168" s="76"/>
      <c r="Q1168" s="76"/>
      <c r="R1168" s="76"/>
      <c r="S1168" s="76"/>
      <c r="T1168" s="76"/>
      <c r="U1168" s="76"/>
      <c r="V1168" s="76"/>
      <c r="W1168" s="76"/>
      <c r="X1168" s="76"/>
      <c r="Y1168" s="76"/>
      <c r="Z1168" s="76"/>
      <c r="AA1168" s="76"/>
      <c r="AB1168" s="76"/>
      <c r="AC1168" s="76"/>
      <c r="AD1168" s="76"/>
      <c r="AE1168" s="76"/>
      <c r="AF1168" s="76"/>
      <c r="AG1168" s="76"/>
      <c r="AH1168" s="76"/>
      <c r="AI1168" s="76"/>
      <c r="AJ1168" s="76"/>
    </row>
    <row r="1169" spans="1:36" ht="12.75">
      <c r="A1169" s="74" t="s">
        <v>2509</v>
      </c>
      <c r="B1169" s="74"/>
      <c r="C1169" s="74" t="s">
        <v>2510</v>
      </c>
      <c r="D1169" s="74" t="s">
        <v>974</v>
      </c>
      <c r="E1169" s="146">
        <v>742792502</v>
      </c>
      <c r="F1169" s="7" t="s">
        <v>2511</v>
      </c>
      <c r="G1169" s="7"/>
      <c r="H1169" s="74" t="s">
        <v>2512</v>
      </c>
      <c r="I1169" s="75" t="s">
        <v>218</v>
      </c>
      <c r="J1169" s="74">
        <v>720229689</v>
      </c>
      <c r="K1169" s="76"/>
      <c r="L1169" s="76"/>
      <c r="M1169" s="76"/>
      <c r="N1169" s="76"/>
      <c r="O1169" s="76"/>
      <c r="P1169" s="76"/>
      <c r="Q1169" s="76"/>
      <c r="R1169" s="76"/>
      <c r="S1169" s="76"/>
      <c r="T1169" s="76"/>
      <c r="U1169" s="76"/>
      <c r="V1169" s="76"/>
      <c r="W1169" s="76"/>
      <c r="X1169" s="76"/>
      <c r="Y1169" s="76"/>
      <c r="Z1169" s="76"/>
      <c r="AA1169" s="76"/>
      <c r="AB1169" s="76"/>
      <c r="AC1169" s="76"/>
      <c r="AD1169" s="76"/>
      <c r="AE1169" s="76"/>
      <c r="AF1169" s="76"/>
      <c r="AG1169" s="76"/>
      <c r="AH1169" s="76"/>
      <c r="AI1169" s="76"/>
      <c r="AJ1169" s="76"/>
    </row>
    <row r="1170" spans="1:36" ht="12.75">
      <c r="A1170" s="74" t="s">
        <v>2513</v>
      </c>
      <c r="B1170" s="74"/>
      <c r="C1170" s="74" t="s">
        <v>2514</v>
      </c>
      <c r="D1170" s="74" t="s">
        <v>2515</v>
      </c>
      <c r="E1170" s="146">
        <v>707801347</v>
      </c>
      <c r="F1170" s="60" t="s">
        <v>2991</v>
      </c>
      <c r="G1170" s="60"/>
      <c r="H1170" s="74" t="s">
        <v>2517</v>
      </c>
      <c r="I1170" s="75" t="s">
        <v>237</v>
      </c>
      <c r="J1170" s="74">
        <v>703080403</v>
      </c>
      <c r="K1170" s="74" t="s">
        <v>2518</v>
      </c>
      <c r="L1170" s="74"/>
      <c r="M1170" s="74"/>
      <c r="N1170" s="76"/>
      <c r="O1170" s="76"/>
      <c r="P1170" s="76"/>
      <c r="Q1170" s="76"/>
      <c r="R1170" s="76"/>
      <c r="S1170" s="76"/>
      <c r="T1170" s="76"/>
      <c r="U1170" s="76"/>
      <c r="V1170" s="76"/>
      <c r="W1170" s="76"/>
      <c r="X1170" s="76"/>
      <c r="Y1170" s="76"/>
      <c r="Z1170" s="76"/>
      <c r="AA1170" s="76"/>
      <c r="AB1170" s="76"/>
      <c r="AC1170" s="76"/>
      <c r="AD1170" s="76"/>
      <c r="AE1170" s="76"/>
      <c r="AF1170" s="76"/>
      <c r="AG1170" s="76"/>
      <c r="AH1170" s="76"/>
      <c r="AI1170" s="76"/>
      <c r="AJ1170" s="76"/>
    </row>
    <row r="1171" spans="1:36" ht="12.75">
      <c r="A1171" s="74" t="s">
        <v>2519</v>
      </c>
      <c r="B1171" s="74"/>
      <c r="C1171" s="74" t="s">
        <v>2520</v>
      </c>
      <c r="D1171" s="74" t="s">
        <v>2515</v>
      </c>
      <c r="E1171" s="194">
        <v>254769825316</v>
      </c>
      <c r="F1171" s="7" t="s">
        <v>361</v>
      </c>
      <c r="G1171" s="7"/>
      <c r="H1171" s="74" t="s">
        <v>362</v>
      </c>
      <c r="I1171" s="75" t="s">
        <v>237</v>
      </c>
      <c r="J1171" s="74">
        <v>734894994</v>
      </c>
      <c r="K1171" s="74" t="s">
        <v>363</v>
      </c>
      <c r="L1171" s="74"/>
      <c r="M1171" s="74"/>
      <c r="N1171" s="76"/>
      <c r="O1171" s="76"/>
      <c r="P1171" s="76"/>
      <c r="Q1171" s="76"/>
      <c r="R1171" s="76"/>
      <c r="S1171" s="76"/>
      <c r="T1171" s="76"/>
      <c r="U1171" s="76"/>
      <c r="V1171" s="76"/>
      <c r="W1171" s="76"/>
      <c r="X1171" s="76"/>
      <c r="Y1171" s="76"/>
      <c r="Z1171" s="76"/>
      <c r="AA1171" s="76"/>
      <c r="AB1171" s="76"/>
      <c r="AC1171" s="76"/>
      <c r="AD1171" s="76"/>
      <c r="AE1171" s="76"/>
      <c r="AF1171" s="76"/>
      <c r="AG1171" s="76"/>
      <c r="AH1171" s="76"/>
      <c r="AI1171" s="76"/>
      <c r="AJ1171" s="76"/>
    </row>
    <row r="1172" spans="1:36" ht="12.75">
      <c r="A1172" s="74" t="s">
        <v>592</v>
      </c>
      <c r="B1172" s="74"/>
      <c r="C1172" s="74" t="s">
        <v>2521</v>
      </c>
      <c r="D1172" s="74" t="s">
        <v>2522</v>
      </c>
      <c r="E1172" s="146">
        <v>115043167</v>
      </c>
      <c r="F1172" s="7" t="s">
        <v>2523</v>
      </c>
      <c r="G1172" s="7"/>
      <c r="H1172" s="74" t="s">
        <v>593</v>
      </c>
      <c r="I1172" s="75" t="s">
        <v>203</v>
      </c>
      <c r="J1172" s="74">
        <v>682230033</v>
      </c>
      <c r="K1172" s="74" t="s">
        <v>204</v>
      </c>
      <c r="L1172" s="74"/>
      <c r="M1172" s="74"/>
      <c r="N1172" s="76"/>
      <c r="O1172" s="76"/>
      <c r="P1172" s="76"/>
      <c r="Q1172" s="76"/>
      <c r="R1172" s="76"/>
      <c r="S1172" s="76"/>
      <c r="T1172" s="76"/>
      <c r="U1172" s="76"/>
      <c r="V1172" s="76"/>
      <c r="W1172" s="76"/>
      <c r="X1172" s="76"/>
      <c r="Y1172" s="76"/>
      <c r="Z1172" s="76"/>
      <c r="AA1172" s="76"/>
      <c r="AB1172" s="76"/>
      <c r="AC1172" s="76"/>
      <c r="AD1172" s="76"/>
      <c r="AE1172" s="76"/>
      <c r="AF1172" s="76"/>
      <c r="AG1172" s="76"/>
      <c r="AH1172" s="76"/>
      <c r="AI1172" s="76"/>
      <c r="AJ1172" s="76"/>
    </row>
    <row r="1173" spans="1:36" ht="12.75">
      <c r="A1173" s="74" t="s">
        <v>2524</v>
      </c>
      <c r="B1173" s="74"/>
      <c r="C1173" s="74" t="s">
        <v>2525</v>
      </c>
      <c r="D1173" s="74" t="s">
        <v>616</v>
      </c>
      <c r="E1173" s="146">
        <v>746814757</v>
      </c>
      <c r="F1173" s="7" t="s">
        <v>2526</v>
      </c>
      <c r="G1173" s="7"/>
      <c r="H1173" s="74" t="s">
        <v>2527</v>
      </c>
      <c r="I1173" s="75" t="s">
        <v>59</v>
      </c>
      <c r="J1173" s="74">
        <v>7028232556</v>
      </c>
      <c r="K1173" s="74" t="s">
        <v>2212</v>
      </c>
      <c r="L1173" s="74"/>
      <c r="M1173" s="74"/>
      <c r="N1173" s="76"/>
      <c r="O1173" s="76"/>
      <c r="P1173" s="76"/>
      <c r="Q1173" s="76"/>
      <c r="R1173" s="76"/>
      <c r="S1173" s="76"/>
      <c r="T1173" s="76"/>
      <c r="U1173" s="76"/>
      <c r="V1173" s="76"/>
      <c r="W1173" s="76"/>
      <c r="X1173" s="76"/>
      <c r="Y1173" s="76"/>
      <c r="Z1173" s="76"/>
      <c r="AA1173" s="76"/>
      <c r="AB1173" s="76"/>
      <c r="AC1173" s="76"/>
      <c r="AD1173" s="76"/>
      <c r="AE1173" s="76"/>
      <c r="AF1173" s="76"/>
      <c r="AG1173" s="76"/>
      <c r="AH1173" s="76"/>
      <c r="AI1173" s="76"/>
      <c r="AJ1173" s="76"/>
    </row>
    <row r="1174" spans="1:36" ht="12.75">
      <c r="A1174" s="74" t="s">
        <v>2528</v>
      </c>
      <c r="B1174" s="74"/>
      <c r="C1174" s="74" t="s">
        <v>2529</v>
      </c>
      <c r="D1174" s="74" t="s">
        <v>2530</v>
      </c>
      <c r="E1174" s="146">
        <v>727375098</v>
      </c>
      <c r="F1174" s="7" t="s">
        <v>2531</v>
      </c>
      <c r="G1174" s="7"/>
      <c r="H1174" s="74" t="s">
        <v>202</v>
      </c>
      <c r="I1174" s="75" t="s">
        <v>203</v>
      </c>
      <c r="J1174" s="74">
        <v>682230033</v>
      </c>
      <c r="K1174" s="74" t="s">
        <v>204</v>
      </c>
      <c r="L1174" s="74"/>
      <c r="M1174" s="74"/>
      <c r="N1174" s="76"/>
      <c r="O1174" s="76"/>
      <c r="P1174" s="76"/>
      <c r="Q1174" s="76"/>
      <c r="R1174" s="76"/>
      <c r="S1174" s="76"/>
      <c r="T1174" s="76"/>
      <c r="U1174" s="76"/>
      <c r="V1174" s="76"/>
      <c r="W1174" s="76"/>
      <c r="X1174" s="76"/>
      <c r="Y1174" s="76"/>
      <c r="Z1174" s="76"/>
      <c r="AA1174" s="76"/>
      <c r="AB1174" s="76"/>
      <c r="AC1174" s="76"/>
      <c r="AD1174" s="76"/>
      <c r="AE1174" s="76"/>
      <c r="AF1174" s="76"/>
      <c r="AG1174" s="76"/>
      <c r="AH1174" s="76"/>
      <c r="AI1174" s="76"/>
      <c r="AJ1174" s="76"/>
    </row>
    <row r="1175" spans="1:36" ht="12.75">
      <c r="A1175" s="74" t="s">
        <v>2532</v>
      </c>
      <c r="B1175" s="74"/>
      <c r="C1175" s="74" t="s">
        <v>2533</v>
      </c>
      <c r="D1175" s="74" t="s">
        <v>2530</v>
      </c>
      <c r="E1175" s="146">
        <v>794382392</v>
      </c>
      <c r="F1175" s="7" t="s">
        <v>2523</v>
      </c>
      <c r="G1175" s="7"/>
      <c r="H1175" s="74" t="s">
        <v>202</v>
      </c>
      <c r="I1175" s="75" t="s">
        <v>203</v>
      </c>
      <c r="J1175" s="74">
        <v>682230033</v>
      </c>
      <c r="K1175" s="76"/>
      <c r="L1175" s="76"/>
      <c r="M1175" s="76"/>
      <c r="N1175" s="76"/>
      <c r="O1175" s="76"/>
      <c r="P1175" s="76"/>
      <c r="Q1175" s="76"/>
      <c r="R1175" s="76"/>
      <c r="S1175" s="76"/>
      <c r="T1175" s="76"/>
      <c r="U1175" s="76"/>
      <c r="V1175" s="76"/>
      <c r="W1175" s="76"/>
      <c r="X1175" s="76"/>
      <c r="Y1175" s="76"/>
      <c r="Z1175" s="76"/>
      <c r="AA1175" s="76"/>
      <c r="AB1175" s="76"/>
      <c r="AC1175" s="76"/>
      <c r="AD1175" s="76"/>
      <c r="AE1175" s="76"/>
      <c r="AF1175" s="76"/>
      <c r="AG1175" s="76"/>
      <c r="AH1175" s="76"/>
      <c r="AI1175" s="76"/>
      <c r="AJ1175" s="76"/>
    </row>
    <row r="1176" spans="1:36" ht="12.75">
      <c r="A1176" s="74" t="s">
        <v>2534</v>
      </c>
      <c r="B1176" s="74"/>
      <c r="C1176" s="74" t="s">
        <v>2535</v>
      </c>
      <c r="D1176" s="74" t="s">
        <v>2536</v>
      </c>
      <c r="E1176" s="146">
        <v>782031900</v>
      </c>
      <c r="F1176" s="7" t="s">
        <v>2537</v>
      </c>
      <c r="G1176" s="7"/>
      <c r="H1176" s="74" t="s">
        <v>2538</v>
      </c>
      <c r="I1176" s="75" t="s">
        <v>2539</v>
      </c>
      <c r="J1176" s="74">
        <v>715833663</v>
      </c>
      <c r="K1176" s="74" t="s">
        <v>411</v>
      </c>
      <c r="L1176" s="74"/>
      <c r="M1176" s="74"/>
      <c r="N1176" s="76"/>
      <c r="O1176" s="76"/>
      <c r="P1176" s="76"/>
      <c r="Q1176" s="76"/>
      <c r="R1176" s="76"/>
      <c r="S1176" s="76"/>
      <c r="T1176" s="76"/>
      <c r="U1176" s="76"/>
      <c r="V1176" s="76"/>
      <c r="W1176" s="76"/>
      <c r="X1176" s="76"/>
      <c r="Y1176" s="76"/>
      <c r="Z1176" s="76"/>
      <c r="AA1176" s="76"/>
      <c r="AB1176" s="76"/>
      <c r="AC1176" s="76"/>
      <c r="AD1176" s="76"/>
      <c r="AE1176" s="76"/>
      <c r="AF1176" s="76"/>
      <c r="AG1176" s="76"/>
      <c r="AH1176" s="76"/>
      <c r="AI1176" s="76"/>
      <c r="AJ1176" s="76"/>
    </row>
    <row r="1177" spans="1:36" ht="12.75">
      <c r="A1177" s="74" t="s">
        <v>2540</v>
      </c>
      <c r="B1177" s="74"/>
      <c r="C1177" s="74" t="s">
        <v>2541</v>
      </c>
      <c r="D1177" s="74" t="s">
        <v>799</v>
      </c>
      <c r="E1177" s="146">
        <v>742667736</v>
      </c>
      <c r="F1177" s="7" t="s">
        <v>2542</v>
      </c>
      <c r="G1177" s="7"/>
      <c r="H1177" s="74" t="s">
        <v>2543</v>
      </c>
      <c r="I1177" s="75" t="s">
        <v>203</v>
      </c>
      <c r="J1177" s="74">
        <v>708354754</v>
      </c>
      <c r="K1177" s="76"/>
      <c r="L1177" s="76"/>
      <c r="M1177" s="76"/>
      <c r="N1177" s="76"/>
      <c r="O1177" s="76"/>
      <c r="P1177" s="76"/>
      <c r="Q1177" s="76"/>
      <c r="R1177" s="76"/>
      <c r="S1177" s="76"/>
      <c r="T1177" s="76"/>
      <c r="U1177" s="76"/>
      <c r="V1177" s="76"/>
      <c r="W1177" s="76"/>
      <c r="X1177" s="76"/>
      <c r="Y1177" s="76"/>
      <c r="Z1177" s="76"/>
      <c r="AA1177" s="76"/>
      <c r="AB1177" s="76"/>
      <c r="AC1177" s="76"/>
      <c r="AD1177" s="76"/>
      <c r="AE1177" s="76"/>
      <c r="AF1177" s="76"/>
      <c r="AG1177" s="76"/>
      <c r="AH1177" s="76"/>
      <c r="AI1177" s="76"/>
      <c r="AJ1177" s="76"/>
    </row>
    <row r="1178" spans="1:36" ht="12.75">
      <c r="A1178" s="74" t="s">
        <v>2544</v>
      </c>
      <c r="B1178" s="74"/>
      <c r="C1178" s="74" t="s">
        <v>2545</v>
      </c>
      <c r="D1178" s="74" t="s">
        <v>508</v>
      </c>
      <c r="E1178" s="146">
        <v>708219665</v>
      </c>
      <c r="F1178" s="7" t="s">
        <v>2546</v>
      </c>
      <c r="G1178" s="7"/>
      <c r="H1178" s="74" t="s">
        <v>2547</v>
      </c>
      <c r="I1178" s="75" t="s">
        <v>1218</v>
      </c>
      <c r="J1178" s="74">
        <v>719044000</v>
      </c>
      <c r="K1178" s="74" t="s">
        <v>2548</v>
      </c>
      <c r="L1178" s="74"/>
      <c r="M1178" s="74"/>
      <c r="N1178" s="76"/>
      <c r="O1178" s="76"/>
      <c r="P1178" s="76"/>
      <c r="Q1178" s="76"/>
      <c r="R1178" s="76"/>
      <c r="S1178" s="76"/>
      <c r="T1178" s="76"/>
      <c r="U1178" s="76"/>
      <c r="V1178" s="76"/>
      <c r="W1178" s="76"/>
      <c r="X1178" s="76"/>
      <c r="Y1178" s="76"/>
      <c r="Z1178" s="76"/>
      <c r="AA1178" s="76"/>
      <c r="AB1178" s="76"/>
      <c r="AC1178" s="76"/>
      <c r="AD1178" s="76"/>
      <c r="AE1178" s="76"/>
      <c r="AF1178" s="76"/>
      <c r="AG1178" s="76"/>
      <c r="AH1178" s="76"/>
      <c r="AI1178" s="76"/>
      <c r="AJ1178" s="76"/>
    </row>
    <row r="1179" spans="1:36" ht="12.75">
      <c r="A1179" s="74" t="s">
        <v>2549</v>
      </c>
      <c r="B1179" s="74"/>
      <c r="C1179" s="74" t="s">
        <v>2550</v>
      </c>
      <c r="D1179" s="74" t="s">
        <v>2551</v>
      </c>
      <c r="E1179" s="146">
        <v>115672839</v>
      </c>
      <c r="F1179" s="7" t="s">
        <v>975</v>
      </c>
      <c r="G1179" s="7"/>
      <c r="H1179" s="74" t="s">
        <v>976</v>
      </c>
      <c r="I1179" s="75" t="s">
        <v>2342</v>
      </c>
      <c r="J1179" s="74">
        <v>798959217</v>
      </c>
      <c r="K1179" s="74" t="s">
        <v>978</v>
      </c>
      <c r="L1179" s="74"/>
      <c r="M1179" s="74"/>
      <c r="N1179" s="76"/>
      <c r="O1179" s="76"/>
      <c r="P1179" s="76"/>
      <c r="Q1179" s="76"/>
      <c r="R1179" s="76"/>
      <c r="S1179" s="76"/>
      <c r="T1179" s="76"/>
      <c r="U1179" s="76"/>
      <c r="V1179" s="76"/>
      <c r="W1179" s="76"/>
      <c r="X1179" s="76"/>
      <c r="Y1179" s="76"/>
      <c r="Z1179" s="76"/>
      <c r="AA1179" s="76"/>
      <c r="AB1179" s="76"/>
      <c r="AC1179" s="76"/>
      <c r="AD1179" s="76"/>
      <c r="AE1179" s="76"/>
      <c r="AF1179" s="76"/>
      <c r="AG1179" s="76"/>
      <c r="AH1179" s="76"/>
      <c r="AI1179" s="76"/>
      <c r="AJ1179" s="76"/>
    </row>
    <row r="1180" spans="1:36" ht="12.75">
      <c r="A1180" s="74" t="s">
        <v>2552</v>
      </c>
      <c r="B1180" s="74"/>
      <c r="C1180" s="74" t="s">
        <v>2553</v>
      </c>
      <c r="D1180" s="74" t="s">
        <v>654</v>
      </c>
      <c r="E1180" s="146">
        <v>798473996</v>
      </c>
      <c r="F1180" s="7" t="s">
        <v>1725</v>
      </c>
      <c r="G1180" s="7"/>
      <c r="H1180" s="74" t="s">
        <v>2554</v>
      </c>
      <c r="I1180" s="75" t="s">
        <v>599</v>
      </c>
      <c r="J1180" s="74">
        <v>788199505</v>
      </c>
      <c r="K1180" s="74" t="s">
        <v>2555</v>
      </c>
      <c r="L1180" s="74"/>
      <c r="M1180" s="74"/>
      <c r="N1180" s="76"/>
      <c r="O1180" s="76"/>
      <c r="P1180" s="76"/>
      <c r="Q1180" s="76"/>
      <c r="R1180" s="76"/>
      <c r="S1180" s="76"/>
      <c r="T1180" s="76"/>
      <c r="U1180" s="76"/>
      <c r="V1180" s="76"/>
      <c r="W1180" s="76"/>
      <c r="X1180" s="76"/>
      <c r="Y1180" s="76"/>
      <c r="Z1180" s="76"/>
      <c r="AA1180" s="76"/>
      <c r="AB1180" s="76"/>
      <c r="AC1180" s="76"/>
      <c r="AD1180" s="76"/>
      <c r="AE1180" s="76"/>
      <c r="AF1180" s="76"/>
      <c r="AG1180" s="76"/>
      <c r="AH1180" s="76"/>
      <c r="AI1180" s="76"/>
      <c r="AJ1180" s="76"/>
    </row>
    <row r="1181" spans="1:36" ht="12.75">
      <c r="A1181" s="74" t="s">
        <v>2556</v>
      </c>
      <c r="B1181" s="74"/>
      <c r="C1181" s="74" t="s">
        <v>2557</v>
      </c>
      <c r="D1181" s="74" t="s">
        <v>1441</v>
      </c>
      <c r="E1181" s="146">
        <v>769302799</v>
      </c>
      <c r="F1181" s="7" t="s">
        <v>2558</v>
      </c>
      <c r="G1181" s="7"/>
      <c r="H1181" s="74" t="s">
        <v>2559</v>
      </c>
      <c r="I1181" s="75" t="s">
        <v>2560</v>
      </c>
      <c r="J1181" s="74">
        <v>728422519</v>
      </c>
      <c r="K1181" s="74" t="s">
        <v>2485</v>
      </c>
      <c r="L1181" s="74"/>
      <c r="M1181" s="74"/>
      <c r="N1181" s="76"/>
      <c r="O1181" s="76"/>
      <c r="P1181" s="76"/>
      <c r="Q1181" s="76"/>
      <c r="R1181" s="76"/>
      <c r="S1181" s="76"/>
      <c r="T1181" s="76"/>
      <c r="U1181" s="76"/>
      <c r="V1181" s="76"/>
      <c r="W1181" s="76"/>
      <c r="X1181" s="76"/>
      <c r="Y1181" s="76"/>
      <c r="Z1181" s="76"/>
      <c r="AA1181" s="76"/>
      <c r="AB1181" s="76"/>
      <c r="AC1181" s="76"/>
      <c r="AD1181" s="76"/>
      <c r="AE1181" s="76"/>
      <c r="AF1181" s="76"/>
      <c r="AG1181" s="76"/>
      <c r="AH1181" s="76"/>
      <c r="AI1181" s="76"/>
      <c r="AJ1181" s="76"/>
    </row>
    <row r="1182" spans="1:36" ht="12.75">
      <c r="A1182" s="74" t="s">
        <v>2561</v>
      </c>
      <c r="B1182" s="74"/>
      <c r="C1182" s="74" t="s">
        <v>2562</v>
      </c>
      <c r="D1182" s="74" t="s">
        <v>654</v>
      </c>
      <c r="E1182" s="146">
        <v>705912632</v>
      </c>
      <c r="F1182" s="7" t="s">
        <v>2563</v>
      </c>
      <c r="G1182" s="7"/>
      <c r="H1182" s="74" t="s">
        <v>355</v>
      </c>
      <c r="I1182" s="75" t="s">
        <v>14</v>
      </c>
      <c r="J1182" s="74">
        <v>710453693</v>
      </c>
      <c r="K1182" s="74" t="s">
        <v>105</v>
      </c>
      <c r="L1182" s="76"/>
      <c r="M1182" s="76"/>
      <c r="N1182" s="76"/>
      <c r="O1182" s="76"/>
      <c r="P1182" s="76"/>
      <c r="Q1182" s="76"/>
      <c r="R1182" s="76"/>
      <c r="S1182" s="76"/>
      <c r="T1182" s="76"/>
      <c r="U1182" s="76"/>
      <c r="V1182" s="76"/>
      <c r="W1182" s="76"/>
      <c r="X1182" s="76"/>
      <c r="Y1182" s="76"/>
      <c r="Z1182" s="76"/>
      <c r="AA1182" s="76"/>
      <c r="AB1182" s="76"/>
      <c r="AC1182" s="76"/>
      <c r="AD1182" s="76"/>
      <c r="AE1182" s="76"/>
      <c r="AF1182" s="76"/>
      <c r="AG1182" s="76"/>
      <c r="AH1182" s="76"/>
      <c r="AI1182" s="76"/>
      <c r="AJ1182" s="76"/>
    </row>
    <row r="1183" spans="1:36" ht="12.75">
      <c r="A1183" s="74" t="s">
        <v>2564</v>
      </c>
      <c r="B1183" s="74"/>
      <c r="C1183" s="74" t="s">
        <v>2565</v>
      </c>
      <c r="D1183" s="74" t="s">
        <v>799</v>
      </c>
      <c r="E1183" s="146">
        <v>742234344</v>
      </c>
      <c r="F1183" s="7" t="s">
        <v>2566</v>
      </c>
      <c r="G1183" s="7"/>
      <c r="H1183" s="74" t="s">
        <v>2567</v>
      </c>
      <c r="I1183" s="75" t="s">
        <v>495</v>
      </c>
      <c r="J1183" s="74">
        <v>741279118</v>
      </c>
      <c r="K1183" s="74" t="s">
        <v>2568</v>
      </c>
      <c r="L1183" s="74"/>
      <c r="M1183" s="74"/>
      <c r="N1183" s="76"/>
      <c r="O1183" s="76"/>
      <c r="P1183" s="76"/>
      <c r="Q1183" s="76"/>
      <c r="R1183" s="76"/>
      <c r="S1183" s="76"/>
      <c r="T1183" s="76"/>
      <c r="U1183" s="76"/>
      <c r="V1183" s="76"/>
      <c r="W1183" s="76"/>
      <c r="X1183" s="76"/>
      <c r="Y1183" s="76"/>
      <c r="Z1183" s="76"/>
      <c r="AA1183" s="76"/>
      <c r="AB1183" s="76"/>
      <c r="AC1183" s="76"/>
      <c r="AD1183" s="76"/>
      <c r="AE1183" s="76"/>
      <c r="AF1183" s="76"/>
      <c r="AG1183" s="76"/>
      <c r="AH1183" s="76"/>
      <c r="AI1183" s="76"/>
      <c r="AJ1183" s="76"/>
    </row>
    <row r="1184" spans="1:36" ht="15">
      <c r="A1184" s="74" t="s">
        <v>2569</v>
      </c>
      <c r="B1184" s="74"/>
      <c r="C1184" s="74" t="s">
        <v>2570</v>
      </c>
      <c r="D1184" s="74" t="s">
        <v>2551</v>
      </c>
      <c r="E1184" s="146">
        <v>705924831</v>
      </c>
      <c r="F1184" s="7" t="s">
        <v>2571</v>
      </c>
      <c r="G1184" s="7"/>
      <c r="H1184" s="74" t="s">
        <v>2572</v>
      </c>
      <c r="I1184" s="75" t="s">
        <v>2573</v>
      </c>
      <c r="J1184" s="244" t="s">
        <v>2574</v>
      </c>
      <c r="K1184" s="244" t="s">
        <v>2992</v>
      </c>
      <c r="L1184" s="244"/>
      <c r="M1184" s="244"/>
      <c r="N1184" s="76"/>
      <c r="O1184" s="76"/>
      <c r="P1184" s="76"/>
      <c r="Q1184" s="76"/>
      <c r="R1184" s="76"/>
      <c r="S1184" s="76"/>
      <c r="T1184" s="76"/>
      <c r="U1184" s="76"/>
      <c r="V1184" s="76"/>
      <c r="W1184" s="76"/>
      <c r="X1184" s="76"/>
      <c r="Y1184" s="76"/>
      <c r="Z1184" s="76"/>
      <c r="AA1184" s="76"/>
      <c r="AB1184" s="76"/>
      <c r="AC1184" s="76"/>
      <c r="AD1184" s="76"/>
      <c r="AE1184" s="76"/>
      <c r="AF1184" s="76"/>
      <c r="AG1184" s="76"/>
      <c r="AH1184" s="76"/>
      <c r="AI1184" s="76"/>
      <c r="AJ1184" s="76"/>
    </row>
    <row r="1185" spans="1:36" ht="12.75">
      <c r="A1185" s="74" t="s">
        <v>2576</v>
      </c>
      <c r="B1185" s="74"/>
      <c r="C1185" s="74" t="s">
        <v>2577</v>
      </c>
      <c r="D1185" s="74" t="s">
        <v>2578</v>
      </c>
      <c r="E1185" s="146">
        <v>707048192</v>
      </c>
      <c r="F1185" s="7" t="s">
        <v>2579</v>
      </c>
      <c r="G1185" s="7"/>
      <c r="H1185" s="74" t="s">
        <v>2580</v>
      </c>
      <c r="I1185" s="75" t="s">
        <v>2581</v>
      </c>
      <c r="J1185" s="74">
        <v>714695815</v>
      </c>
      <c r="K1185" s="74" t="s">
        <v>2582</v>
      </c>
      <c r="L1185" s="74"/>
      <c r="M1185" s="74"/>
      <c r="N1185" s="76"/>
      <c r="O1185" s="76"/>
      <c r="P1185" s="76"/>
      <c r="Q1185" s="76"/>
      <c r="R1185" s="76"/>
      <c r="S1185" s="76"/>
      <c r="T1185" s="76"/>
      <c r="U1185" s="76"/>
      <c r="V1185" s="76"/>
      <c r="W1185" s="76"/>
      <c r="X1185" s="76"/>
      <c r="Y1185" s="76"/>
      <c r="Z1185" s="76"/>
      <c r="AA1185" s="76"/>
      <c r="AB1185" s="76"/>
      <c r="AC1185" s="76"/>
      <c r="AD1185" s="76"/>
      <c r="AE1185" s="76"/>
      <c r="AF1185" s="76"/>
      <c r="AG1185" s="76"/>
      <c r="AH1185" s="76"/>
      <c r="AI1185" s="76"/>
      <c r="AJ1185" s="76"/>
    </row>
    <row r="1186" spans="1:36" ht="12.75">
      <c r="A1186" s="74" t="s">
        <v>2583</v>
      </c>
      <c r="B1186" s="74"/>
      <c r="C1186" s="74" t="s">
        <v>2584</v>
      </c>
      <c r="D1186" s="74" t="s">
        <v>2585</v>
      </c>
      <c r="E1186" s="287" t="s">
        <v>2586</v>
      </c>
      <c r="F1186" s="7" t="s">
        <v>2587</v>
      </c>
      <c r="G1186" s="7"/>
      <c r="H1186" s="76"/>
      <c r="I1186" s="84"/>
      <c r="J1186" s="76"/>
      <c r="K1186" s="76"/>
      <c r="L1186" s="76"/>
      <c r="M1186" s="76"/>
      <c r="N1186" s="76"/>
      <c r="O1186" s="76"/>
      <c r="P1186" s="76"/>
      <c r="Q1186" s="76"/>
      <c r="R1186" s="76"/>
      <c r="S1186" s="76"/>
      <c r="T1186" s="76"/>
      <c r="U1186" s="76"/>
      <c r="V1186" s="76"/>
      <c r="W1186" s="76"/>
      <c r="X1186" s="76"/>
      <c r="Y1186" s="76"/>
      <c r="Z1186" s="76"/>
      <c r="AA1186" s="76"/>
      <c r="AB1186" s="76"/>
      <c r="AC1186" s="76"/>
      <c r="AD1186" s="76"/>
      <c r="AE1186" s="76"/>
      <c r="AF1186" s="76"/>
      <c r="AG1186" s="76"/>
      <c r="AH1186" s="76"/>
      <c r="AI1186" s="76"/>
      <c r="AJ1186" s="76"/>
    </row>
    <row r="1187" spans="1:36" ht="12.75">
      <c r="A1187" s="74" t="s">
        <v>2588</v>
      </c>
      <c r="B1187" s="74"/>
      <c r="C1187" s="74" t="s">
        <v>2589</v>
      </c>
      <c r="D1187" s="74" t="s">
        <v>341</v>
      </c>
      <c r="E1187" s="146">
        <v>743556250</v>
      </c>
      <c r="F1187" s="7" t="s">
        <v>2590</v>
      </c>
      <c r="G1187" s="7"/>
      <c r="H1187" s="74" t="s">
        <v>2591</v>
      </c>
      <c r="I1187" s="75" t="s">
        <v>2592</v>
      </c>
      <c r="J1187" s="74">
        <v>202843330</v>
      </c>
      <c r="K1187" s="74" t="s">
        <v>2593</v>
      </c>
      <c r="L1187" s="76"/>
      <c r="M1187" s="76"/>
      <c r="N1187" s="76"/>
      <c r="O1187" s="76"/>
      <c r="P1187" s="76"/>
      <c r="Q1187" s="76"/>
      <c r="R1187" s="76"/>
      <c r="S1187" s="76"/>
      <c r="T1187" s="76"/>
      <c r="U1187" s="76"/>
      <c r="V1187" s="76"/>
      <c r="W1187" s="76"/>
      <c r="X1187" s="76"/>
      <c r="Y1187" s="76"/>
      <c r="Z1187" s="76"/>
      <c r="AA1187" s="76"/>
      <c r="AB1187" s="76"/>
      <c r="AC1187" s="76"/>
      <c r="AD1187" s="76"/>
      <c r="AE1187" s="76"/>
      <c r="AF1187" s="76"/>
      <c r="AG1187" s="76"/>
      <c r="AH1187" s="76"/>
      <c r="AI1187" s="76"/>
      <c r="AJ1187" s="76"/>
    </row>
    <row r="1188" spans="1:36" ht="12.75">
      <c r="A1188" s="74" t="s">
        <v>2598</v>
      </c>
      <c r="B1188" s="74"/>
      <c r="C1188" s="74" t="s">
        <v>2599</v>
      </c>
      <c r="D1188" s="74" t="s">
        <v>1753</v>
      </c>
      <c r="E1188" s="146">
        <v>718305616</v>
      </c>
      <c r="F1188" s="7" t="s">
        <v>2993</v>
      </c>
      <c r="G1188" s="7"/>
      <c r="H1188" s="74" t="s">
        <v>2595</v>
      </c>
      <c r="I1188" s="75" t="s">
        <v>2596</v>
      </c>
      <c r="J1188" s="74">
        <v>713709531</v>
      </c>
      <c r="K1188" s="76"/>
      <c r="L1188" s="76"/>
      <c r="M1188" s="76"/>
      <c r="N1188" s="76"/>
      <c r="O1188" s="76"/>
      <c r="P1188" s="76"/>
      <c r="Q1188" s="76"/>
      <c r="R1188" s="76"/>
      <c r="S1188" s="76"/>
      <c r="T1188" s="76"/>
      <c r="U1188" s="76"/>
      <c r="V1188" s="76"/>
      <c r="W1188" s="76"/>
      <c r="X1188" s="76"/>
      <c r="Y1188" s="76"/>
      <c r="Z1188" s="76"/>
      <c r="AA1188" s="76"/>
      <c r="AB1188" s="76"/>
      <c r="AC1188" s="76"/>
      <c r="AD1188" s="76"/>
      <c r="AE1188" s="76"/>
      <c r="AF1188" s="76"/>
      <c r="AG1188" s="76"/>
      <c r="AH1188" s="76"/>
      <c r="AI1188" s="76"/>
      <c r="AJ1188" s="76"/>
    </row>
    <row r="1189" spans="1:36" ht="12.75">
      <c r="A1189" s="74" t="s">
        <v>2601</v>
      </c>
      <c r="B1189" s="74"/>
      <c r="C1189" s="74" t="s">
        <v>2602</v>
      </c>
      <c r="D1189" s="74" t="s">
        <v>273</v>
      </c>
      <c r="E1189" s="146">
        <v>705357197</v>
      </c>
      <c r="F1189" s="7" t="s">
        <v>2603</v>
      </c>
      <c r="G1189" s="7"/>
      <c r="H1189" s="76"/>
      <c r="I1189" s="84"/>
      <c r="J1189" s="76"/>
      <c r="K1189" s="76"/>
      <c r="L1189" s="76"/>
      <c r="M1189" s="76"/>
      <c r="N1189" s="76"/>
      <c r="O1189" s="76"/>
      <c r="P1189" s="76"/>
      <c r="Q1189" s="76"/>
      <c r="R1189" s="76"/>
      <c r="S1189" s="76"/>
      <c r="T1189" s="76"/>
      <c r="U1189" s="76"/>
      <c r="V1189" s="76"/>
      <c r="W1189" s="76"/>
      <c r="X1189" s="76"/>
      <c r="Y1189" s="76"/>
      <c r="Z1189" s="76"/>
      <c r="AA1189" s="76"/>
      <c r="AB1189" s="76"/>
      <c r="AC1189" s="76"/>
      <c r="AD1189" s="76"/>
      <c r="AE1189" s="76"/>
      <c r="AF1189" s="76"/>
      <c r="AG1189" s="76"/>
      <c r="AH1189" s="76"/>
      <c r="AI1189" s="76"/>
      <c r="AJ1189" s="76"/>
    </row>
    <row r="1190" spans="1:36" ht="12.75">
      <c r="A1190" s="74" t="s">
        <v>2605</v>
      </c>
      <c r="B1190" s="74"/>
      <c r="C1190" s="74" t="s">
        <v>2606</v>
      </c>
      <c r="D1190" s="74" t="s">
        <v>2607</v>
      </c>
      <c r="E1190" s="146">
        <v>705649538</v>
      </c>
      <c r="F1190" s="7" t="s">
        <v>2608</v>
      </c>
      <c r="G1190" s="7"/>
      <c r="H1190" s="74" t="s">
        <v>2609</v>
      </c>
      <c r="I1190" s="75" t="s">
        <v>2610</v>
      </c>
      <c r="J1190" s="74">
        <v>722206986</v>
      </c>
      <c r="K1190" s="74" t="s">
        <v>1639</v>
      </c>
      <c r="L1190" s="76"/>
      <c r="M1190" s="76"/>
      <c r="N1190" s="76"/>
      <c r="O1190" s="76"/>
      <c r="P1190" s="76"/>
      <c r="Q1190" s="76"/>
      <c r="R1190" s="76"/>
      <c r="S1190" s="76"/>
      <c r="T1190" s="76"/>
      <c r="U1190" s="76"/>
      <c r="V1190" s="76"/>
      <c r="W1190" s="76"/>
      <c r="X1190" s="76"/>
      <c r="Y1190" s="76"/>
      <c r="Z1190" s="76"/>
      <c r="AA1190" s="76"/>
      <c r="AB1190" s="76"/>
      <c r="AC1190" s="76"/>
      <c r="AD1190" s="76"/>
      <c r="AE1190" s="76"/>
      <c r="AF1190" s="76"/>
      <c r="AG1190" s="76"/>
      <c r="AH1190" s="76"/>
      <c r="AI1190" s="76"/>
      <c r="AJ1190" s="76"/>
    </row>
    <row r="1191" spans="1:36" ht="12.75">
      <c r="A1191" s="74" t="s">
        <v>2611</v>
      </c>
      <c r="B1191" s="74"/>
      <c r="C1191" s="74" t="s">
        <v>2612</v>
      </c>
      <c r="D1191" s="74" t="s">
        <v>1441</v>
      </c>
      <c r="E1191" s="146">
        <v>742252910</v>
      </c>
      <c r="F1191" s="247" t="s">
        <v>2613</v>
      </c>
      <c r="G1191" s="247"/>
      <c r="H1191" s="74" t="s">
        <v>2614</v>
      </c>
      <c r="I1191" s="84"/>
      <c r="J1191" s="76"/>
      <c r="K1191" s="76"/>
      <c r="L1191" s="76"/>
      <c r="M1191" s="76"/>
      <c r="N1191" s="76"/>
      <c r="O1191" s="76"/>
      <c r="P1191" s="76"/>
      <c r="Q1191" s="76"/>
      <c r="R1191" s="76"/>
      <c r="S1191" s="76"/>
      <c r="T1191" s="76"/>
      <c r="U1191" s="76"/>
      <c r="V1191" s="76"/>
      <c r="W1191" s="76"/>
      <c r="X1191" s="76"/>
      <c r="Y1191" s="76"/>
      <c r="Z1191" s="76"/>
      <c r="AA1191" s="76"/>
      <c r="AB1191" s="76"/>
      <c r="AC1191" s="76"/>
      <c r="AD1191" s="76"/>
      <c r="AE1191" s="76"/>
      <c r="AF1191" s="76"/>
      <c r="AG1191" s="76"/>
      <c r="AH1191" s="76"/>
      <c r="AI1191" s="76"/>
      <c r="AJ1191" s="76"/>
    </row>
    <row r="1192" spans="1:36" ht="12.75">
      <c r="A1192" s="74" t="s">
        <v>2994</v>
      </c>
      <c r="B1192" s="74"/>
      <c r="C1192" s="74" t="s">
        <v>2616</v>
      </c>
      <c r="D1192" s="74" t="s">
        <v>402</v>
      </c>
      <c r="E1192" s="146">
        <v>706165381</v>
      </c>
      <c r="F1192" s="7" t="s">
        <v>999</v>
      </c>
      <c r="G1192" s="7"/>
      <c r="H1192" s="74" t="s">
        <v>2617</v>
      </c>
      <c r="I1192" s="75" t="s">
        <v>2618</v>
      </c>
      <c r="J1192" s="74" t="s">
        <v>2619</v>
      </c>
      <c r="K1192" s="74" t="s">
        <v>105</v>
      </c>
      <c r="L1192" s="76"/>
      <c r="M1192" s="76"/>
      <c r="N1192" s="76"/>
      <c r="O1192" s="76"/>
      <c r="P1192" s="76"/>
      <c r="Q1192" s="76"/>
      <c r="R1192" s="76"/>
      <c r="S1192" s="76"/>
      <c r="T1192" s="76"/>
      <c r="U1192" s="76"/>
      <c r="V1192" s="76"/>
      <c r="W1192" s="76"/>
      <c r="X1192" s="76"/>
      <c r="Y1192" s="76"/>
      <c r="Z1192" s="76"/>
      <c r="AA1192" s="76"/>
      <c r="AB1192" s="76"/>
      <c r="AC1192" s="76"/>
      <c r="AD1192" s="76"/>
      <c r="AE1192" s="76"/>
      <c r="AF1192" s="76"/>
      <c r="AG1192" s="76"/>
      <c r="AH1192" s="76"/>
      <c r="AI1192" s="76"/>
      <c r="AJ1192" s="76"/>
    </row>
    <row r="1193" spans="1:36" ht="12.75">
      <c r="A1193" s="74" t="s">
        <v>2620</v>
      </c>
      <c r="B1193" s="74"/>
      <c r="C1193" s="74" t="s">
        <v>2621</v>
      </c>
      <c r="D1193" s="74" t="s">
        <v>873</v>
      </c>
      <c r="E1193" s="146">
        <v>745873013</v>
      </c>
      <c r="F1193" s="7" t="s">
        <v>2622</v>
      </c>
      <c r="G1193" s="7"/>
      <c r="H1193" s="74" t="s">
        <v>2623</v>
      </c>
      <c r="I1193" s="75" t="s">
        <v>223</v>
      </c>
      <c r="J1193" s="74">
        <v>711234567</v>
      </c>
      <c r="K1193" s="74" t="s">
        <v>180</v>
      </c>
      <c r="L1193" s="76"/>
      <c r="M1193" s="76"/>
      <c r="N1193" s="76"/>
      <c r="O1193" s="76"/>
      <c r="P1193" s="76"/>
      <c r="Q1193" s="76"/>
      <c r="R1193" s="76"/>
      <c r="S1193" s="76"/>
      <c r="T1193" s="76"/>
      <c r="U1193" s="76"/>
      <c r="V1193" s="76"/>
      <c r="W1193" s="76"/>
      <c r="X1193" s="76"/>
      <c r="Y1193" s="76"/>
      <c r="Z1193" s="76"/>
      <c r="AA1193" s="76"/>
      <c r="AB1193" s="76"/>
      <c r="AC1193" s="76"/>
      <c r="AD1193" s="76"/>
      <c r="AE1193" s="76"/>
      <c r="AF1193" s="76"/>
      <c r="AG1193" s="76"/>
      <c r="AH1193" s="76"/>
      <c r="AI1193" s="76"/>
      <c r="AJ1193" s="76"/>
    </row>
    <row r="1194" spans="1:36" ht="12.75">
      <c r="A1194" s="74" t="s">
        <v>2624</v>
      </c>
      <c r="B1194" s="74"/>
      <c r="C1194" s="74" t="s">
        <v>2625</v>
      </c>
      <c r="D1194" s="74" t="s">
        <v>2626</v>
      </c>
      <c r="E1194" s="146">
        <v>713281762</v>
      </c>
      <c r="F1194" s="7" t="s">
        <v>1449</v>
      </c>
      <c r="G1194" s="7"/>
      <c r="H1194" s="74" t="s">
        <v>2627</v>
      </c>
      <c r="I1194" s="75" t="s">
        <v>2628</v>
      </c>
      <c r="J1194" s="74">
        <v>757702813</v>
      </c>
      <c r="K1194" s="74" t="s">
        <v>1452</v>
      </c>
      <c r="L1194" s="76"/>
      <c r="M1194" s="76"/>
      <c r="N1194" s="76"/>
      <c r="O1194" s="76"/>
      <c r="P1194" s="76"/>
      <c r="Q1194" s="76"/>
      <c r="R1194" s="76"/>
      <c r="S1194" s="76"/>
      <c r="T1194" s="76"/>
      <c r="U1194" s="76"/>
      <c r="V1194" s="76"/>
      <c r="W1194" s="76"/>
      <c r="X1194" s="76"/>
      <c r="Y1194" s="76"/>
      <c r="Z1194" s="76"/>
      <c r="AA1194" s="76"/>
      <c r="AB1194" s="76"/>
      <c r="AC1194" s="76"/>
      <c r="AD1194" s="76"/>
      <c r="AE1194" s="76"/>
      <c r="AF1194" s="76"/>
      <c r="AG1194" s="76"/>
      <c r="AH1194" s="76"/>
      <c r="AI1194" s="76"/>
      <c r="AJ1194" s="76"/>
    </row>
    <row r="1195" spans="1:36" ht="12.75">
      <c r="A1195" s="74" t="s">
        <v>2629</v>
      </c>
      <c r="B1195" s="74"/>
      <c r="C1195" s="74" t="s">
        <v>2630</v>
      </c>
      <c r="D1195" s="74" t="s">
        <v>337</v>
      </c>
      <c r="E1195" s="146">
        <v>111655419</v>
      </c>
      <c r="F1195" s="7" t="s">
        <v>2631</v>
      </c>
      <c r="G1195" s="7"/>
      <c r="H1195" s="74" t="s">
        <v>2623</v>
      </c>
      <c r="I1195" s="75"/>
      <c r="J1195" s="74">
        <v>711234567</v>
      </c>
      <c r="K1195" s="74" t="s">
        <v>180</v>
      </c>
      <c r="L1195" s="76"/>
      <c r="M1195" s="76"/>
      <c r="N1195" s="76"/>
      <c r="O1195" s="76"/>
      <c r="P1195" s="76"/>
      <c r="Q1195" s="76"/>
      <c r="R1195" s="76"/>
      <c r="S1195" s="76"/>
      <c r="T1195" s="76"/>
      <c r="U1195" s="76"/>
      <c r="V1195" s="76"/>
      <c r="W1195" s="76"/>
      <c r="X1195" s="76"/>
      <c r="Y1195" s="76"/>
      <c r="Z1195" s="76"/>
      <c r="AA1195" s="76"/>
      <c r="AB1195" s="76"/>
      <c r="AC1195" s="76"/>
      <c r="AD1195" s="76"/>
      <c r="AE1195" s="76"/>
      <c r="AF1195" s="76"/>
      <c r="AG1195" s="76"/>
      <c r="AH1195" s="76"/>
      <c r="AI1195" s="76"/>
      <c r="AJ1195" s="76"/>
    </row>
    <row r="1196" spans="1:36" ht="12.75">
      <c r="A1196" s="74" t="s">
        <v>2632</v>
      </c>
      <c r="B1196" s="74"/>
      <c r="C1196" s="74" t="s">
        <v>2633</v>
      </c>
      <c r="D1196" s="74" t="s">
        <v>873</v>
      </c>
      <c r="E1196" s="146">
        <v>746814337</v>
      </c>
      <c r="F1196" s="7" t="s">
        <v>2634</v>
      </c>
      <c r="G1196" s="7"/>
      <c r="H1196" s="74" t="s">
        <v>2635</v>
      </c>
      <c r="I1196" s="75" t="s">
        <v>2137</v>
      </c>
      <c r="J1196" s="74">
        <v>2547202342935</v>
      </c>
      <c r="K1196" s="74" t="s">
        <v>2636</v>
      </c>
      <c r="L1196" s="76"/>
      <c r="M1196" s="76"/>
      <c r="N1196" s="76"/>
      <c r="O1196" s="76"/>
      <c r="P1196" s="76"/>
      <c r="Q1196" s="76"/>
      <c r="R1196" s="76"/>
      <c r="S1196" s="76"/>
      <c r="T1196" s="76"/>
      <c r="U1196" s="76"/>
      <c r="V1196" s="76"/>
      <c r="W1196" s="76"/>
      <c r="X1196" s="76"/>
      <c r="Y1196" s="76"/>
      <c r="Z1196" s="76"/>
      <c r="AA1196" s="76"/>
      <c r="AB1196" s="76"/>
      <c r="AC1196" s="76"/>
      <c r="AD1196" s="76"/>
      <c r="AE1196" s="76"/>
      <c r="AF1196" s="76"/>
      <c r="AG1196" s="76"/>
      <c r="AH1196" s="76"/>
      <c r="AI1196" s="76"/>
      <c r="AJ1196" s="76"/>
    </row>
    <row r="1197" spans="1:36" ht="12.75">
      <c r="A1197" s="74" t="s">
        <v>2637</v>
      </c>
      <c r="B1197" s="74"/>
      <c r="C1197" s="74" t="s">
        <v>2638</v>
      </c>
      <c r="D1197" s="74" t="s">
        <v>2522</v>
      </c>
      <c r="E1197" s="146">
        <v>796443221</v>
      </c>
      <c r="F1197" s="7" t="s">
        <v>2639</v>
      </c>
      <c r="G1197" s="7"/>
      <c r="H1197" s="74" t="s">
        <v>2640</v>
      </c>
      <c r="I1197" s="75" t="s">
        <v>2641</v>
      </c>
      <c r="J1197" s="74" t="s">
        <v>2642</v>
      </c>
      <c r="K1197" s="74" t="s">
        <v>2643</v>
      </c>
      <c r="L1197" s="76"/>
      <c r="M1197" s="76"/>
      <c r="N1197" s="76"/>
      <c r="O1197" s="76"/>
      <c r="P1197" s="76"/>
      <c r="Q1197" s="76"/>
      <c r="R1197" s="76"/>
      <c r="S1197" s="76"/>
      <c r="T1197" s="76"/>
      <c r="U1197" s="76"/>
      <c r="V1197" s="76"/>
      <c r="W1197" s="76"/>
      <c r="X1197" s="76"/>
      <c r="Y1197" s="76"/>
      <c r="Z1197" s="76"/>
      <c r="AA1197" s="76"/>
      <c r="AB1197" s="76"/>
      <c r="AC1197" s="76"/>
      <c r="AD1197" s="76"/>
      <c r="AE1197" s="76"/>
      <c r="AF1197" s="76"/>
      <c r="AG1197" s="76"/>
      <c r="AH1197" s="76"/>
      <c r="AI1197" s="76"/>
      <c r="AJ1197" s="76"/>
    </row>
    <row r="1198" spans="1:36" ht="12.75">
      <c r="A1198" s="74" t="s">
        <v>2644</v>
      </c>
      <c r="B1198" s="74"/>
      <c r="C1198" s="74" t="s">
        <v>2645</v>
      </c>
      <c r="D1198" s="74" t="s">
        <v>341</v>
      </c>
      <c r="E1198" s="146">
        <v>792177297</v>
      </c>
      <c r="F1198" s="7" t="s">
        <v>2646</v>
      </c>
      <c r="G1198" s="7"/>
      <c r="H1198" s="74" t="s">
        <v>2647</v>
      </c>
      <c r="I1198" s="75" t="s">
        <v>2247</v>
      </c>
      <c r="J1198" s="74">
        <v>790468082</v>
      </c>
      <c r="K1198" s="74" t="s">
        <v>1508</v>
      </c>
      <c r="L1198" s="76"/>
      <c r="M1198" s="76"/>
      <c r="N1198" s="76"/>
      <c r="O1198" s="76"/>
      <c r="P1198" s="76"/>
      <c r="Q1198" s="76"/>
      <c r="R1198" s="76"/>
      <c r="S1198" s="76"/>
      <c r="T1198" s="76"/>
      <c r="U1198" s="76"/>
      <c r="V1198" s="76"/>
      <c r="W1198" s="76"/>
      <c r="X1198" s="76"/>
      <c r="Y1198" s="76"/>
      <c r="Z1198" s="76"/>
      <c r="AA1198" s="76"/>
      <c r="AB1198" s="76"/>
      <c r="AC1198" s="76"/>
      <c r="AD1198" s="76"/>
      <c r="AE1198" s="76"/>
      <c r="AF1198" s="76"/>
      <c r="AG1198" s="76"/>
      <c r="AH1198" s="76"/>
      <c r="AI1198" s="76"/>
      <c r="AJ1198" s="76"/>
    </row>
    <row r="1199" spans="1:36" ht="12.75">
      <c r="A1199" s="74" t="s">
        <v>2648</v>
      </c>
      <c r="B1199" s="74"/>
      <c r="C1199" s="74" t="s">
        <v>2649</v>
      </c>
      <c r="D1199" s="74" t="s">
        <v>2551</v>
      </c>
      <c r="E1199" s="146">
        <v>254112827681</v>
      </c>
      <c r="F1199" s="7" t="s">
        <v>2650</v>
      </c>
      <c r="G1199" s="7"/>
      <c r="H1199" s="74" t="s">
        <v>2651</v>
      </c>
      <c r="I1199" s="75" t="s">
        <v>599</v>
      </c>
      <c r="J1199" s="74">
        <v>722406595</v>
      </c>
      <c r="K1199" s="74" t="s">
        <v>2652</v>
      </c>
      <c r="L1199" s="76"/>
      <c r="M1199" s="76"/>
      <c r="N1199" s="76"/>
      <c r="O1199" s="76"/>
      <c r="P1199" s="76"/>
      <c r="Q1199" s="76"/>
      <c r="R1199" s="76"/>
      <c r="S1199" s="76"/>
      <c r="T1199" s="76"/>
      <c r="U1199" s="76"/>
      <c r="V1199" s="76"/>
      <c r="W1199" s="76"/>
      <c r="X1199" s="76"/>
      <c r="Y1199" s="76"/>
      <c r="Z1199" s="76"/>
      <c r="AA1199" s="76"/>
      <c r="AB1199" s="76"/>
      <c r="AC1199" s="76"/>
      <c r="AD1199" s="76"/>
      <c r="AE1199" s="76"/>
      <c r="AF1199" s="76"/>
      <c r="AG1199" s="76"/>
      <c r="AH1199" s="76"/>
      <c r="AI1199" s="76"/>
      <c r="AJ1199" s="76"/>
    </row>
    <row r="1200" spans="1:36" ht="12.75">
      <c r="A1200" s="74" t="s">
        <v>2653</v>
      </c>
      <c r="B1200" s="74"/>
      <c r="C1200" s="74" t="s">
        <v>2654</v>
      </c>
      <c r="D1200" s="74" t="s">
        <v>155</v>
      </c>
      <c r="E1200" s="146">
        <v>708822568</v>
      </c>
      <c r="F1200" s="7" t="s">
        <v>2655</v>
      </c>
      <c r="G1200" s="7"/>
      <c r="H1200" s="74" t="s">
        <v>2656</v>
      </c>
      <c r="I1200" s="75" t="s">
        <v>2657</v>
      </c>
      <c r="J1200" s="74">
        <v>791808309</v>
      </c>
      <c r="K1200" s="74" t="s">
        <v>2658</v>
      </c>
      <c r="L1200" s="76"/>
      <c r="M1200" s="76"/>
      <c r="N1200" s="76"/>
      <c r="O1200" s="76"/>
      <c r="P1200" s="76"/>
      <c r="Q1200" s="76"/>
      <c r="R1200" s="76"/>
      <c r="S1200" s="76"/>
      <c r="T1200" s="76"/>
      <c r="U1200" s="76"/>
      <c r="V1200" s="76"/>
      <c r="W1200" s="76"/>
      <c r="X1200" s="76"/>
      <c r="Y1200" s="76"/>
      <c r="Z1200" s="76"/>
      <c r="AA1200" s="76"/>
      <c r="AB1200" s="76"/>
      <c r="AC1200" s="76"/>
      <c r="AD1200" s="76"/>
      <c r="AE1200" s="76"/>
      <c r="AF1200" s="76"/>
      <c r="AG1200" s="76"/>
      <c r="AH1200" s="76"/>
      <c r="AI1200" s="76"/>
      <c r="AJ1200" s="76"/>
    </row>
    <row r="1201" spans="1:36" ht="12.75">
      <c r="A1201" s="74" t="s">
        <v>2659</v>
      </c>
      <c r="B1201" s="74"/>
      <c r="C1201" s="74" t="s">
        <v>2660</v>
      </c>
      <c r="D1201" s="74" t="s">
        <v>2661</v>
      </c>
      <c r="E1201" s="146">
        <v>718088461</v>
      </c>
      <c r="F1201" s="7" t="s">
        <v>2662</v>
      </c>
      <c r="G1201" s="7"/>
      <c r="H1201" s="74" t="s">
        <v>2663</v>
      </c>
      <c r="I1201" s="75" t="s">
        <v>2664</v>
      </c>
      <c r="J1201" s="74">
        <v>791569875</v>
      </c>
      <c r="K1201" s="74" t="s">
        <v>2665</v>
      </c>
      <c r="L1201" s="76"/>
      <c r="M1201" s="76"/>
      <c r="N1201" s="76"/>
      <c r="O1201" s="76"/>
      <c r="P1201" s="76"/>
      <c r="Q1201" s="76"/>
      <c r="R1201" s="76"/>
      <c r="S1201" s="76"/>
      <c r="T1201" s="76"/>
      <c r="U1201" s="76"/>
      <c r="V1201" s="76"/>
      <c r="W1201" s="76"/>
      <c r="X1201" s="76"/>
      <c r="Y1201" s="76"/>
      <c r="Z1201" s="76"/>
      <c r="AA1201" s="76"/>
      <c r="AB1201" s="76"/>
      <c r="AC1201" s="76"/>
      <c r="AD1201" s="76"/>
      <c r="AE1201" s="76"/>
      <c r="AF1201" s="76"/>
      <c r="AG1201" s="76"/>
      <c r="AH1201" s="76"/>
      <c r="AI1201" s="76"/>
      <c r="AJ1201" s="76"/>
    </row>
    <row r="1202" spans="1:36" ht="12.75">
      <c r="A1202" s="74" t="s">
        <v>2666</v>
      </c>
      <c r="B1202" s="74"/>
      <c r="C1202" s="74" t="s">
        <v>2667</v>
      </c>
      <c r="D1202" s="74" t="s">
        <v>2668</v>
      </c>
      <c r="E1202" s="146">
        <v>721228749</v>
      </c>
      <c r="F1202" s="7" t="s">
        <v>2995</v>
      </c>
      <c r="G1202" s="7"/>
      <c r="H1202" s="74" t="s">
        <v>2670</v>
      </c>
      <c r="I1202" s="75" t="s">
        <v>1245</v>
      </c>
      <c r="J1202" s="74" t="s">
        <v>2996</v>
      </c>
      <c r="K1202" s="74" t="s">
        <v>2997</v>
      </c>
      <c r="L1202" s="76"/>
      <c r="M1202" s="76"/>
      <c r="N1202" s="76"/>
      <c r="O1202" s="76"/>
      <c r="P1202" s="76"/>
      <c r="Q1202" s="76"/>
      <c r="R1202" s="76"/>
      <c r="S1202" s="76"/>
      <c r="T1202" s="76"/>
      <c r="U1202" s="76"/>
      <c r="V1202" s="76"/>
      <c r="W1202" s="76"/>
      <c r="X1202" s="76"/>
      <c r="Y1202" s="76"/>
      <c r="Z1202" s="76"/>
      <c r="AA1202" s="76"/>
      <c r="AB1202" s="76"/>
      <c r="AC1202" s="76"/>
      <c r="AD1202" s="76"/>
      <c r="AE1202" s="76"/>
      <c r="AF1202" s="76"/>
      <c r="AG1202" s="76"/>
      <c r="AH1202" s="76"/>
      <c r="AI1202" s="76"/>
      <c r="AJ1202" s="76"/>
    </row>
    <row r="1203" spans="1:36" ht="12.75">
      <c r="A1203" s="74" t="s">
        <v>2673</v>
      </c>
      <c r="B1203" s="74"/>
      <c r="C1203" s="74" t="s">
        <v>2674</v>
      </c>
      <c r="D1203" s="74" t="s">
        <v>2675</v>
      </c>
      <c r="E1203" s="146">
        <v>114607618</v>
      </c>
      <c r="F1203" s="7" t="s">
        <v>2676</v>
      </c>
      <c r="G1203" s="7"/>
      <c r="H1203" s="74" t="s">
        <v>2042</v>
      </c>
      <c r="I1203" s="75" t="s">
        <v>617</v>
      </c>
      <c r="J1203" s="74">
        <v>710453693</v>
      </c>
      <c r="K1203" s="74" t="s">
        <v>105</v>
      </c>
      <c r="L1203" s="76"/>
      <c r="M1203" s="76"/>
      <c r="N1203" s="76"/>
      <c r="O1203" s="76"/>
      <c r="P1203" s="76"/>
      <c r="Q1203" s="76"/>
      <c r="R1203" s="76"/>
      <c r="S1203" s="76"/>
      <c r="T1203" s="76"/>
      <c r="U1203" s="76"/>
      <c r="V1203" s="76"/>
      <c r="W1203" s="76"/>
      <c r="X1203" s="76"/>
      <c r="Y1203" s="76"/>
      <c r="Z1203" s="76"/>
      <c r="AA1203" s="76"/>
      <c r="AB1203" s="76"/>
      <c r="AC1203" s="76"/>
      <c r="AD1203" s="76"/>
      <c r="AE1203" s="76"/>
      <c r="AF1203" s="76"/>
      <c r="AG1203" s="76"/>
      <c r="AH1203" s="76"/>
      <c r="AI1203" s="76"/>
      <c r="AJ1203" s="76"/>
    </row>
    <row r="1204" spans="1:36" ht="12.75">
      <c r="A1204" s="74" t="s">
        <v>2677</v>
      </c>
      <c r="B1204" s="74"/>
      <c r="C1204" s="74" t="s">
        <v>2678</v>
      </c>
      <c r="D1204" s="74" t="s">
        <v>407</v>
      </c>
      <c r="E1204" s="146">
        <v>792748122</v>
      </c>
      <c r="F1204" s="7" t="s">
        <v>2679</v>
      </c>
      <c r="G1204" s="7"/>
      <c r="H1204" s="74" t="s">
        <v>2680</v>
      </c>
      <c r="I1204" s="75" t="s">
        <v>237</v>
      </c>
      <c r="J1204" s="74">
        <v>703034000</v>
      </c>
      <c r="K1204" s="74" t="s">
        <v>2681</v>
      </c>
      <c r="L1204" s="76"/>
      <c r="M1204" s="76"/>
      <c r="N1204" s="76"/>
      <c r="O1204" s="76"/>
      <c r="P1204" s="76"/>
      <c r="Q1204" s="76"/>
      <c r="R1204" s="76"/>
      <c r="S1204" s="76"/>
      <c r="T1204" s="76"/>
      <c r="U1204" s="76"/>
      <c r="V1204" s="76"/>
      <c r="W1204" s="76"/>
      <c r="X1204" s="76"/>
      <c r="Y1204" s="76"/>
      <c r="Z1204" s="76"/>
      <c r="AA1204" s="76"/>
      <c r="AB1204" s="76"/>
      <c r="AC1204" s="76"/>
      <c r="AD1204" s="76"/>
      <c r="AE1204" s="76"/>
      <c r="AF1204" s="76"/>
      <c r="AG1204" s="76"/>
      <c r="AH1204" s="76"/>
      <c r="AI1204" s="76"/>
      <c r="AJ1204" s="76"/>
    </row>
    <row r="1205" spans="1:36" ht="12.75">
      <c r="A1205" s="74" t="s">
        <v>2682</v>
      </c>
      <c r="B1205" s="74"/>
      <c r="C1205" s="74" t="s">
        <v>2683</v>
      </c>
      <c r="D1205" s="74" t="s">
        <v>2684</v>
      </c>
      <c r="E1205" s="146">
        <v>748798704</v>
      </c>
      <c r="F1205" s="7" t="s">
        <v>2685</v>
      </c>
      <c r="G1205" s="7"/>
      <c r="H1205" s="74" t="s">
        <v>2686</v>
      </c>
      <c r="I1205" s="75" t="s">
        <v>2687</v>
      </c>
      <c r="J1205" s="74" t="s">
        <v>2688</v>
      </c>
      <c r="K1205" s="74" t="s">
        <v>2689</v>
      </c>
      <c r="L1205" s="76"/>
      <c r="M1205" s="76"/>
      <c r="N1205" s="76"/>
      <c r="O1205" s="76"/>
      <c r="P1205" s="76"/>
      <c r="Q1205" s="76"/>
      <c r="R1205" s="76"/>
      <c r="S1205" s="76"/>
      <c r="T1205" s="76"/>
      <c r="U1205" s="76"/>
      <c r="V1205" s="76"/>
      <c r="W1205" s="76"/>
      <c r="X1205" s="76"/>
      <c r="Y1205" s="76"/>
      <c r="Z1205" s="76"/>
      <c r="AA1205" s="76"/>
      <c r="AB1205" s="76"/>
      <c r="AC1205" s="76"/>
      <c r="AD1205" s="76"/>
      <c r="AE1205" s="76"/>
      <c r="AF1205" s="76"/>
      <c r="AG1205" s="76"/>
      <c r="AH1205" s="76"/>
      <c r="AI1205" s="76"/>
      <c r="AJ1205" s="76"/>
    </row>
    <row r="1206" spans="1:36" ht="12.75">
      <c r="A1206" s="74" t="s">
        <v>2690</v>
      </c>
      <c r="B1206" s="74"/>
      <c r="C1206" s="74" t="s">
        <v>2691</v>
      </c>
      <c r="D1206" s="74" t="s">
        <v>83</v>
      </c>
      <c r="E1206" s="146">
        <v>704528689</v>
      </c>
      <c r="F1206" s="7" t="s">
        <v>2692</v>
      </c>
      <c r="G1206" s="7"/>
      <c r="H1206" s="74" t="s">
        <v>2693</v>
      </c>
      <c r="I1206" s="75" t="s">
        <v>1245</v>
      </c>
      <c r="J1206" s="74">
        <v>704528689</v>
      </c>
      <c r="K1206" s="74" t="s">
        <v>2694</v>
      </c>
      <c r="L1206" s="76"/>
      <c r="M1206" s="76"/>
      <c r="N1206" s="76"/>
      <c r="O1206" s="76"/>
      <c r="P1206" s="76"/>
      <c r="Q1206" s="76"/>
      <c r="R1206" s="76"/>
      <c r="S1206" s="76"/>
      <c r="T1206" s="76"/>
      <c r="U1206" s="76"/>
      <c r="V1206" s="76"/>
      <c r="W1206" s="76"/>
      <c r="X1206" s="76"/>
      <c r="Y1206" s="76"/>
      <c r="Z1206" s="76"/>
      <c r="AA1206" s="76"/>
      <c r="AB1206" s="76"/>
      <c r="AC1206" s="76"/>
      <c r="AD1206" s="76"/>
      <c r="AE1206" s="76"/>
      <c r="AF1206" s="76"/>
      <c r="AG1206" s="76"/>
      <c r="AH1206" s="76"/>
      <c r="AI1206" s="76"/>
      <c r="AJ1206" s="76"/>
    </row>
    <row r="1207" spans="1:36" ht="12.75">
      <c r="A1207" s="291" t="s">
        <v>2695</v>
      </c>
      <c r="B1207" s="291"/>
      <c r="C1207" s="74" t="s">
        <v>2696</v>
      </c>
      <c r="D1207" s="74" t="s">
        <v>2697</v>
      </c>
      <c r="E1207" s="146">
        <v>721901761</v>
      </c>
      <c r="F1207" s="7" t="s">
        <v>681</v>
      </c>
      <c r="G1207" s="7"/>
      <c r="H1207" s="74" t="s">
        <v>2698</v>
      </c>
      <c r="I1207" s="75" t="s">
        <v>2699</v>
      </c>
      <c r="J1207" s="74">
        <v>202054354</v>
      </c>
      <c r="K1207" s="74" t="s">
        <v>224</v>
      </c>
      <c r="L1207" s="76"/>
      <c r="M1207" s="76"/>
      <c r="N1207" s="76"/>
      <c r="O1207" s="76"/>
      <c r="P1207" s="76"/>
      <c r="Q1207" s="76"/>
      <c r="R1207" s="76"/>
      <c r="S1207" s="76"/>
      <c r="T1207" s="76"/>
      <c r="U1207" s="76"/>
      <c r="V1207" s="76"/>
      <c r="W1207" s="76"/>
      <c r="X1207" s="76"/>
      <c r="Y1207" s="76"/>
      <c r="Z1207" s="76"/>
      <c r="AA1207" s="76"/>
      <c r="AB1207" s="76"/>
      <c r="AC1207" s="76"/>
      <c r="AD1207" s="76"/>
      <c r="AE1207" s="76"/>
      <c r="AF1207" s="76"/>
      <c r="AG1207" s="76"/>
      <c r="AH1207" s="76"/>
      <c r="AI1207" s="76"/>
      <c r="AJ1207" s="76"/>
    </row>
    <row r="1208" spans="1:36" ht="12.75">
      <c r="A1208" s="74" t="s">
        <v>2700</v>
      </c>
      <c r="B1208" s="74"/>
      <c r="C1208" s="74" t="s">
        <v>2701</v>
      </c>
      <c r="D1208" s="74" t="s">
        <v>227</v>
      </c>
      <c r="E1208" s="146">
        <v>700844565</v>
      </c>
      <c r="F1208" s="7" t="s">
        <v>2676</v>
      </c>
      <c r="G1208" s="7"/>
      <c r="H1208" s="74" t="s">
        <v>2042</v>
      </c>
      <c r="I1208" s="75" t="s">
        <v>2699</v>
      </c>
      <c r="J1208" s="74" t="s">
        <v>442</v>
      </c>
      <c r="K1208" s="74" t="s">
        <v>105</v>
      </c>
      <c r="L1208" s="76"/>
      <c r="M1208" s="76"/>
      <c r="N1208" s="76"/>
      <c r="O1208" s="76"/>
      <c r="P1208" s="76"/>
      <c r="Q1208" s="76"/>
      <c r="R1208" s="76"/>
      <c r="S1208" s="76"/>
      <c r="T1208" s="76"/>
      <c r="U1208" s="76"/>
      <c r="V1208" s="76"/>
      <c r="W1208" s="76"/>
      <c r="X1208" s="76"/>
      <c r="Y1208" s="76"/>
      <c r="Z1208" s="76"/>
      <c r="AA1208" s="76"/>
      <c r="AB1208" s="76"/>
      <c r="AC1208" s="76"/>
      <c r="AD1208" s="76"/>
      <c r="AE1208" s="76"/>
      <c r="AF1208" s="76"/>
      <c r="AG1208" s="76"/>
      <c r="AH1208" s="76"/>
      <c r="AI1208" s="76"/>
      <c r="AJ1208" s="76"/>
    </row>
    <row r="1209" spans="1:36" ht="12.75">
      <c r="A1209" s="74" t="s">
        <v>2702</v>
      </c>
      <c r="B1209" s="74"/>
      <c r="C1209" s="74" t="s">
        <v>2703</v>
      </c>
      <c r="D1209" s="74" t="s">
        <v>880</v>
      </c>
      <c r="E1209" s="146">
        <v>755169855</v>
      </c>
      <c r="F1209" s="7" t="s">
        <v>2704</v>
      </c>
      <c r="G1209" s="7"/>
      <c r="H1209" s="74" t="s">
        <v>2705</v>
      </c>
      <c r="I1209" s="75" t="s">
        <v>2706</v>
      </c>
      <c r="J1209" s="74">
        <v>758722024</v>
      </c>
      <c r="K1209" s="74" t="s">
        <v>2707</v>
      </c>
      <c r="L1209" s="76"/>
      <c r="M1209" s="76"/>
      <c r="N1209" s="76"/>
      <c r="O1209" s="76"/>
      <c r="P1209" s="76"/>
      <c r="Q1209" s="76"/>
      <c r="R1209" s="76"/>
      <c r="S1209" s="76"/>
      <c r="T1209" s="76"/>
      <c r="U1209" s="76"/>
      <c r="V1209" s="76"/>
      <c r="W1209" s="76"/>
      <c r="X1209" s="76"/>
      <c r="Y1209" s="76"/>
      <c r="Z1209" s="76"/>
      <c r="AA1209" s="76"/>
      <c r="AB1209" s="76"/>
      <c r="AC1209" s="76"/>
      <c r="AD1209" s="76"/>
      <c r="AE1209" s="76"/>
      <c r="AF1209" s="76"/>
      <c r="AG1209" s="76"/>
      <c r="AH1209" s="76"/>
      <c r="AI1209" s="76"/>
      <c r="AJ1209" s="76"/>
    </row>
    <row r="1210" spans="1:36" ht="12.75">
      <c r="A1210" s="74" t="s">
        <v>2708</v>
      </c>
      <c r="B1210" s="74"/>
      <c r="C1210" s="74" t="s">
        <v>2709</v>
      </c>
      <c r="D1210" s="74" t="s">
        <v>2710</v>
      </c>
      <c r="E1210" s="194">
        <v>254719497217</v>
      </c>
      <c r="F1210" s="7" t="s">
        <v>2711</v>
      </c>
      <c r="G1210" s="7"/>
      <c r="H1210" s="74" t="s">
        <v>2712</v>
      </c>
      <c r="I1210" s="75" t="s">
        <v>2713</v>
      </c>
      <c r="J1210" s="76"/>
      <c r="K1210" s="76"/>
      <c r="L1210" s="76"/>
      <c r="M1210" s="76"/>
      <c r="N1210" s="76"/>
      <c r="O1210" s="76"/>
      <c r="P1210" s="76"/>
      <c r="Q1210" s="76"/>
      <c r="R1210" s="76"/>
      <c r="S1210" s="76"/>
      <c r="T1210" s="76"/>
      <c r="U1210" s="76"/>
      <c r="V1210" s="76"/>
      <c r="W1210" s="76"/>
      <c r="X1210" s="76"/>
      <c r="Y1210" s="76"/>
      <c r="Z1210" s="76"/>
      <c r="AA1210" s="76"/>
      <c r="AB1210" s="76"/>
      <c r="AC1210" s="76"/>
      <c r="AD1210" s="76"/>
      <c r="AE1210" s="76"/>
      <c r="AF1210" s="76"/>
      <c r="AG1210" s="76"/>
      <c r="AH1210" s="76"/>
      <c r="AI1210" s="76"/>
      <c r="AJ1210" s="76"/>
    </row>
    <row r="1211" spans="1:36" ht="12.75">
      <c r="A1211" s="74" t="s">
        <v>2715</v>
      </c>
      <c r="B1211" s="74"/>
      <c r="C1211" s="74" t="s">
        <v>2716</v>
      </c>
      <c r="D1211" s="74" t="s">
        <v>1623</v>
      </c>
      <c r="E1211" s="146">
        <v>112685689</v>
      </c>
      <c r="F1211" s="7" t="s">
        <v>2717</v>
      </c>
      <c r="G1211" s="7"/>
      <c r="H1211" s="74" t="s">
        <v>469</v>
      </c>
      <c r="I1211" s="75" t="s">
        <v>2718</v>
      </c>
      <c r="J1211" s="74">
        <v>254722337776</v>
      </c>
      <c r="K1211" s="74" t="s">
        <v>470</v>
      </c>
      <c r="L1211" s="76"/>
      <c r="M1211" s="76"/>
      <c r="N1211" s="76"/>
      <c r="O1211" s="76"/>
      <c r="P1211" s="76"/>
      <c r="Q1211" s="76"/>
      <c r="R1211" s="76"/>
      <c r="S1211" s="76"/>
      <c r="T1211" s="76"/>
      <c r="U1211" s="76"/>
      <c r="V1211" s="76"/>
      <c r="W1211" s="76"/>
      <c r="X1211" s="76"/>
      <c r="Y1211" s="76"/>
      <c r="Z1211" s="76"/>
      <c r="AA1211" s="76"/>
      <c r="AB1211" s="76"/>
      <c r="AC1211" s="76"/>
      <c r="AD1211" s="76"/>
      <c r="AE1211" s="76"/>
      <c r="AF1211" s="76"/>
      <c r="AG1211" s="76"/>
      <c r="AH1211" s="76"/>
      <c r="AI1211" s="76"/>
      <c r="AJ1211" s="76"/>
    </row>
    <row r="1212" spans="1:36" ht="12.75">
      <c r="A1212" s="74" t="s">
        <v>2719</v>
      </c>
      <c r="B1212" s="74"/>
      <c r="C1212" s="74"/>
      <c r="D1212" s="74" t="s">
        <v>2710</v>
      </c>
      <c r="E1212" s="146">
        <v>792741896</v>
      </c>
      <c r="F1212" s="7" t="s">
        <v>2720</v>
      </c>
      <c r="G1212" s="7"/>
      <c r="H1212" s="76"/>
      <c r="I1212" s="84"/>
      <c r="J1212" s="76"/>
      <c r="K1212" s="76"/>
      <c r="L1212" s="76"/>
      <c r="M1212" s="76"/>
      <c r="N1212" s="76"/>
      <c r="O1212" s="76"/>
      <c r="P1212" s="76"/>
      <c r="Q1212" s="76"/>
      <c r="R1212" s="76"/>
      <c r="S1212" s="76"/>
      <c r="T1212" s="76"/>
      <c r="U1212" s="76"/>
      <c r="V1212" s="76"/>
      <c r="W1212" s="76"/>
      <c r="X1212" s="76"/>
      <c r="Y1212" s="76"/>
      <c r="Z1212" s="76"/>
      <c r="AA1212" s="76"/>
      <c r="AB1212" s="76"/>
      <c r="AC1212" s="76"/>
      <c r="AD1212" s="76"/>
      <c r="AE1212" s="76"/>
      <c r="AF1212" s="76"/>
      <c r="AG1212" s="76"/>
      <c r="AH1212" s="76"/>
      <c r="AI1212" s="76"/>
      <c r="AJ1212" s="76"/>
    </row>
    <row r="1213" spans="1:36" ht="12.75">
      <c r="A1213" s="74" t="s">
        <v>2721</v>
      </c>
      <c r="B1213" s="60"/>
      <c r="C1213" s="170" t="s">
        <v>2722</v>
      </c>
      <c r="D1213" s="170" t="s">
        <v>441</v>
      </c>
      <c r="E1213" s="146">
        <v>745928679</v>
      </c>
      <c r="F1213" s="9"/>
      <c r="G1213" s="9"/>
      <c r="H1213" s="74"/>
      <c r="I1213" s="75"/>
      <c r="J1213" s="74"/>
      <c r="K1213" s="74"/>
      <c r="L1213" s="76"/>
      <c r="M1213" s="76"/>
      <c r="N1213" s="76"/>
      <c r="O1213" s="76"/>
      <c r="P1213" s="76"/>
      <c r="Q1213" s="76"/>
      <c r="R1213" s="76"/>
      <c r="S1213" s="76"/>
      <c r="T1213" s="76"/>
      <c r="U1213" s="76"/>
      <c r="V1213" s="76"/>
      <c r="W1213" s="76"/>
      <c r="X1213" s="76"/>
      <c r="Y1213" s="76"/>
      <c r="Z1213" s="76"/>
      <c r="AA1213" s="76"/>
      <c r="AB1213" s="76"/>
      <c r="AC1213" s="76"/>
      <c r="AD1213" s="76"/>
      <c r="AE1213" s="76"/>
      <c r="AF1213" s="76"/>
      <c r="AG1213" s="76"/>
      <c r="AH1213" s="76"/>
      <c r="AI1213" s="76"/>
      <c r="AJ1213" s="76"/>
    </row>
    <row r="1214" spans="1:36" ht="12.75">
      <c r="A1214" s="74" t="s">
        <v>2723</v>
      </c>
      <c r="B1214" s="74"/>
      <c r="C1214" s="74" t="s">
        <v>2724</v>
      </c>
      <c r="D1214" s="74" t="s">
        <v>2725</v>
      </c>
      <c r="E1214" s="146">
        <v>110403312</v>
      </c>
      <c r="F1214" s="7" t="s">
        <v>2726</v>
      </c>
      <c r="G1214" s="7"/>
      <c r="H1214" s="74" t="s">
        <v>2727</v>
      </c>
      <c r="I1214" s="75" t="s">
        <v>2728</v>
      </c>
      <c r="J1214" s="74">
        <v>254790468082</v>
      </c>
      <c r="K1214" s="74" t="s">
        <v>1508</v>
      </c>
      <c r="L1214" s="76"/>
      <c r="M1214" s="76"/>
      <c r="N1214" s="76"/>
      <c r="O1214" s="76"/>
      <c r="P1214" s="76"/>
      <c r="Q1214" s="76"/>
      <c r="R1214" s="76"/>
      <c r="S1214" s="76"/>
      <c r="T1214" s="76"/>
      <c r="U1214" s="76"/>
      <c r="V1214" s="76"/>
      <c r="W1214" s="76"/>
      <c r="X1214" s="76"/>
      <c r="Y1214" s="76"/>
      <c r="Z1214" s="76"/>
      <c r="AA1214" s="76"/>
      <c r="AB1214" s="76"/>
      <c r="AC1214" s="76"/>
      <c r="AD1214" s="76"/>
      <c r="AE1214" s="76"/>
      <c r="AF1214" s="76"/>
      <c r="AG1214" s="76"/>
      <c r="AH1214" s="76"/>
      <c r="AI1214" s="76"/>
      <c r="AJ1214" s="76"/>
    </row>
    <row r="1215" spans="1:36" ht="12.75">
      <c r="A1215" s="74" t="s">
        <v>2729</v>
      </c>
      <c r="B1215" s="74"/>
      <c r="C1215" s="74" t="s">
        <v>2730</v>
      </c>
      <c r="D1215" s="74" t="s">
        <v>402</v>
      </c>
      <c r="E1215" s="146">
        <v>795672448</v>
      </c>
      <c r="F1215" s="7" t="s">
        <v>2731</v>
      </c>
      <c r="G1215" s="7"/>
      <c r="H1215" s="74" t="s">
        <v>2732</v>
      </c>
      <c r="I1215" s="75" t="s">
        <v>2733</v>
      </c>
      <c r="J1215" s="74">
        <v>756836258</v>
      </c>
      <c r="K1215" s="74" t="s">
        <v>2734</v>
      </c>
      <c r="L1215" s="76"/>
      <c r="M1215" s="76"/>
      <c r="N1215" s="76"/>
      <c r="O1215" s="76"/>
      <c r="P1215" s="76"/>
      <c r="Q1215" s="76"/>
      <c r="R1215" s="76"/>
      <c r="S1215" s="76"/>
      <c r="T1215" s="76"/>
      <c r="U1215" s="76"/>
      <c r="V1215" s="76"/>
      <c r="W1215" s="76"/>
      <c r="X1215" s="76"/>
      <c r="Y1215" s="76"/>
      <c r="Z1215" s="76"/>
      <c r="AA1215" s="76"/>
      <c r="AB1215" s="76"/>
      <c r="AC1215" s="76"/>
      <c r="AD1215" s="76"/>
      <c r="AE1215" s="76"/>
      <c r="AF1215" s="76"/>
      <c r="AG1215" s="76"/>
      <c r="AH1215" s="76"/>
      <c r="AI1215" s="76"/>
      <c r="AJ1215" s="76"/>
    </row>
    <row r="1216" spans="1:36" ht="12.75">
      <c r="A1216" s="74" t="s">
        <v>2735</v>
      </c>
      <c r="B1216" s="60"/>
      <c r="C1216" s="170" t="s">
        <v>2736</v>
      </c>
      <c r="D1216" s="170" t="s">
        <v>441</v>
      </c>
      <c r="E1216" s="146">
        <v>745928679</v>
      </c>
      <c r="F1216" s="7" t="s">
        <v>2737</v>
      </c>
      <c r="G1216" s="7"/>
      <c r="H1216" s="76"/>
      <c r="I1216" s="84"/>
      <c r="J1216" s="76"/>
      <c r="K1216" s="76"/>
      <c r="L1216" s="76"/>
      <c r="M1216" s="76"/>
      <c r="N1216" s="76"/>
      <c r="O1216" s="76"/>
      <c r="P1216" s="76"/>
      <c r="Q1216" s="76"/>
      <c r="R1216" s="76"/>
      <c r="S1216" s="76"/>
      <c r="T1216" s="76"/>
      <c r="U1216" s="76"/>
      <c r="V1216" s="76"/>
      <c r="W1216" s="76"/>
      <c r="X1216" s="76"/>
      <c r="Y1216" s="76"/>
      <c r="Z1216" s="76"/>
      <c r="AA1216" s="76"/>
      <c r="AB1216" s="76"/>
      <c r="AC1216" s="76"/>
      <c r="AD1216" s="76"/>
      <c r="AE1216" s="76"/>
      <c r="AF1216" s="76"/>
      <c r="AG1216" s="76"/>
      <c r="AH1216" s="76"/>
      <c r="AI1216" s="76"/>
      <c r="AJ1216" s="76"/>
    </row>
    <row r="1217" spans="1:36" ht="12.75">
      <c r="A1217" s="74" t="s">
        <v>2738</v>
      </c>
      <c r="B1217" s="74"/>
      <c r="C1217" s="74" t="s">
        <v>2739</v>
      </c>
      <c r="D1217" s="74" t="s">
        <v>441</v>
      </c>
      <c r="E1217" s="146">
        <v>798247960</v>
      </c>
      <c r="F1217" s="7" t="s">
        <v>2740</v>
      </c>
      <c r="G1217" s="7"/>
      <c r="H1217" s="74" t="s">
        <v>2741</v>
      </c>
      <c r="I1217" s="75" t="s">
        <v>218</v>
      </c>
      <c r="J1217" s="170">
        <v>714274434</v>
      </c>
      <c r="K1217" s="74" t="s">
        <v>2742</v>
      </c>
      <c r="L1217" s="76"/>
      <c r="M1217" s="76"/>
      <c r="N1217" s="76"/>
      <c r="O1217" s="76"/>
      <c r="P1217" s="76"/>
      <c r="Q1217" s="76"/>
      <c r="R1217" s="76"/>
      <c r="S1217" s="76"/>
      <c r="T1217" s="76"/>
      <c r="U1217" s="76"/>
      <c r="V1217" s="76"/>
      <c r="W1217" s="76"/>
      <c r="X1217" s="76"/>
      <c r="Y1217" s="76"/>
      <c r="Z1217" s="76"/>
      <c r="AA1217" s="76"/>
      <c r="AB1217" s="76"/>
      <c r="AC1217" s="76"/>
      <c r="AD1217" s="76"/>
      <c r="AE1217" s="76"/>
      <c r="AF1217" s="76"/>
      <c r="AG1217" s="76"/>
      <c r="AH1217" s="76"/>
      <c r="AI1217" s="76"/>
      <c r="AJ1217" s="76"/>
    </row>
    <row r="1218" spans="1:36" ht="12.75">
      <c r="A1218" s="74" t="s">
        <v>2743</v>
      </c>
      <c r="B1218" s="74"/>
      <c r="C1218" s="74" t="s">
        <v>2744</v>
      </c>
      <c r="D1218" s="74" t="s">
        <v>2745</v>
      </c>
      <c r="E1218" s="146">
        <v>795032725</v>
      </c>
      <c r="F1218" s="7" t="s">
        <v>2746</v>
      </c>
      <c r="G1218" s="7"/>
      <c r="H1218" s="74" t="s">
        <v>2406</v>
      </c>
      <c r="I1218" s="75" t="s">
        <v>223</v>
      </c>
      <c r="J1218" s="74">
        <v>711234567</v>
      </c>
      <c r="K1218" s="74" t="s">
        <v>180</v>
      </c>
      <c r="L1218" s="76"/>
      <c r="M1218" s="76"/>
      <c r="N1218" s="76"/>
      <c r="O1218" s="76"/>
      <c r="P1218" s="76"/>
      <c r="Q1218" s="76"/>
      <c r="R1218" s="76"/>
      <c r="S1218" s="76"/>
      <c r="T1218" s="76"/>
      <c r="U1218" s="76"/>
      <c r="V1218" s="76"/>
      <c r="W1218" s="76"/>
      <c r="X1218" s="76"/>
      <c r="Y1218" s="76"/>
      <c r="Z1218" s="76"/>
      <c r="AA1218" s="76"/>
      <c r="AB1218" s="76"/>
      <c r="AC1218" s="76"/>
      <c r="AD1218" s="76"/>
      <c r="AE1218" s="76"/>
      <c r="AF1218" s="76"/>
      <c r="AG1218" s="76"/>
      <c r="AH1218" s="76"/>
      <c r="AI1218" s="76"/>
      <c r="AJ1218" s="76"/>
    </row>
    <row r="1219" spans="1:36" ht="12.75">
      <c r="A1219" s="74" t="s">
        <v>2458</v>
      </c>
      <c r="B1219" s="74"/>
      <c r="C1219" s="74" t="s">
        <v>2459</v>
      </c>
      <c r="D1219" s="74" t="s">
        <v>2747</v>
      </c>
      <c r="E1219" s="146">
        <v>717351469</v>
      </c>
      <c r="F1219" s="7" t="s">
        <v>2460</v>
      </c>
      <c r="G1219" s="7"/>
      <c r="H1219" s="74" t="s">
        <v>2748</v>
      </c>
      <c r="I1219" s="75" t="s">
        <v>1218</v>
      </c>
      <c r="J1219" s="74" t="s">
        <v>2462</v>
      </c>
      <c r="K1219" s="74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  <c r="AE1219" s="76"/>
      <c r="AF1219" s="76"/>
      <c r="AG1219" s="76"/>
      <c r="AH1219" s="76"/>
      <c r="AI1219" s="76"/>
      <c r="AJ1219" s="76"/>
    </row>
    <row r="1220" spans="1:36" ht="12.75">
      <c r="A1220" s="74" t="s">
        <v>2749</v>
      </c>
      <c r="B1220" s="74"/>
      <c r="C1220" s="74" t="s">
        <v>1824</v>
      </c>
      <c r="D1220" s="74" t="s">
        <v>255</v>
      </c>
      <c r="E1220" s="146">
        <v>113089353</v>
      </c>
      <c r="F1220" s="7" t="s">
        <v>2750</v>
      </c>
      <c r="G1220" s="7"/>
      <c r="H1220" s="74" t="s">
        <v>2139</v>
      </c>
      <c r="I1220" s="75" t="s">
        <v>1218</v>
      </c>
      <c r="J1220" s="74">
        <v>204408989</v>
      </c>
      <c r="K1220" s="74" t="s">
        <v>1942</v>
      </c>
      <c r="L1220" s="76"/>
      <c r="M1220" s="76"/>
      <c r="N1220" s="76"/>
      <c r="O1220" s="76"/>
      <c r="P1220" s="76"/>
      <c r="Q1220" s="76"/>
      <c r="R1220" s="76"/>
      <c r="S1220" s="76"/>
      <c r="T1220" s="76"/>
      <c r="U1220" s="76"/>
      <c r="V1220" s="76"/>
      <c r="W1220" s="76"/>
      <c r="X1220" s="76"/>
      <c r="Y1220" s="76"/>
      <c r="Z1220" s="76"/>
      <c r="AA1220" s="76"/>
      <c r="AB1220" s="76"/>
      <c r="AC1220" s="76"/>
      <c r="AD1220" s="76"/>
      <c r="AE1220" s="76"/>
      <c r="AF1220" s="76"/>
      <c r="AG1220" s="76"/>
      <c r="AH1220" s="76"/>
      <c r="AI1220" s="76"/>
      <c r="AJ1220" s="76"/>
    </row>
    <row r="1221" spans="1:36" ht="12.75">
      <c r="A1221" s="74" t="s">
        <v>2751</v>
      </c>
      <c r="B1221" s="74"/>
      <c r="C1221" s="74" t="s">
        <v>2752</v>
      </c>
      <c r="D1221" s="74" t="s">
        <v>974</v>
      </c>
      <c r="E1221" s="146">
        <v>798153798</v>
      </c>
      <c r="F1221" s="7" t="s">
        <v>2753</v>
      </c>
      <c r="G1221" s="7"/>
      <c r="H1221" s="74" t="s">
        <v>2754</v>
      </c>
      <c r="I1221" s="75" t="s">
        <v>269</v>
      </c>
      <c r="J1221" s="74" t="s">
        <v>2755</v>
      </c>
      <c r="K1221" s="74" t="s">
        <v>2756</v>
      </c>
      <c r="L1221" s="76"/>
      <c r="M1221" s="76"/>
      <c r="N1221" s="76"/>
      <c r="O1221" s="76"/>
      <c r="P1221" s="76"/>
      <c r="Q1221" s="76"/>
      <c r="R1221" s="76"/>
      <c r="S1221" s="76"/>
      <c r="T1221" s="76"/>
      <c r="U1221" s="76"/>
      <c r="V1221" s="76"/>
      <c r="W1221" s="76"/>
      <c r="X1221" s="76"/>
      <c r="Y1221" s="76"/>
      <c r="Z1221" s="76"/>
      <c r="AA1221" s="76"/>
      <c r="AB1221" s="76"/>
      <c r="AC1221" s="76"/>
      <c r="AD1221" s="76"/>
      <c r="AE1221" s="76"/>
      <c r="AF1221" s="76"/>
      <c r="AG1221" s="76"/>
      <c r="AH1221" s="76"/>
      <c r="AI1221" s="76"/>
      <c r="AJ1221" s="76"/>
    </row>
    <row r="1222" spans="1:36" ht="12.75">
      <c r="A1222" s="74" t="s">
        <v>2757</v>
      </c>
      <c r="B1222" s="74"/>
      <c r="C1222" s="74" t="s">
        <v>2758</v>
      </c>
      <c r="D1222" s="74" t="s">
        <v>2551</v>
      </c>
      <c r="E1222" s="146">
        <v>708842110</v>
      </c>
      <c r="F1222" s="7" t="s">
        <v>2650</v>
      </c>
      <c r="G1222" s="7"/>
      <c r="H1222" s="74" t="s">
        <v>2651</v>
      </c>
      <c r="I1222" s="75" t="s">
        <v>599</v>
      </c>
      <c r="J1222" s="74">
        <v>722406595</v>
      </c>
      <c r="K1222" s="74" t="s">
        <v>2759</v>
      </c>
      <c r="L1222" s="76"/>
      <c r="M1222" s="76"/>
      <c r="N1222" s="76"/>
      <c r="O1222" s="76"/>
      <c r="P1222" s="76"/>
      <c r="Q1222" s="76"/>
      <c r="R1222" s="76"/>
      <c r="S1222" s="76"/>
      <c r="T1222" s="76"/>
      <c r="U1222" s="76"/>
      <c r="V1222" s="76"/>
      <c r="W1222" s="76"/>
      <c r="X1222" s="76"/>
      <c r="Y1222" s="76"/>
      <c r="Z1222" s="76"/>
      <c r="AA1222" s="76"/>
      <c r="AB1222" s="76"/>
      <c r="AC1222" s="76"/>
      <c r="AD1222" s="76"/>
      <c r="AE1222" s="76"/>
      <c r="AF1222" s="76"/>
      <c r="AG1222" s="76"/>
      <c r="AH1222" s="76"/>
      <c r="AI1222" s="76"/>
      <c r="AJ1222" s="76"/>
    </row>
    <row r="1223" spans="1:36" ht="12.75">
      <c r="A1223" s="74" t="s">
        <v>2760</v>
      </c>
      <c r="B1223" s="74"/>
      <c r="C1223" s="74" t="s">
        <v>2761</v>
      </c>
      <c r="D1223" s="74" t="s">
        <v>998</v>
      </c>
      <c r="E1223" s="146">
        <v>796988033</v>
      </c>
      <c r="F1223" s="7" t="s">
        <v>2762</v>
      </c>
      <c r="G1223" s="7"/>
      <c r="H1223" s="76"/>
      <c r="I1223" s="75" t="s">
        <v>2764</v>
      </c>
      <c r="J1223" s="76"/>
      <c r="K1223" s="76"/>
      <c r="L1223" s="76"/>
      <c r="M1223" s="76"/>
      <c r="N1223" s="76"/>
      <c r="O1223" s="76"/>
      <c r="P1223" s="76"/>
      <c r="Q1223" s="76"/>
      <c r="R1223" s="76"/>
      <c r="S1223" s="76"/>
      <c r="T1223" s="76"/>
      <c r="U1223" s="76"/>
      <c r="V1223" s="76"/>
      <c r="W1223" s="76"/>
      <c r="X1223" s="76"/>
      <c r="Y1223" s="76"/>
      <c r="Z1223" s="76"/>
      <c r="AA1223" s="76"/>
      <c r="AB1223" s="76"/>
      <c r="AC1223" s="76"/>
      <c r="AD1223" s="76"/>
      <c r="AE1223" s="76"/>
      <c r="AF1223" s="76"/>
      <c r="AG1223" s="76"/>
      <c r="AH1223" s="76"/>
      <c r="AI1223" s="76"/>
      <c r="AJ1223" s="76"/>
    </row>
    <row r="1224" spans="1:36" ht="12.75">
      <c r="A1224" s="274" t="s">
        <v>2766</v>
      </c>
      <c r="B1224" s="274"/>
      <c r="C1224" s="74" t="s">
        <v>2767</v>
      </c>
      <c r="D1224" s="74" t="s">
        <v>998</v>
      </c>
      <c r="E1224" s="146">
        <v>111260308</v>
      </c>
      <c r="F1224" s="7" t="s">
        <v>342</v>
      </c>
      <c r="G1224" s="7"/>
      <c r="H1224" s="74" t="s">
        <v>2768</v>
      </c>
      <c r="I1224" s="75" t="s">
        <v>41</v>
      </c>
      <c r="J1224" s="76">
        <f>254710453693</f>
        <v>254710453693</v>
      </c>
      <c r="K1224" s="74" t="s">
        <v>105</v>
      </c>
      <c r="L1224" s="76"/>
      <c r="M1224" s="76"/>
      <c r="N1224" s="76"/>
      <c r="O1224" s="76"/>
      <c r="P1224" s="76"/>
      <c r="Q1224" s="76"/>
      <c r="R1224" s="76"/>
      <c r="S1224" s="76"/>
      <c r="T1224" s="76"/>
      <c r="U1224" s="76"/>
      <c r="V1224" s="76"/>
      <c r="W1224" s="76"/>
      <c r="X1224" s="76"/>
      <c r="Y1224" s="76"/>
      <c r="Z1224" s="76"/>
      <c r="AA1224" s="76"/>
      <c r="AB1224" s="76"/>
      <c r="AC1224" s="76"/>
      <c r="AD1224" s="76"/>
      <c r="AE1224" s="76"/>
      <c r="AF1224" s="76"/>
      <c r="AG1224" s="76"/>
      <c r="AH1224" s="76"/>
      <c r="AI1224" s="76"/>
      <c r="AJ1224" s="76"/>
    </row>
    <row r="1225" spans="1:36" ht="12.75">
      <c r="A1225" s="74" t="s">
        <v>2769</v>
      </c>
      <c r="B1225" s="74"/>
      <c r="C1225" s="74" t="s">
        <v>2770</v>
      </c>
      <c r="D1225" s="74" t="s">
        <v>2771</v>
      </c>
      <c r="E1225" s="146">
        <v>769681842</v>
      </c>
      <c r="F1225" s="7" t="s">
        <v>2772</v>
      </c>
      <c r="G1225" s="7"/>
      <c r="H1225" s="74" t="s">
        <v>2773</v>
      </c>
      <c r="I1225" s="75" t="s">
        <v>356</v>
      </c>
      <c r="J1225" s="74"/>
      <c r="K1225" s="76"/>
      <c r="L1225" s="76"/>
      <c r="M1225" s="76"/>
      <c r="N1225" s="76"/>
      <c r="O1225" s="76"/>
      <c r="P1225" s="76"/>
      <c r="Q1225" s="76"/>
      <c r="R1225" s="76"/>
      <c r="S1225" s="76"/>
      <c r="T1225" s="76"/>
      <c r="U1225" s="76"/>
      <c r="V1225" s="76"/>
      <c r="W1225" s="76"/>
      <c r="X1225" s="76"/>
      <c r="Y1225" s="76"/>
      <c r="Z1225" s="76"/>
      <c r="AA1225" s="76"/>
      <c r="AB1225" s="76"/>
      <c r="AC1225" s="76"/>
      <c r="AD1225" s="76"/>
      <c r="AE1225" s="76"/>
      <c r="AF1225" s="76"/>
      <c r="AG1225" s="76"/>
      <c r="AH1225" s="76"/>
      <c r="AI1225" s="76"/>
      <c r="AJ1225" s="76"/>
    </row>
    <row r="1226" spans="1:36" ht="12.75">
      <c r="A1226" s="74" t="s">
        <v>2774</v>
      </c>
      <c r="B1226" s="74"/>
      <c r="C1226" s="74" t="s">
        <v>2775</v>
      </c>
      <c r="D1226" s="74" t="s">
        <v>2776</v>
      </c>
      <c r="E1226" s="146">
        <v>704024712</v>
      </c>
      <c r="F1226" s="7" t="s">
        <v>2746</v>
      </c>
      <c r="G1226" s="7"/>
      <c r="H1226" s="74" t="s">
        <v>2777</v>
      </c>
      <c r="I1226" s="75" t="s">
        <v>41</v>
      </c>
      <c r="J1226" s="74" t="s">
        <v>28</v>
      </c>
      <c r="K1226" s="74" t="s">
        <v>224</v>
      </c>
      <c r="L1226" s="76"/>
      <c r="M1226" s="76"/>
      <c r="N1226" s="76"/>
      <c r="O1226" s="76"/>
      <c r="P1226" s="76"/>
      <c r="Q1226" s="76"/>
      <c r="R1226" s="76"/>
      <c r="S1226" s="76"/>
      <c r="T1226" s="76"/>
      <c r="U1226" s="76"/>
      <c r="V1226" s="76"/>
      <c r="W1226" s="76"/>
      <c r="X1226" s="76"/>
      <c r="Y1226" s="76"/>
      <c r="Z1226" s="76"/>
      <c r="AA1226" s="76"/>
      <c r="AB1226" s="76"/>
      <c r="AC1226" s="76"/>
      <c r="AD1226" s="76"/>
      <c r="AE1226" s="76"/>
      <c r="AF1226" s="76"/>
      <c r="AG1226" s="76"/>
      <c r="AH1226" s="76"/>
      <c r="AI1226" s="76"/>
      <c r="AJ1226" s="76"/>
    </row>
    <row r="1227" spans="1:36" ht="12.75">
      <c r="A1227" s="264" t="s">
        <v>2998</v>
      </c>
      <c r="B1227" s="264"/>
      <c r="C1227" s="74" t="s">
        <v>2999</v>
      </c>
      <c r="D1227" s="74" t="s">
        <v>341</v>
      </c>
      <c r="E1227" s="146">
        <v>707008778</v>
      </c>
      <c r="F1227" s="7" t="s">
        <v>3000</v>
      </c>
      <c r="G1227" s="7"/>
      <c r="H1227" s="74"/>
      <c r="I1227" s="75"/>
      <c r="J1227" s="74"/>
      <c r="K1227" s="74"/>
      <c r="L1227" s="76"/>
      <c r="M1227" s="76"/>
      <c r="N1227" s="76"/>
      <c r="O1227" s="76"/>
      <c r="P1227" s="76"/>
      <c r="Q1227" s="76"/>
      <c r="R1227" s="76"/>
      <c r="S1227" s="76"/>
      <c r="T1227" s="76"/>
      <c r="U1227" s="76"/>
      <c r="V1227" s="76"/>
      <c r="W1227" s="76"/>
      <c r="X1227" s="76"/>
      <c r="Y1227" s="76"/>
      <c r="Z1227" s="76"/>
      <c r="AA1227" s="76"/>
      <c r="AB1227" s="76"/>
      <c r="AC1227" s="76"/>
      <c r="AD1227" s="76"/>
      <c r="AE1227" s="76"/>
      <c r="AF1227" s="76"/>
      <c r="AG1227" s="76"/>
      <c r="AH1227" s="76"/>
      <c r="AI1227" s="76"/>
      <c r="AJ1227" s="76"/>
    </row>
    <row r="1228" spans="1:36" ht="12.75">
      <c r="A1228" s="74" t="s">
        <v>3001</v>
      </c>
      <c r="B1228" s="74"/>
      <c r="C1228" s="74" t="s">
        <v>3002</v>
      </c>
      <c r="D1228" s="74" t="s">
        <v>38</v>
      </c>
      <c r="E1228" s="146">
        <v>792496680</v>
      </c>
      <c r="F1228" s="7" t="s">
        <v>3003</v>
      </c>
      <c r="G1228" s="7"/>
      <c r="H1228" s="74" t="s">
        <v>3004</v>
      </c>
      <c r="I1228" s="75" t="s">
        <v>3005</v>
      </c>
      <c r="J1228" s="74">
        <v>741144707</v>
      </c>
      <c r="K1228" s="74" t="s">
        <v>3006</v>
      </c>
      <c r="L1228" s="76"/>
      <c r="M1228" s="76"/>
      <c r="N1228" s="76"/>
      <c r="O1228" s="76"/>
      <c r="P1228" s="76"/>
      <c r="Q1228" s="76"/>
      <c r="R1228" s="76"/>
      <c r="S1228" s="76"/>
      <c r="T1228" s="76"/>
      <c r="U1228" s="76"/>
      <c r="V1228" s="76"/>
      <c r="W1228" s="76"/>
      <c r="X1228" s="76"/>
      <c r="Y1228" s="76"/>
      <c r="Z1228" s="76"/>
      <c r="AA1228" s="76"/>
      <c r="AB1228" s="76"/>
      <c r="AC1228" s="76"/>
      <c r="AD1228" s="76"/>
      <c r="AE1228" s="76"/>
      <c r="AF1228" s="76"/>
      <c r="AG1228" s="76"/>
      <c r="AH1228" s="76"/>
      <c r="AI1228" s="76"/>
      <c r="AJ1228" s="76"/>
    </row>
    <row r="1229" spans="1:36" ht="12.75">
      <c r="A1229" s="74" t="s">
        <v>2782</v>
      </c>
      <c r="B1229" s="74"/>
      <c r="C1229" s="74" t="s">
        <v>2783</v>
      </c>
      <c r="D1229" s="74" t="s">
        <v>2551</v>
      </c>
      <c r="E1229" s="146">
        <v>793704367</v>
      </c>
      <c r="F1229" s="7" t="s">
        <v>2650</v>
      </c>
      <c r="G1229" s="7"/>
      <c r="H1229" s="74" t="s">
        <v>2651</v>
      </c>
      <c r="I1229" s="75" t="s">
        <v>599</v>
      </c>
      <c r="J1229" s="74">
        <v>722406595</v>
      </c>
      <c r="K1229" s="74" t="s">
        <v>2784</v>
      </c>
      <c r="L1229" s="76"/>
      <c r="M1229" s="76"/>
      <c r="N1229" s="76"/>
      <c r="O1229" s="76"/>
      <c r="P1229" s="76"/>
      <c r="Q1229" s="76"/>
      <c r="R1229" s="76"/>
      <c r="S1229" s="76"/>
      <c r="T1229" s="76"/>
      <c r="U1229" s="76"/>
      <c r="V1229" s="76"/>
      <c r="W1229" s="76"/>
      <c r="X1229" s="76"/>
      <c r="Y1229" s="76"/>
      <c r="Z1229" s="76"/>
      <c r="AA1229" s="76"/>
      <c r="AB1229" s="76"/>
      <c r="AC1229" s="76"/>
      <c r="AD1229" s="76"/>
      <c r="AE1229" s="76"/>
      <c r="AF1229" s="76"/>
      <c r="AG1229" s="76"/>
      <c r="AH1229" s="76"/>
      <c r="AI1229" s="76"/>
      <c r="AJ1229" s="76"/>
    </row>
    <row r="1230" spans="1:36" ht="12.75">
      <c r="A1230" s="74" t="s">
        <v>2785</v>
      </c>
      <c r="B1230" s="74"/>
      <c r="C1230" s="74" t="s">
        <v>2786</v>
      </c>
      <c r="D1230" s="74" t="s">
        <v>373</v>
      </c>
      <c r="E1230" s="146">
        <v>728615275</v>
      </c>
      <c r="F1230" s="7" t="s">
        <v>2787</v>
      </c>
      <c r="G1230" s="7"/>
      <c r="H1230" s="74"/>
      <c r="I1230" s="75"/>
      <c r="J1230" s="74"/>
      <c r="K1230" s="74"/>
      <c r="L1230" s="76"/>
      <c r="M1230" s="76"/>
      <c r="N1230" s="76"/>
      <c r="O1230" s="76"/>
      <c r="P1230" s="76"/>
      <c r="Q1230" s="76"/>
      <c r="R1230" s="76"/>
      <c r="S1230" s="76"/>
      <c r="T1230" s="76"/>
      <c r="U1230" s="76"/>
      <c r="V1230" s="76"/>
      <c r="W1230" s="76"/>
      <c r="X1230" s="76"/>
      <c r="Y1230" s="76"/>
      <c r="Z1230" s="76"/>
      <c r="AA1230" s="76"/>
      <c r="AB1230" s="76"/>
      <c r="AC1230" s="76"/>
      <c r="AD1230" s="76"/>
      <c r="AE1230" s="76"/>
      <c r="AF1230" s="76"/>
      <c r="AG1230" s="76"/>
      <c r="AH1230" s="76"/>
      <c r="AI1230" s="76"/>
      <c r="AJ1230" s="76"/>
    </row>
    <row r="1231" spans="1:36" ht="12.75">
      <c r="A1231" s="74" t="s">
        <v>2788</v>
      </c>
      <c r="B1231" s="74"/>
      <c r="C1231" s="74" t="s">
        <v>2789</v>
      </c>
      <c r="D1231" s="74" t="s">
        <v>2790</v>
      </c>
      <c r="E1231" s="146"/>
      <c r="F1231" s="7" t="s">
        <v>2791</v>
      </c>
      <c r="G1231" s="7"/>
      <c r="H1231" s="74" t="s">
        <v>2792</v>
      </c>
      <c r="I1231" s="75" t="s">
        <v>2793</v>
      </c>
      <c r="J1231" s="74">
        <v>709900000</v>
      </c>
      <c r="K1231" s="170" t="s">
        <v>2794</v>
      </c>
      <c r="L1231" s="76"/>
      <c r="M1231" s="76"/>
      <c r="N1231" s="76"/>
      <c r="O1231" s="76"/>
      <c r="P1231" s="76"/>
      <c r="Q1231" s="76"/>
      <c r="R1231" s="76"/>
      <c r="S1231" s="76"/>
      <c r="T1231" s="76"/>
      <c r="U1231" s="76"/>
      <c r="V1231" s="76"/>
      <c r="W1231" s="76"/>
      <c r="X1231" s="76"/>
      <c r="Y1231" s="76"/>
      <c r="Z1231" s="76"/>
      <c r="AA1231" s="76"/>
      <c r="AB1231" s="76"/>
      <c r="AC1231" s="76"/>
      <c r="AD1231" s="76"/>
      <c r="AE1231" s="76"/>
      <c r="AF1231" s="76"/>
      <c r="AG1231" s="76"/>
      <c r="AH1231" s="76"/>
      <c r="AI1231" s="76"/>
      <c r="AJ1231" s="76"/>
    </row>
    <row r="1232" spans="1:36" ht="12.75">
      <c r="A1232" s="74" t="s">
        <v>2795</v>
      </c>
      <c r="B1232" s="74"/>
      <c r="C1232" s="74" t="s">
        <v>2796</v>
      </c>
      <c r="D1232" s="74" t="s">
        <v>2797</v>
      </c>
      <c r="E1232" s="146">
        <v>114009091</v>
      </c>
      <c r="F1232" s="7" t="s">
        <v>2798</v>
      </c>
      <c r="G1232" s="7"/>
      <c r="H1232" s="74" t="s">
        <v>2799</v>
      </c>
      <c r="I1232" s="75" t="s">
        <v>732</v>
      </c>
      <c r="J1232" s="74" t="s">
        <v>2800</v>
      </c>
      <c r="K1232" s="74" t="s">
        <v>2801</v>
      </c>
      <c r="L1232" s="76"/>
      <c r="M1232" s="76"/>
      <c r="N1232" s="76"/>
      <c r="O1232" s="76"/>
      <c r="P1232" s="76"/>
      <c r="Q1232" s="76"/>
      <c r="R1232" s="76"/>
      <c r="S1232" s="76"/>
      <c r="T1232" s="76"/>
      <c r="U1232" s="76"/>
      <c r="V1232" s="76"/>
      <c r="W1232" s="76"/>
      <c r="X1232" s="76"/>
      <c r="Y1232" s="76"/>
      <c r="Z1232" s="76"/>
      <c r="AA1232" s="76"/>
      <c r="AB1232" s="76"/>
      <c r="AC1232" s="76"/>
      <c r="AD1232" s="76"/>
      <c r="AE1232" s="76"/>
      <c r="AF1232" s="76"/>
      <c r="AG1232" s="76"/>
      <c r="AH1232" s="76"/>
      <c r="AI1232" s="76"/>
      <c r="AJ1232" s="76"/>
    </row>
    <row r="1233" spans="1:36" ht="12.75">
      <c r="A1233" s="74" t="s">
        <v>2802</v>
      </c>
      <c r="B1233" s="74"/>
      <c r="C1233" s="74" t="s">
        <v>2803</v>
      </c>
      <c r="D1233" s="74" t="s">
        <v>2797</v>
      </c>
      <c r="E1233" s="146"/>
      <c r="F1233" s="7" t="s">
        <v>2804</v>
      </c>
      <c r="G1233" s="7"/>
      <c r="H1233" s="76"/>
      <c r="I1233" s="84"/>
      <c r="J1233" s="76"/>
      <c r="K1233" s="76"/>
      <c r="L1233" s="76"/>
      <c r="M1233" s="76"/>
      <c r="N1233" s="76"/>
      <c r="O1233" s="76"/>
      <c r="P1233" s="76"/>
      <c r="Q1233" s="76"/>
      <c r="R1233" s="76"/>
      <c r="S1233" s="76"/>
      <c r="T1233" s="76"/>
      <c r="U1233" s="76"/>
      <c r="V1233" s="76"/>
      <c r="W1233" s="76"/>
      <c r="X1233" s="76"/>
      <c r="Y1233" s="76"/>
      <c r="Z1233" s="76"/>
      <c r="AA1233" s="76"/>
      <c r="AB1233" s="76"/>
      <c r="AC1233" s="76"/>
      <c r="AD1233" s="76"/>
      <c r="AE1233" s="76"/>
      <c r="AF1233" s="76"/>
      <c r="AG1233" s="76"/>
      <c r="AH1233" s="76"/>
      <c r="AI1233" s="76"/>
      <c r="AJ1233" s="76"/>
    </row>
    <row r="1234" spans="1:36" ht="12.75">
      <c r="A1234" s="74" t="s">
        <v>2805</v>
      </c>
      <c r="B1234" s="74"/>
      <c r="C1234" s="74" t="s">
        <v>2806</v>
      </c>
      <c r="D1234" s="74" t="s">
        <v>2807</v>
      </c>
      <c r="E1234" s="146">
        <v>798499074</v>
      </c>
      <c r="F1234" s="7" t="s">
        <v>2808</v>
      </c>
      <c r="G1234" s="7"/>
      <c r="H1234" s="74" t="s">
        <v>3007</v>
      </c>
      <c r="I1234" s="75" t="s">
        <v>237</v>
      </c>
      <c r="J1234" s="74" t="s">
        <v>2809</v>
      </c>
      <c r="K1234" s="74" t="s">
        <v>3008</v>
      </c>
      <c r="L1234" s="76"/>
      <c r="M1234" s="76"/>
      <c r="N1234" s="76"/>
      <c r="O1234" s="76"/>
      <c r="P1234" s="76"/>
      <c r="Q1234" s="76"/>
      <c r="R1234" s="76"/>
      <c r="S1234" s="76"/>
      <c r="T1234" s="76"/>
      <c r="U1234" s="76"/>
      <c r="V1234" s="76"/>
      <c r="W1234" s="76"/>
      <c r="X1234" s="76"/>
      <c r="Y1234" s="76"/>
      <c r="Z1234" s="76"/>
      <c r="AA1234" s="76"/>
      <c r="AB1234" s="76"/>
      <c r="AC1234" s="76"/>
      <c r="AD1234" s="76"/>
      <c r="AE1234" s="76"/>
      <c r="AF1234" s="76"/>
      <c r="AG1234" s="76"/>
      <c r="AH1234" s="76"/>
      <c r="AI1234" s="76"/>
      <c r="AJ1234" s="76"/>
    </row>
    <row r="1235" spans="1:36" ht="12.75">
      <c r="A1235" s="74" t="s">
        <v>2810</v>
      </c>
      <c r="B1235" s="74"/>
      <c r="C1235" s="74" t="s">
        <v>2811</v>
      </c>
      <c r="D1235" s="74" t="s">
        <v>2797</v>
      </c>
      <c r="F1235" s="7" t="s">
        <v>2812</v>
      </c>
      <c r="G1235" s="7"/>
      <c r="H1235" s="74" t="s">
        <v>2813</v>
      </c>
      <c r="I1235" s="75" t="s">
        <v>218</v>
      </c>
      <c r="J1235" s="74">
        <v>799143755</v>
      </c>
      <c r="K1235" s="74" t="s">
        <v>2814</v>
      </c>
      <c r="L1235" s="76"/>
      <c r="M1235" s="76"/>
      <c r="N1235" s="76"/>
      <c r="O1235" s="76"/>
      <c r="P1235" s="76"/>
      <c r="Q1235" s="76"/>
      <c r="R1235" s="76"/>
      <c r="S1235" s="76"/>
      <c r="T1235" s="76"/>
      <c r="U1235" s="76"/>
      <c r="V1235" s="76"/>
      <c r="W1235" s="76"/>
      <c r="X1235" s="76"/>
      <c r="Y1235" s="76"/>
      <c r="Z1235" s="76"/>
      <c r="AA1235" s="76"/>
      <c r="AB1235" s="76"/>
      <c r="AC1235" s="76"/>
      <c r="AD1235" s="76"/>
      <c r="AE1235" s="76"/>
      <c r="AF1235" s="76"/>
      <c r="AG1235" s="76"/>
      <c r="AH1235" s="76"/>
      <c r="AI1235" s="76"/>
      <c r="AJ1235" s="76"/>
    </row>
    <row r="1236" spans="1:36" ht="15">
      <c r="A1236" s="74" t="s">
        <v>2815</v>
      </c>
      <c r="B1236" s="74"/>
      <c r="C1236" s="74" t="s">
        <v>2816</v>
      </c>
      <c r="D1236" s="74" t="s">
        <v>242</v>
      </c>
      <c r="E1236" s="146"/>
      <c r="F1236" s="7" t="s">
        <v>2817</v>
      </c>
      <c r="G1236" s="7"/>
      <c r="H1236" s="74" t="s">
        <v>2818</v>
      </c>
      <c r="I1236" s="75" t="s">
        <v>2819</v>
      </c>
      <c r="J1236" s="317">
        <f>254794781865</f>
        <v>254794781865</v>
      </c>
      <c r="K1236" s="318" t="s">
        <v>2820</v>
      </c>
      <c r="L1236" s="76"/>
      <c r="M1236" s="76"/>
      <c r="N1236" s="76"/>
      <c r="O1236" s="76"/>
      <c r="P1236" s="76"/>
      <c r="Q1236" s="76"/>
      <c r="R1236" s="76"/>
      <c r="S1236" s="76"/>
      <c r="T1236" s="76"/>
      <c r="U1236" s="76"/>
      <c r="V1236" s="76"/>
      <c r="W1236" s="76"/>
      <c r="X1236" s="76"/>
      <c r="Y1236" s="76"/>
      <c r="Z1236" s="76"/>
      <c r="AA1236" s="76"/>
      <c r="AB1236" s="76"/>
      <c r="AC1236" s="76"/>
      <c r="AD1236" s="76"/>
      <c r="AE1236" s="76"/>
      <c r="AF1236" s="76"/>
      <c r="AG1236" s="76"/>
      <c r="AH1236" s="76"/>
      <c r="AI1236" s="76"/>
      <c r="AJ1236" s="76"/>
    </row>
    <row r="1237" spans="1:36" ht="15">
      <c r="A1237" s="74" t="s">
        <v>2821</v>
      </c>
      <c r="B1237" s="74"/>
      <c r="C1237" s="74" t="s">
        <v>2822</v>
      </c>
      <c r="D1237" s="74" t="s">
        <v>2823</v>
      </c>
      <c r="E1237" s="146"/>
      <c r="F1237" s="7" t="s">
        <v>2824</v>
      </c>
      <c r="G1237" s="7"/>
      <c r="H1237" s="74" t="s">
        <v>2825</v>
      </c>
      <c r="I1237" s="75" t="s">
        <v>2826</v>
      </c>
      <c r="J1237" s="74">
        <v>254722440759</v>
      </c>
      <c r="K1237" s="318" t="s">
        <v>2827</v>
      </c>
      <c r="L1237" s="76"/>
      <c r="M1237" s="76"/>
      <c r="N1237" s="76"/>
      <c r="O1237" s="76"/>
      <c r="P1237" s="76"/>
      <c r="Q1237" s="76"/>
      <c r="R1237" s="76"/>
      <c r="S1237" s="76"/>
      <c r="T1237" s="76"/>
      <c r="U1237" s="76"/>
      <c r="V1237" s="76"/>
      <c r="W1237" s="76"/>
      <c r="X1237" s="76"/>
      <c r="Y1237" s="76"/>
      <c r="Z1237" s="76"/>
      <c r="AA1237" s="76"/>
      <c r="AB1237" s="76"/>
      <c r="AC1237" s="76"/>
      <c r="AD1237" s="76"/>
      <c r="AE1237" s="76"/>
      <c r="AF1237" s="76"/>
      <c r="AG1237" s="76"/>
      <c r="AH1237" s="76"/>
      <c r="AI1237" s="76"/>
      <c r="AJ1237" s="76"/>
    </row>
    <row r="1238" spans="1:36" ht="12.75">
      <c r="A1238" s="74" t="s">
        <v>3009</v>
      </c>
      <c r="B1238" s="74"/>
      <c r="C1238" s="74" t="s">
        <v>3010</v>
      </c>
      <c r="D1238" s="74" t="s">
        <v>373</v>
      </c>
      <c r="E1238" s="146"/>
      <c r="F1238" s="7" t="s">
        <v>3011</v>
      </c>
      <c r="G1238" s="7"/>
      <c r="H1238" s="74" t="s">
        <v>3012</v>
      </c>
      <c r="I1238" s="75" t="s">
        <v>100</v>
      </c>
      <c r="J1238" s="76">
        <f>254735004401</f>
        <v>254735004401</v>
      </c>
      <c r="K1238" s="74" t="s">
        <v>3013</v>
      </c>
      <c r="L1238" s="76"/>
      <c r="M1238" s="76"/>
      <c r="N1238" s="76"/>
      <c r="O1238" s="76"/>
      <c r="P1238" s="76"/>
      <c r="Q1238" s="76"/>
      <c r="R1238" s="76"/>
      <c r="S1238" s="76"/>
      <c r="T1238" s="76"/>
      <c r="U1238" s="76"/>
      <c r="V1238" s="76"/>
      <c r="W1238" s="76"/>
      <c r="X1238" s="76"/>
      <c r="Y1238" s="76"/>
      <c r="Z1238" s="76"/>
      <c r="AA1238" s="76"/>
      <c r="AB1238" s="76"/>
      <c r="AC1238" s="76"/>
      <c r="AD1238" s="76"/>
      <c r="AE1238" s="76"/>
      <c r="AF1238" s="76"/>
      <c r="AG1238" s="76"/>
      <c r="AH1238" s="76"/>
      <c r="AI1238" s="76"/>
      <c r="AJ1238" s="76"/>
    </row>
    <row r="1239" spans="1:36" ht="12.75">
      <c r="A1239" s="76"/>
      <c r="B1239" s="76"/>
      <c r="C1239" s="74" t="s">
        <v>2889</v>
      </c>
      <c r="D1239" s="7" t="s">
        <v>717</v>
      </c>
      <c r="E1239" s="146"/>
      <c r="F1239" s="7" t="s">
        <v>718</v>
      </c>
      <c r="G1239" s="7"/>
      <c r="H1239" s="7" t="s">
        <v>719</v>
      </c>
      <c r="I1239" s="8" t="s">
        <v>59</v>
      </c>
      <c r="J1239" s="74">
        <v>717372188</v>
      </c>
      <c r="K1239" s="74" t="s">
        <v>720</v>
      </c>
      <c r="L1239" s="76"/>
      <c r="M1239" s="76"/>
      <c r="N1239" s="76"/>
      <c r="O1239" s="76"/>
      <c r="P1239" s="76"/>
      <c r="Q1239" s="76"/>
      <c r="R1239" s="76"/>
      <c r="S1239" s="76"/>
      <c r="T1239" s="76"/>
      <c r="U1239" s="76"/>
      <c r="V1239" s="76"/>
      <c r="W1239" s="76"/>
      <c r="X1239" s="76"/>
      <c r="Y1239" s="76"/>
      <c r="Z1239" s="76"/>
      <c r="AA1239" s="76"/>
      <c r="AB1239" s="76"/>
      <c r="AC1239" s="76"/>
      <c r="AD1239" s="76"/>
      <c r="AE1239" s="76"/>
      <c r="AF1239" s="76"/>
      <c r="AG1239" s="76"/>
      <c r="AH1239" s="76"/>
      <c r="AI1239" s="76"/>
      <c r="AJ1239" s="76"/>
    </row>
    <row r="1240" spans="1:36" ht="12.75">
      <c r="A1240" s="74" t="s">
        <v>3014</v>
      </c>
      <c r="B1240" s="74"/>
      <c r="C1240" s="74" t="s">
        <v>3015</v>
      </c>
      <c r="D1240" s="74" t="s">
        <v>2917</v>
      </c>
      <c r="E1240" s="146">
        <v>792673862</v>
      </c>
      <c r="F1240" s="7" t="s">
        <v>3016</v>
      </c>
      <c r="G1240" s="7"/>
      <c r="H1240" s="74" t="s">
        <v>1868</v>
      </c>
      <c r="I1240" s="75" t="s">
        <v>269</v>
      </c>
      <c r="J1240" s="76"/>
      <c r="K1240" s="76"/>
      <c r="L1240" s="76"/>
      <c r="M1240" s="76"/>
      <c r="N1240" s="76"/>
      <c r="O1240" s="76"/>
      <c r="P1240" s="76"/>
      <c r="Q1240" s="76"/>
      <c r="R1240" s="76"/>
      <c r="S1240" s="76"/>
      <c r="T1240" s="76"/>
      <c r="U1240" s="76"/>
      <c r="V1240" s="76"/>
      <c r="W1240" s="76"/>
      <c r="X1240" s="76"/>
      <c r="Y1240" s="76"/>
      <c r="Z1240" s="76"/>
      <c r="AA1240" s="76"/>
      <c r="AB1240" s="76"/>
      <c r="AC1240" s="76"/>
      <c r="AD1240" s="76"/>
      <c r="AE1240" s="76"/>
      <c r="AF1240" s="76"/>
      <c r="AG1240" s="76"/>
      <c r="AH1240" s="76"/>
      <c r="AI1240" s="76"/>
      <c r="AJ1240" s="76"/>
    </row>
    <row r="1241" spans="1:36" ht="12.75">
      <c r="A1241" s="74" t="s">
        <v>2880</v>
      </c>
      <c r="B1241" s="74"/>
      <c r="C1241" s="74" t="s">
        <v>3017</v>
      </c>
      <c r="D1241" s="74" t="s">
        <v>266</v>
      </c>
      <c r="E1241" s="146"/>
      <c r="F1241" s="7" t="s">
        <v>2882</v>
      </c>
      <c r="G1241" s="7"/>
      <c r="H1241" s="74" t="s">
        <v>3018</v>
      </c>
      <c r="I1241" s="75" t="s">
        <v>93</v>
      </c>
      <c r="J1241" s="74">
        <v>714853000</v>
      </c>
      <c r="K1241" s="74" t="s">
        <v>2884</v>
      </c>
      <c r="L1241" s="76"/>
      <c r="M1241" s="76"/>
      <c r="N1241" s="76"/>
      <c r="O1241" s="76"/>
      <c r="P1241" s="76"/>
      <c r="Q1241" s="76"/>
      <c r="R1241" s="76"/>
      <c r="S1241" s="76"/>
      <c r="T1241" s="76"/>
      <c r="U1241" s="76"/>
      <c r="V1241" s="76"/>
      <c r="W1241" s="76"/>
      <c r="X1241" s="76"/>
      <c r="Y1241" s="76"/>
      <c r="Z1241" s="76"/>
      <c r="AA1241" s="76"/>
      <c r="AB1241" s="76"/>
      <c r="AC1241" s="76"/>
      <c r="AD1241" s="76"/>
      <c r="AE1241" s="76"/>
      <c r="AF1241" s="76"/>
      <c r="AG1241" s="76"/>
      <c r="AH1241" s="76"/>
      <c r="AI1241" s="76"/>
      <c r="AJ1241" s="76"/>
    </row>
    <row r="1242" spans="1:36" ht="12.75">
      <c r="A1242" s="74" t="s">
        <v>3019</v>
      </c>
      <c r="B1242" s="74"/>
      <c r="C1242" s="74" t="s">
        <v>3020</v>
      </c>
      <c r="D1242" s="74" t="s">
        <v>3021</v>
      </c>
      <c r="E1242" s="194"/>
      <c r="F1242" s="7" t="s">
        <v>3022</v>
      </c>
      <c r="G1242" s="7"/>
      <c r="H1242" s="74" t="s">
        <v>3023</v>
      </c>
      <c r="I1242" s="75" t="s">
        <v>59</v>
      </c>
      <c r="J1242" s="74">
        <v>792333111</v>
      </c>
      <c r="K1242" s="74" t="s">
        <v>3024</v>
      </c>
      <c r="L1242" s="76"/>
      <c r="M1242" s="76"/>
      <c r="N1242" s="76"/>
      <c r="O1242" s="76"/>
      <c r="P1242" s="76"/>
      <c r="Q1242" s="76"/>
      <c r="R1242" s="76"/>
      <c r="S1242" s="76"/>
      <c r="T1242" s="76"/>
      <c r="U1242" s="76"/>
      <c r="V1242" s="76"/>
      <c r="W1242" s="76"/>
      <c r="X1242" s="76"/>
      <c r="Y1242" s="76"/>
      <c r="Z1242" s="76"/>
      <c r="AA1242" s="76"/>
      <c r="AB1242" s="76"/>
      <c r="AC1242" s="76"/>
      <c r="AD1242" s="76"/>
      <c r="AE1242" s="76"/>
      <c r="AF1242" s="76"/>
      <c r="AG1242" s="76"/>
      <c r="AH1242" s="76"/>
      <c r="AI1242" s="76"/>
      <c r="AJ1242" s="76"/>
    </row>
    <row r="1243" spans="1:36" ht="12.75">
      <c r="A1243" s="58" t="s">
        <v>2928</v>
      </c>
      <c r="B1243" s="58"/>
      <c r="C1243" s="58" t="s">
        <v>2929</v>
      </c>
      <c r="D1243" s="58" t="s">
        <v>3025</v>
      </c>
      <c r="E1243" s="193">
        <v>707475539</v>
      </c>
      <c r="F1243" s="7" t="s">
        <v>2930</v>
      </c>
      <c r="G1243" s="7"/>
      <c r="H1243" s="74" t="s">
        <v>3026</v>
      </c>
      <c r="I1243" s="75" t="s">
        <v>269</v>
      </c>
      <c r="J1243" s="76">
        <f>254722817066</f>
        <v>254722817066</v>
      </c>
      <c r="K1243" s="74" t="s">
        <v>2932</v>
      </c>
      <c r="L1243" s="76"/>
      <c r="M1243" s="76"/>
      <c r="N1243" s="76"/>
      <c r="O1243" s="76"/>
      <c r="P1243" s="76"/>
      <c r="Q1243" s="76"/>
      <c r="R1243" s="76"/>
      <c r="S1243" s="76"/>
      <c r="T1243" s="76"/>
      <c r="U1243" s="76"/>
      <c r="V1243" s="76"/>
      <c r="W1243" s="76"/>
      <c r="X1243" s="76"/>
      <c r="Y1243" s="76"/>
      <c r="Z1243" s="76"/>
      <c r="AA1243" s="76"/>
      <c r="AB1243" s="76"/>
      <c r="AC1243" s="76"/>
      <c r="AD1243" s="76"/>
      <c r="AE1243" s="76"/>
      <c r="AF1243" s="76"/>
      <c r="AG1243" s="76"/>
      <c r="AH1243" s="76"/>
      <c r="AI1243" s="76"/>
      <c r="AJ1243" s="76"/>
    </row>
    <row r="1244" spans="1:36" ht="12.75">
      <c r="A1244" s="7" t="s">
        <v>2924</v>
      </c>
      <c r="B1244" s="7"/>
      <c r="C1244" s="74" t="s">
        <v>2925</v>
      </c>
      <c r="D1244" s="74" t="s">
        <v>2926</v>
      </c>
      <c r="E1244" s="146">
        <v>716360768</v>
      </c>
      <c r="F1244" s="7" t="s">
        <v>3027</v>
      </c>
      <c r="G1244" s="7"/>
      <c r="H1244" s="76"/>
      <c r="I1244" s="84"/>
      <c r="J1244" s="76"/>
      <c r="K1244" s="76"/>
      <c r="L1244" s="76"/>
      <c r="M1244" s="76"/>
      <c r="N1244" s="76"/>
      <c r="O1244" s="76"/>
      <c r="P1244" s="76"/>
      <c r="Q1244" s="76"/>
      <c r="R1244" s="76"/>
      <c r="S1244" s="76"/>
      <c r="T1244" s="76"/>
      <c r="U1244" s="76"/>
      <c r="V1244" s="76"/>
      <c r="W1244" s="76"/>
      <c r="X1244" s="76"/>
      <c r="Y1244" s="76"/>
      <c r="Z1244" s="76"/>
      <c r="AA1244" s="76"/>
      <c r="AB1244" s="76"/>
      <c r="AC1244" s="76"/>
      <c r="AD1244" s="76"/>
      <c r="AE1244" s="76"/>
      <c r="AF1244" s="76"/>
      <c r="AG1244" s="76"/>
      <c r="AH1244" s="76"/>
      <c r="AI1244" s="76"/>
      <c r="AJ1244" s="76"/>
    </row>
    <row r="1245" spans="1:36" ht="12.75">
      <c r="A1245" s="74" t="s">
        <v>3028</v>
      </c>
      <c r="B1245" s="74"/>
      <c r="C1245" s="74" t="s">
        <v>3029</v>
      </c>
      <c r="D1245" s="74" t="s">
        <v>3030</v>
      </c>
      <c r="E1245" s="146">
        <v>795679062</v>
      </c>
      <c r="F1245" s="7" t="s">
        <v>3031</v>
      </c>
      <c r="G1245" s="7"/>
      <c r="H1245" s="74" t="s">
        <v>3032</v>
      </c>
      <c r="I1245" s="75" t="s">
        <v>269</v>
      </c>
      <c r="J1245" s="74">
        <v>707555666</v>
      </c>
      <c r="K1245" s="7" t="s">
        <v>3033</v>
      </c>
      <c r="L1245" s="76"/>
      <c r="M1245" s="76"/>
      <c r="N1245" s="76"/>
      <c r="O1245" s="76"/>
      <c r="P1245" s="76"/>
      <c r="Q1245" s="76"/>
      <c r="R1245" s="76"/>
      <c r="S1245" s="76"/>
      <c r="T1245" s="76"/>
      <c r="U1245" s="76"/>
      <c r="V1245" s="76"/>
      <c r="W1245" s="76"/>
      <c r="X1245" s="76"/>
      <c r="Y1245" s="76"/>
      <c r="Z1245" s="76"/>
      <c r="AA1245" s="76"/>
      <c r="AB1245" s="76"/>
      <c r="AC1245" s="76"/>
      <c r="AD1245" s="76"/>
      <c r="AE1245" s="76"/>
      <c r="AF1245" s="76"/>
      <c r="AG1245" s="76"/>
      <c r="AH1245" s="76"/>
      <c r="AI1245" s="76"/>
      <c r="AJ1245" s="76"/>
    </row>
    <row r="1246" spans="1:36" ht="12.75">
      <c r="A1246" s="60" t="s">
        <v>3034</v>
      </c>
      <c r="B1246" s="60"/>
      <c r="C1246" s="60" t="s">
        <v>3035</v>
      </c>
      <c r="D1246" s="60" t="s">
        <v>2797</v>
      </c>
      <c r="E1246" s="157">
        <v>712120028</v>
      </c>
      <c r="F1246" s="1" t="s">
        <v>3206</v>
      </c>
      <c r="G1246" s="1"/>
      <c r="H1246" s="60" t="s">
        <v>3573</v>
      </c>
      <c r="I1246" s="88" t="s">
        <v>269</v>
      </c>
      <c r="J1246" s="60">
        <v>736000293</v>
      </c>
      <c r="K1246" s="1" t="s">
        <v>3089</v>
      </c>
    </row>
    <row r="1247" spans="1:36" ht="12.75">
      <c r="A1247" s="60" t="s">
        <v>3038</v>
      </c>
      <c r="B1247" s="60"/>
      <c r="C1247" s="60" t="s">
        <v>3039</v>
      </c>
      <c r="D1247" s="60" t="s">
        <v>266</v>
      </c>
      <c r="E1247" s="157">
        <v>757862400</v>
      </c>
      <c r="F1247" s="1" t="s">
        <v>3040</v>
      </c>
      <c r="G1247" s="1"/>
      <c r="H1247" s="60" t="s">
        <v>3041</v>
      </c>
      <c r="I1247" s="88" t="s">
        <v>599</v>
      </c>
      <c r="J1247" s="60">
        <v>714652098</v>
      </c>
      <c r="K1247" s="1" t="s">
        <v>3042</v>
      </c>
    </row>
    <row r="1248" spans="1:36" ht="12.75">
      <c r="A1248" s="60" t="s">
        <v>3043</v>
      </c>
      <c r="B1248" s="60"/>
      <c r="C1248" s="60" t="s">
        <v>3044</v>
      </c>
      <c r="D1248" s="60" t="s">
        <v>654</v>
      </c>
      <c r="E1248" s="157">
        <v>759000393</v>
      </c>
      <c r="F1248" s="1" t="s">
        <v>3045</v>
      </c>
      <c r="G1248" s="1"/>
      <c r="H1248" s="60" t="s">
        <v>3046</v>
      </c>
      <c r="I1248" s="88" t="s">
        <v>269</v>
      </c>
      <c r="J1248" s="60">
        <v>254020315001</v>
      </c>
      <c r="K1248" s="60" t="s">
        <v>3047</v>
      </c>
    </row>
    <row r="1249" spans="1:11" ht="12.75">
      <c r="A1249" s="60" t="s">
        <v>3048</v>
      </c>
      <c r="B1249" s="60"/>
      <c r="C1249" s="60" t="s">
        <v>3049</v>
      </c>
      <c r="D1249" s="60" t="s">
        <v>341</v>
      </c>
      <c r="E1249" s="157">
        <v>708646826</v>
      </c>
      <c r="F1249" s="1" t="s">
        <v>3050</v>
      </c>
      <c r="G1249" s="1"/>
      <c r="H1249" s="60" t="s">
        <v>3051</v>
      </c>
      <c r="I1249" s="88" t="s">
        <v>3052</v>
      </c>
      <c r="J1249" s="60" t="s">
        <v>3053</v>
      </c>
      <c r="K1249" s="60" t="s">
        <v>3054</v>
      </c>
    </row>
    <row r="1250" spans="1:11" ht="12.75">
      <c r="A1250" s="60" t="s">
        <v>3055</v>
      </c>
      <c r="B1250" s="60"/>
      <c r="C1250" s="60" t="s">
        <v>3056</v>
      </c>
      <c r="D1250" s="60" t="s">
        <v>78</v>
      </c>
      <c r="E1250" s="157">
        <v>722743887</v>
      </c>
      <c r="F1250" s="1" t="s">
        <v>3057</v>
      </c>
      <c r="G1250" s="1"/>
      <c r="H1250" s="60" t="s">
        <v>3058</v>
      </c>
      <c r="I1250" s="88" t="s">
        <v>1886</v>
      </c>
      <c r="J1250" s="60">
        <v>254202342949</v>
      </c>
      <c r="K1250" s="60" t="s">
        <v>3059</v>
      </c>
    </row>
    <row r="1251" spans="1:11" ht="12.75">
      <c r="A1251" s="60" t="s">
        <v>3060</v>
      </c>
      <c r="B1251" s="60"/>
      <c r="C1251" s="60" t="s">
        <v>3061</v>
      </c>
      <c r="D1251" s="60" t="s">
        <v>373</v>
      </c>
      <c r="E1251" s="157">
        <v>759411004</v>
      </c>
      <c r="F1251" s="1" t="s">
        <v>3062</v>
      </c>
      <c r="G1251" s="1"/>
      <c r="H1251" s="60" t="s">
        <v>3063</v>
      </c>
      <c r="I1251" s="88" t="s">
        <v>269</v>
      </c>
      <c r="J1251" s="60">
        <v>254203317583</v>
      </c>
      <c r="K1251" s="60" t="s">
        <v>3013</v>
      </c>
    </row>
    <row r="1252" spans="1:11" ht="12.75">
      <c r="A1252" s="60" t="s">
        <v>3064</v>
      </c>
      <c r="B1252" s="60"/>
      <c r="C1252" s="60" t="s">
        <v>3065</v>
      </c>
      <c r="D1252" s="60" t="s">
        <v>3066</v>
      </c>
      <c r="E1252" s="157">
        <v>797324686</v>
      </c>
      <c r="F1252" s="1" t="s">
        <v>3067</v>
      </c>
      <c r="G1252" s="1"/>
      <c r="H1252" s="60" t="s">
        <v>3068</v>
      </c>
      <c r="I1252" s="88" t="s">
        <v>218</v>
      </c>
    </row>
    <row r="1253" spans="1:11" ht="12.75">
      <c r="A1253" s="60" t="s">
        <v>3069</v>
      </c>
      <c r="B1253" s="60"/>
      <c r="C1253" s="60" t="s">
        <v>3070</v>
      </c>
      <c r="D1253" s="60" t="s">
        <v>3071</v>
      </c>
      <c r="E1253" s="157">
        <v>750398308</v>
      </c>
      <c r="F1253" s="1" t="s">
        <v>3087</v>
      </c>
      <c r="G1253" s="1"/>
      <c r="H1253" s="60" t="s">
        <v>3573</v>
      </c>
      <c r="I1253" s="88" t="s">
        <v>218</v>
      </c>
      <c r="J1253" s="60">
        <v>736000293</v>
      </c>
      <c r="K1253" s="60" t="s">
        <v>3089</v>
      </c>
    </row>
    <row r="1254" spans="1:11" ht="12.75">
      <c r="A1254" s="60" t="s">
        <v>3072</v>
      </c>
      <c r="B1254" s="60"/>
      <c r="C1254" s="60" t="s">
        <v>3073</v>
      </c>
      <c r="D1254" s="60" t="s">
        <v>373</v>
      </c>
      <c r="E1254" s="157">
        <v>792972558</v>
      </c>
      <c r="F1254" s="1" t="s">
        <v>3074</v>
      </c>
      <c r="G1254" s="1"/>
      <c r="H1254" s="60" t="s">
        <v>3075</v>
      </c>
      <c r="I1254" s="88" t="s">
        <v>3076</v>
      </c>
      <c r="J1254" s="60">
        <v>739416720</v>
      </c>
      <c r="K1254" s="60" t="s">
        <v>3077</v>
      </c>
    </row>
    <row r="1255" spans="1:11" ht="12.75">
      <c r="A1255" s="60" t="s">
        <v>3078</v>
      </c>
      <c r="B1255" s="60"/>
      <c r="C1255" s="60" t="s">
        <v>3079</v>
      </c>
      <c r="D1255" s="60" t="s">
        <v>891</v>
      </c>
      <c r="E1255" s="157">
        <v>746377619</v>
      </c>
      <c r="F1255" s="1" t="s">
        <v>2927</v>
      </c>
      <c r="G1255" s="1"/>
      <c r="I1255" s="248"/>
    </row>
    <row r="1256" spans="1:11" ht="12.75">
      <c r="A1256" s="60" t="s">
        <v>3080</v>
      </c>
      <c r="B1256" s="60"/>
      <c r="C1256" s="60" t="s">
        <v>3081</v>
      </c>
      <c r="D1256" s="60" t="s">
        <v>1829</v>
      </c>
      <c r="E1256" s="157">
        <v>798741996</v>
      </c>
      <c r="F1256" s="1" t="s">
        <v>3082</v>
      </c>
      <c r="G1256" s="1"/>
      <c r="H1256" s="60" t="s">
        <v>3083</v>
      </c>
      <c r="I1256" s="88" t="s">
        <v>3084</v>
      </c>
      <c r="K1256" s="60" t="s">
        <v>1805</v>
      </c>
    </row>
    <row r="1257" spans="1:11" ht="12.75">
      <c r="A1257" s="60" t="s">
        <v>3085</v>
      </c>
      <c r="B1257" s="60"/>
      <c r="C1257" s="60" t="s">
        <v>3086</v>
      </c>
      <c r="D1257" s="60" t="s">
        <v>2823</v>
      </c>
      <c r="E1257" s="157">
        <v>790442286</v>
      </c>
      <c r="F1257" s="1" t="s">
        <v>3087</v>
      </c>
      <c r="G1257" s="1"/>
      <c r="H1257" s="60" t="s">
        <v>3088</v>
      </c>
      <c r="I1257" s="88" t="s">
        <v>218</v>
      </c>
      <c r="J1257" s="60">
        <v>736000293</v>
      </c>
      <c r="K1257" s="60" t="s">
        <v>3089</v>
      </c>
    </row>
    <row r="1258" spans="1:11" ht="12.75">
      <c r="A1258" s="60" t="s">
        <v>3090</v>
      </c>
      <c r="B1258" s="60"/>
      <c r="C1258" s="60" t="s">
        <v>3091</v>
      </c>
      <c r="D1258" s="60" t="s">
        <v>242</v>
      </c>
      <c r="E1258" s="157">
        <v>711526658</v>
      </c>
      <c r="F1258" s="1" t="s">
        <v>3092</v>
      </c>
      <c r="G1258" s="1"/>
      <c r="H1258" s="60" t="s">
        <v>3093</v>
      </c>
      <c r="I1258" s="88" t="s">
        <v>269</v>
      </c>
      <c r="J1258" s="60">
        <v>768126644</v>
      </c>
      <c r="K1258" s="60" t="s">
        <v>3094</v>
      </c>
    </row>
    <row r="1259" spans="1:11" ht="12.75">
      <c r="A1259" s="60" t="s">
        <v>3095</v>
      </c>
      <c r="B1259" s="60"/>
      <c r="C1259" s="60" t="s">
        <v>3096</v>
      </c>
      <c r="D1259" s="60" t="s">
        <v>2894</v>
      </c>
      <c r="E1259" s="157">
        <v>707821771</v>
      </c>
      <c r="F1259" s="1" t="s">
        <v>3097</v>
      </c>
      <c r="G1259" s="1"/>
      <c r="H1259" s="60" t="s">
        <v>3098</v>
      </c>
      <c r="I1259" s="88" t="s">
        <v>203</v>
      </c>
      <c r="J1259" s="60">
        <v>682231156</v>
      </c>
      <c r="K1259" s="60" t="s">
        <v>1710</v>
      </c>
    </row>
    <row r="1260" spans="1:11" ht="12.75">
      <c r="A1260" s="60" t="s">
        <v>3099</v>
      </c>
      <c r="B1260" s="60"/>
      <c r="C1260" s="60" t="s">
        <v>3100</v>
      </c>
      <c r="D1260" s="60" t="s">
        <v>2797</v>
      </c>
      <c r="E1260" s="157">
        <v>703375626</v>
      </c>
      <c r="F1260" s="1" t="s">
        <v>3101</v>
      </c>
      <c r="G1260" s="1"/>
      <c r="H1260" s="60" t="s">
        <v>3102</v>
      </c>
      <c r="I1260" s="88" t="s">
        <v>59</v>
      </c>
      <c r="K1260" s="60" t="s">
        <v>612</v>
      </c>
    </row>
    <row r="1261" spans="1:11" ht="12.75">
      <c r="A1261" s="60" t="s">
        <v>3103</v>
      </c>
      <c r="B1261" s="60"/>
      <c r="C1261" s="60" t="s">
        <v>3104</v>
      </c>
      <c r="D1261" s="60" t="s">
        <v>2797</v>
      </c>
      <c r="E1261" s="157">
        <v>254707098833</v>
      </c>
      <c r="F1261" s="1" t="s">
        <v>2531</v>
      </c>
      <c r="G1261" s="1"/>
      <c r="H1261" s="60" t="s">
        <v>3105</v>
      </c>
      <c r="I1261" s="88" t="s">
        <v>599</v>
      </c>
      <c r="J1261" s="60">
        <v>771304003</v>
      </c>
      <c r="K1261" s="60" t="s">
        <v>3106</v>
      </c>
    </row>
    <row r="1262" spans="1:11" ht="12.75">
      <c r="A1262" s="60" t="s">
        <v>3107</v>
      </c>
      <c r="B1262" s="60"/>
      <c r="C1262" s="60" t="s">
        <v>3108</v>
      </c>
      <c r="D1262" s="60" t="s">
        <v>242</v>
      </c>
      <c r="E1262" s="157">
        <v>703828131</v>
      </c>
      <c r="F1262" s="1" t="s">
        <v>927</v>
      </c>
      <c r="G1262" s="1"/>
      <c r="H1262" s="60" t="s">
        <v>3109</v>
      </c>
      <c r="I1262" s="88" t="s">
        <v>385</v>
      </c>
      <c r="J1262" s="60">
        <v>111054990</v>
      </c>
      <c r="K1262" s="60" t="s">
        <v>930</v>
      </c>
    </row>
    <row r="1263" spans="1:11" ht="12.75">
      <c r="A1263" s="60" t="s">
        <v>3110</v>
      </c>
      <c r="B1263" s="60"/>
      <c r="C1263" s="60" t="s">
        <v>3111</v>
      </c>
      <c r="D1263" s="60" t="s">
        <v>242</v>
      </c>
      <c r="E1263" s="157">
        <v>769959698</v>
      </c>
      <c r="F1263" s="1" t="s">
        <v>3112</v>
      </c>
      <c r="G1263" s="1"/>
      <c r="H1263" s="60" t="s">
        <v>3113</v>
      </c>
      <c r="I1263" s="88" t="s">
        <v>495</v>
      </c>
      <c r="J1263" s="60">
        <v>703794054</v>
      </c>
      <c r="K1263" s="60" t="s">
        <v>496</v>
      </c>
    </row>
    <row r="1264" spans="1:11" ht="12.75">
      <c r="A1264" s="60" t="s">
        <v>3114</v>
      </c>
      <c r="B1264" s="60"/>
      <c r="C1264" s="60" t="s">
        <v>3115</v>
      </c>
      <c r="D1264" s="60" t="s">
        <v>3116</v>
      </c>
      <c r="E1264" s="157">
        <v>794526415</v>
      </c>
      <c r="F1264" s="1" t="s">
        <v>3117</v>
      </c>
      <c r="G1264" s="1"/>
      <c r="H1264" s="60" t="s">
        <v>3118</v>
      </c>
      <c r="I1264" s="88" t="s">
        <v>3119</v>
      </c>
      <c r="J1264" s="60">
        <v>2023429419</v>
      </c>
      <c r="K1264" s="60" t="s">
        <v>3120</v>
      </c>
    </row>
    <row r="1265" spans="1:11" ht="12.75">
      <c r="A1265" s="60" t="s">
        <v>3121</v>
      </c>
      <c r="B1265" s="60"/>
      <c r="C1265" s="60" t="s">
        <v>1281</v>
      </c>
      <c r="D1265" s="60" t="s">
        <v>389</v>
      </c>
      <c r="E1265" s="157">
        <v>798667360</v>
      </c>
      <c r="F1265" s="1" t="s">
        <v>1283</v>
      </c>
      <c r="G1265" s="1"/>
      <c r="H1265" s="60" t="s">
        <v>3122</v>
      </c>
      <c r="I1265" s="88" t="s">
        <v>237</v>
      </c>
      <c r="J1265" s="60">
        <v>254717503797</v>
      </c>
      <c r="K1265" s="60" t="s">
        <v>1285</v>
      </c>
    </row>
    <row r="1266" spans="1:11" ht="12.75">
      <c r="A1266" s="60" t="s">
        <v>3123</v>
      </c>
      <c r="B1266" s="60"/>
      <c r="C1266" s="60" t="s">
        <v>3124</v>
      </c>
      <c r="D1266" s="60" t="s">
        <v>2585</v>
      </c>
      <c r="E1266" s="157">
        <v>115523988</v>
      </c>
      <c r="F1266" s="1" t="s">
        <v>3125</v>
      </c>
      <c r="G1266" s="1"/>
      <c r="I1266" s="248"/>
    </row>
    <row r="1267" spans="1:11" ht="12.75">
      <c r="A1267" s="60" t="s">
        <v>3126</v>
      </c>
      <c r="B1267" s="60"/>
      <c r="C1267" s="60" t="s">
        <v>3127</v>
      </c>
      <c r="D1267" s="60" t="s">
        <v>389</v>
      </c>
      <c r="E1267" s="267"/>
      <c r="F1267" s="2"/>
      <c r="G1267" s="2"/>
      <c r="I1267" s="248"/>
    </row>
    <row r="1268" spans="1:11" ht="12.75">
      <c r="A1268" s="60" t="s">
        <v>3128</v>
      </c>
      <c r="B1268" s="60"/>
      <c r="C1268" s="60" t="s">
        <v>3129</v>
      </c>
      <c r="D1268" s="60" t="s">
        <v>1385</v>
      </c>
      <c r="E1268" s="157">
        <v>706228914</v>
      </c>
      <c r="F1268" s="1" t="s">
        <v>3130</v>
      </c>
      <c r="G1268" s="1"/>
      <c r="H1268" s="60" t="s">
        <v>3131</v>
      </c>
      <c r="I1268" s="88" t="s">
        <v>2017</v>
      </c>
      <c r="J1268" s="60">
        <v>710901376</v>
      </c>
      <c r="K1268" s="60" t="s">
        <v>1877</v>
      </c>
    </row>
    <row r="1269" spans="1:11" ht="19.5" customHeight="1">
      <c r="A1269" s="60" t="s">
        <v>3132</v>
      </c>
      <c r="B1269" s="60"/>
      <c r="C1269" s="60" t="s">
        <v>3133</v>
      </c>
      <c r="D1269" s="60" t="s">
        <v>1337</v>
      </c>
      <c r="E1269" s="157">
        <v>740886149</v>
      </c>
      <c r="F1269" s="1" t="s">
        <v>3134</v>
      </c>
      <c r="G1269" s="1"/>
      <c r="H1269" s="60" t="s">
        <v>3135</v>
      </c>
      <c r="I1269" s="88" t="s">
        <v>786</v>
      </c>
      <c r="J1269" s="60">
        <v>722376172</v>
      </c>
      <c r="K1269" s="60" t="s">
        <v>3136</v>
      </c>
    </row>
    <row r="1270" spans="1:11" ht="12.75">
      <c r="A1270" s="60" t="s">
        <v>3137</v>
      </c>
      <c r="B1270" s="60"/>
      <c r="C1270" s="60" t="s">
        <v>3138</v>
      </c>
      <c r="D1270" s="60" t="s">
        <v>373</v>
      </c>
      <c r="E1270" s="157">
        <v>700408271</v>
      </c>
      <c r="F1270" s="1" t="s">
        <v>3139</v>
      </c>
      <c r="G1270" s="1"/>
      <c r="H1270" s="60" t="s">
        <v>3140</v>
      </c>
      <c r="I1270" s="88" t="s">
        <v>3141</v>
      </c>
      <c r="J1270" s="60"/>
    </row>
    <row r="1271" spans="1:11" ht="12.75">
      <c r="A1271" s="60" t="s">
        <v>3142</v>
      </c>
      <c r="B1271" s="60"/>
      <c r="C1271" s="60" t="s">
        <v>3143</v>
      </c>
      <c r="D1271" s="60" t="s">
        <v>1829</v>
      </c>
      <c r="E1271" s="157">
        <v>720508315</v>
      </c>
      <c r="F1271" s="1" t="s">
        <v>3040</v>
      </c>
      <c r="G1271" s="1"/>
      <c r="H1271" s="60" t="s">
        <v>3144</v>
      </c>
      <c r="I1271" s="88" t="s">
        <v>599</v>
      </c>
      <c r="J1271" s="60">
        <v>714652098</v>
      </c>
      <c r="K1271" s="60" t="s">
        <v>3145</v>
      </c>
    </row>
    <row r="1272" spans="1:11" ht="12.75">
      <c r="A1272" s="60" t="s">
        <v>3146</v>
      </c>
      <c r="B1272" s="60"/>
      <c r="C1272" s="60" t="s">
        <v>3147</v>
      </c>
      <c r="D1272" s="60" t="s">
        <v>3148</v>
      </c>
      <c r="E1272" s="157">
        <v>746064866</v>
      </c>
      <c r="F1272" s="2"/>
      <c r="G1272" s="2"/>
      <c r="I1272" s="248"/>
    </row>
    <row r="1273" spans="1:11" ht="12.75">
      <c r="A1273" s="60" t="s">
        <v>3149</v>
      </c>
      <c r="B1273" s="60"/>
      <c r="C1273" s="60" t="s">
        <v>3150</v>
      </c>
      <c r="D1273" s="60" t="s">
        <v>1360</v>
      </c>
      <c r="E1273" s="157">
        <v>757578113</v>
      </c>
      <c r="F1273" s="1" t="s">
        <v>3151</v>
      </c>
      <c r="G1273" s="1"/>
      <c r="H1273" s="60" t="s">
        <v>3152</v>
      </c>
      <c r="I1273" s="88" t="s">
        <v>237</v>
      </c>
      <c r="J1273" s="60">
        <v>202729911</v>
      </c>
      <c r="K1273" s="60" t="s">
        <v>1101</v>
      </c>
    </row>
    <row r="1274" spans="1:11" ht="12.75">
      <c r="A1274" s="60" t="s">
        <v>3153</v>
      </c>
      <c r="B1274" s="60"/>
      <c r="C1274" s="60" t="s">
        <v>3154</v>
      </c>
      <c r="D1274" s="74" t="s">
        <v>2536</v>
      </c>
      <c r="E1274" s="157">
        <v>727410014</v>
      </c>
      <c r="F1274" s="1" t="s">
        <v>3155</v>
      </c>
      <c r="G1274" s="1"/>
      <c r="I1274" s="248"/>
    </row>
    <row r="1275" spans="1:11" ht="12.75">
      <c r="A1275" s="60" t="s">
        <v>3156</v>
      </c>
      <c r="B1275" s="60"/>
      <c r="C1275" s="60" t="s">
        <v>3157</v>
      </c>
      <c r="D1275" s="60" t="s">
        <v>3158</v>
      </c>
      <c r="E1275" s="157">
        <v>113284061</v>
      </c>
      <c r="F1275" s="1" t="s">
        <v>3159</v>
      </c>
      <c r="G1275" s="1"/>
      <c r="H1275" s="60" t="s">
        <v>3160</v>
      </c>
      <c r="I1275" s="88" t="s">
        <v>3161</v>
      </c>
      <c r="J1275" s="60">
        <v>768885577</v>
      </c>
      <c r="K1275" s="60" t="s">
        <v>3162</v>
      </c>
    </row>
    <row r="1276" spans="1:11" ht="12.75">
      <c r="A1276" s="60" t="s">
        <v>3163</v>
      </c>
      <c r="B1276" s="60"/>
      <c r="C1276" s="60" t="s">
        <v>3164</v>
      </c>
      <c r="D1276" s="60" t="s">
        <v>3165</v>
      </c>
      <c r="E1276" s="157">
        <v>111336506</v>
      </c>
      <c r="F1276" s="36" t="s">
        <v>342</v>
      </c>
      <c r="G1276" s="36"/>
      <c r="H1276" s="60" t="s">
        <v>355</v>
      </c>
      <c r="I1276" s="88" t="s">
        <v>14</v>
      </c>
      <c r="J1276" s="212">
        <f>254710453693</f>
        <v>254710453693</v>
      </c>
      <c r="K1276" s="60" t="s">
        <v>105</v>
      </c>
    </row>
    <row r="1277" spans="1:11" ht="12.75">
      <c r="A1277" s="60" t="s">
        <v>3166</v>
      </c>
      <c r="B1277" s="60"/>
      <c r="C1277" s="60" t="s">
        <v>3167</v>
      </c>
      <c r="D1277" s="60" t="s">
        <v>1038</v>
      </c>
      <c r="E1277" s="157">
        <v>785904527</v>
      </c>
      <c r="F1277" s="1" t="s">
        <v>3168</v>
      </c>
      <c r="G1277" s="1"/>
      <c r="H1277" s="60" t="s">
        <v>3169</v>
      </c>
      <c r="I1277" s="88" t="s">
        <v>65</v>
      </c>
      <c r="J1277" s="60">
        <v>713530619</v>
      </c>
      <c r="K1277" s="60" t="s">
        <v>3170</v>
      </c>
    </row>
    <row r="1278" spans="1:11" ht="12.75">
      <c r="A1278" s="60" t="s">
        <v>3171</v>
      </c>
      <c r="B1278" s="60"/>
      <c r="C1278" s="60" t="s">
        <v>3172</v>
      </c>
      <c r="D1278" s="60" t="s">
        <v>3173</v>
      </c>
      <c r="E1278" s="157">
        <v>759334425</v>
      </c>
      <c r="F1278" s="1" t="s">
        <v>3174</v>
      </c>
      <c r="G1278" s="1"/>
      <c r="H1278" s="60" t="s">
        <v>3175</v>
      </c>
      <c r="I1278" s="88" t="s">
        <v>3176</v>
      </c>
      <c r="J1278" s="60">
        <v>202034944</v>
      </c>
      <c r="K1278" s="60" t="s">
        <v>3177</v>
      </c>
    </row>
    <row r="1279" spans="1:11" ht="12.75">
      <c r="A1279" s="1" t="s">
        <v>3178</v>
      </c>
      <c r="B1279" s="1"/>
      <c r="C1279" s="60" t="s">
        <v>3179</v>
      </c>
      <c r="D1279" s="60" t="s">
        <v>3180</v>
      </c>
      <c r="E1279" s="157">
        <v>115387309</v>
      </c>
      <c r="F1279" s="1" t="s">
        <v>2175</v>
      </c>
      <c r="G1279" s="1"/>
      <c r="H1279" s="60" t="s">
        <v>3181</v>
      </c>
      <c r="I1279" s="88" t="s">
        <v>858</v>
      </c>
      <c r="J1279" s="60">
        <v>202054354</v>
      </c>
      <c r="K1279" s="60" t="s">
        <v>180</v>
      </c>
    </row>
    <row r="1280" spans="1:11" ht="12.75">
      <c r="A1280" s="60" t="s">
        <v>3182</v>
      </c>
      <c r="B1280" s="60"/>
      <c r="C1280" s="60" t="s">
        <v>3183</v>
      </c>
      <c r="D1280" s="60" t="s">
        <v>3184</v>
      </c>
      <c r="E1280" s="157">
        <v>112150990</v>
      </c>
      <c r="F1280" s="1" t="s">
        <v>2175</v>
      </c>
      <c r="G1280" s="1"/>
      <c r="H1280" s="60" t="s">
        <v>3181</v>
      </c>
      <c r="I1280" s="88" t="s">
        <v>858</v>
      </c>
      <c r="J1280" s="60">
        <v>202054354</v>
      </c>
      <c r="K1280" s="60" t="s">
        <v>2230</v>
      </c>
    </row>
    <row r="1281" spans="1:11" ht="12.75">
      <c r="A1281" s="60" t="s">
        <v>3185</v>
      </c>
      <c r="B1281" s="60"/>
      <c r="C1281" s="60" t="s">
        <v>3186</v>
      </c>
      <c r="D1281" s="60" t="s">
        <v>71</v>
      </c>
      <c r="E1281" s="157">
        <v>797086183</v>
      </c>
      <c r="F1281" s="1" t="s">
        <v>3187</v>
      </c>
      <c r="G1281" s="1"/>
      <c r="I1281" s="248"/>
    </row>
    <row r="1282" spans="1:11" ht="12.75">
      <c r="A1282" s="60" t="s">
        <v>3188</v>
      </c>
      <c r="B1282" s="60"/>
      <c r="C1282" s="60" t="s">
        <v>3188</v>
      </c>
      <c r="D1282" s="60" t="s">
        <v>3189</v>
      </c>
      <c r="E1282" s="157">
        <v>794314956</v>
      </c>
      <c r="F1282" s="1" t="s">
        <v>2863</v>
      </c>
      <c r="G1282" s="1"/>
      <c r="H1282" s="60" t="s">
        <v>2864</v>
      </c>
      <c r="I1282" s="88" t="s">
        <v>1793</v>
      </c>
      <c r="J1282" s="60">
        <v>739758447</v>
      </c>
      <c r="K1282" s="60" t="s">
        <v>2865</v>
      </c>
    </row>
    <row r="1283" spans="1:11" ht="12.75">
      <c r="A1283" s="60" t="s">
        <v>3190</v>
      </c>
      <c r="B1283" s="60"/>
      <c r="C1283" s="60" t="s">
        <v>3191</v>
      </c>
      <c r="E1283" s="157">
        <v>748893074</v>
      </c>
      <c r="F1283" s="1" t="s">
        <v>3192</v>
      </c>
      <c r="G1283" s="1"/>
      <c r="H1283" s="60" t="s">
        <v>2854</v>
      </c>
      <c r="I1283" s="88" t="s">
        <v>59</v>
      </c>
      <c r="J1283" s="60">
        <v>720334662</v>
      </c>
      <c r="K1283" s="60" t="s">
        <v>3193</v>
      </c>
    </row>
    <row r="1284" spans="1:11" ht="12.75">
      <c r="A1284" s="60" t="s">
        <v>3194</v>
      </c>
      <c r="B1284" s="60"/>
      <c r="C1284" s="60" t="s">
        <v>3195</v>
      </c>
      <c r="D1284" s="60" t="s">
        <v>1753</v>
      </c>
      <c r="E1284" s="157">
        <v>794127966</v>
      </c>
      <c r="F1284" s="1" t="s">
        <v>3196</v>
      </c>
      <c r="G1284" s="1"/>
      <c r="H1284" s="60" t="s">
        <v>2905</v>
      </c>
      <c r="I1284" s="88" t="s">
        <v>2906</v>
      </c>
      <c r="J1284" s="60">
        <v>720953065</v>
      </c>
      <c r="K1284" s="60" t="s">
        <v>2907</v>
      </c>
    </row>
    <row r="1285" spans="1:11" ht="12.75">
      <c r="A1285" s="60" t="s">
        <v>3197</v>
      </c>
      <c r="B1285" s="60"/>
      <c r="C1285" s="60" t="s">
        <v>3198</v>
      </c>
      <c r="D1285" s="60" t="s">
        <v>959</v>
      </c>
      <c r="E1285" s="316">
        <v>742453046</v>
      </c>
      <c r="F1285" s="1" t="s">
        <v>3199</v>
      </c>
      <c r="G1285" s="1"/>
      <c r="I1285" s="248"/>
    </row>
    <row r="1286" spans="1:11" ht="12.75">
      <c r="A1286" s="60" t="s">
        <v>3200</v>
      </c>
      <c r="B1286" s="60"/>
      <c r="C1286" s="60" t="s">
        <v>3201</v>
      </c>
      <c r="F1286" s="1" t="s">
        <v>3202</v>
      </c>
      <c r="G1286" s="1"/>
      <c r="H1286" s="60" t="s">
        <v>3181</v>
      </c>
      <c r="I1286" s="88" t="s">
        <v>858</v>
      </c>
      <c r="J1286" s="60">
        <v>20254354</v>
      </c>
      <c r="K1286" s="60" t="s">
        <v>180</v>
      </c>
    </row>
    <row r="1287" spans="1:11" ht="12.75">
      <c r="C1287" s="60" t="s">
        <v>3203</v>
      </c>
      <c r="E1287" s="157">
        <v>797124837</v>
      </c>
      <c r="F1287" s="1" t="s">
        <v>3199</v>
      </c>
      <c r="G1287" s="1"/>
      <c r="I1287" s="248"/>
    </row>
    <row r="1288" spans="1:11" ht="12.75">
      <c r="A1288" s="60" t="s">
        <v>3204</v>
      </c>
      <c r="B1288" s="60"/>
      <c r="C1288" s="60" t="s">
        <v>3205</v>
      </c>
      <c r="E1288" s="157">
        <v>797287922</v>
      </c>
      <c r="F1288" s="1" t="s">
        <v>3206</v>
      </c>
      <c r="G1288" s="1"/>
      <c r="H1288" s="60" t="s">
        <v>3207</v>
      </c>
      <c r="I1288" s="88" t="s">
        <v>223</v>
      </c>
      <c r="J1288" s="60">
        <v>736000293</v>
      </c>
      <c r="K1288" s="60" t="s">
        <v>3089</v>
      </c>
    </row>
    <row r="1289" spans="1:11" ht="12.75">
      <c r="A1289" s="60" t="s">
        <v>3208</v>
      </c>
      <c r="B1289" s="60"/>
      <c r="C1289" s="60" t="s">
        <v>3209</v>
      </c>
      <c r="D1289" s="60" t="s">
        <v>951</v>
      </c>
      <c r="E1289" s="157">
        <v>715113066</v>
      </c>
      <c r="F1289" s="1" t="s">
        <v>3210</v>
      </c>
      <c r="G1289" s="1"/>
      <c r="H1289" s="60" t="s">
        <v>3211</v>
      </c>
      <c r="I1289" s="88" t="s">
        <v>3212</v>
      </c>
      <c r="J1289" s="60" t="s">
        <v>3213</v>
      </c>
      <c r="K1289" s="60" t="s">
        <v>3214</v>
      </c>
    </row>
    <row r="1290" spans="1:11" ht="12.75">
      <c r="A1290" s="60" t="s">
        <v>3215</v>
      </c>
      <c r="B1290" s="60"/>
      <c r="C1290" s="60" t="s">
        <v>3216</v>
      </c>
      <c r="D1290" s="60" t="s">
        <v>3217</v>
      </c>
      <c r="E1290" s="157">
        <v>759849692</v>
      </c>
      <c r="F1290" s="1" t="s">
        <v>3218</v>
      </c>
      <c r="G1290" s="1"/>
      <c r="H1290" s="60" t="s">
        <v>3219</v>
      </c>
      <c r="I1290" s="88" t="s">
        <v>237</v>
      </c>
      <c r="J1290" s="60">
        <v>724214092</v>
      </c>
      <c r="K1290" s="60" t="s">
        <v>3220</v>
      </c>
    </row>
    <row r="1291" spans="1:11" ht="18.75" customHeight="1">
      <c r="A1291" s="60" t="s">
        <v>3221</v>
      </c>
      <c r="B1291" s="60"/>
      <c r="C1291" s="60" t="s">
        <v>3222</v>
      </c>
      <c r="D1291" s="60" t="s">
        <v>2112</v>
      </c>
      <c r="E1291" s="157">
        <v>793999626</v>
      </c>
      <c r="F1291" s="1" t="s">
        <v>3223</v>
      </c>
      <c r="G1291" s="1"/>
      <c r="H1291" s="60" t="s">
        <v>3224</v>
      </c>
      <c r="I1291" s="88" t="s">
        <v>59</v>
      </c>
      <c r="K1291" s="60" t="s">
        <v>3225</v>
      </c>
    </row>
    <row r="1292" spans="1:11" ht="18" customHeight="1">
      <c r="A1292" s="60"/>
      <c r="B1292" s="60"/>
      <c r="C1292" s="60"/>
      <c r="D1292" s="60"/>
      <c r="E1292" s="157"/>
      <c r="F1292" s="1"/>
      <c r="G1292" s="1"/>
      <c r="H1292" s="60" t="s">
        <v>3574</v>
      </c>
      <c r="I1292" s="88" t="s">
        <v>858</v>
      </c>
      <c r="J1292" s="319">
        <f>254113015674</f>
        <v>254113015674</v>
      </c>
      <c r="K1292" s="60" t="s">
        <v>2295</v>
      </c>
    </row>
    <row r="1293" spans="1:11" ht="12.75">
      <c r="A1293" s="60" t="s">
        <v>3228</v>
      </c>
      <c r="B1293" s="60"/>
      <c r="C1293" s="60" t="s">
        <v>3229</v>
      </c>
      <c r="D1293" s="60" t="s">
        <v>565</v>
      </c>
      <c r="E1293" s="157">
        <v>110648408</v>
      </c>
      <c r="F1293" s="2"/>
      <c r="G1293" s="2"/>
      <c r="I1293" s="248"/>
    </row>
    <row r="1294" spans="1:11" ht="12.75">
      <c r="A1294" s="60" t="s">
        <v>3230</v>
      </c>
      <c r="B1294" s="60"/>
      <c r="C1294" s="60" t="s">
        <v>3231</v>
      </c>
      <c r="D1294" s="60" t="s">
        <v>2112</v>
      </c>
      <c r="E1294" s="157">
        <v>710966219</v>
      </c>
      <c r="F1294" s="1" t="s">
        <v>3232</v>
      </c>
      <c r="G1294" s="1"/>
      <c r="I1294" s="248"/>
    </row>
    <row r="1295" spans="1:11" ht="12.75">
      <c r="A1295" s="60" t="s">
        <v>3233</v>
      </c>
      <c r="B1295" s="60"/>
      <c r="C1295" s="60" t="s">
        <v>3234</v>
      </c>
      <c r="D1295" s="60" t="s">
        <v>3235</v>
      </c>
      <c r="E1295" s="157">
        <v>40814234</v>
      </c>
      <c r="F1295" s="1" t="s">
        <v>3236</v>
      </c>
      <c r="G1295" s="1"/>
      <c r="I1295" s="248"/>
    </row>
    <row r="1296" spans="1:11" ht="12.75">
      <c r="A1296" s="60" t="s">
        <v>3237</v>
      </c>
      <c r="B1296" s="60"/>
      <c r="C1296" s="60" t="s">
        <v>3238</v>
      </c>
      <c r="D1296" s="60" t="s">
        <v>3239</v>
      </c>
      <c r="E1296" s="157">
        <v>799840624</v>
      </c>
      <c r="F1296" s="1" t="s">
        <v>3240</v>
      </c>
      <c r="G1296" s="1"/>
      <c r="H1296" s="60" t="s">
        <v>3241</v>
      </c>
      <c r="I1296" s="88" t="s">
        <v>2539</v>
      </c>
    </row>
    <row r="1297" spans="1:11" ht="12.75">
      <c r="C1297" s="60" t="s">
        <v>3242</v>
      </c>
      <c r="D1297" s="60" t="s">
        <v>951</v>
      </c>
      <c r="E1297" s="157">
        <v>703857395</v>
      </c>
      <c r="F1297" s="1" t="s">
        <v>3243</v>
      </c>
      <c r="G1297" s="1"/>
      <c r="H1297" s="60" t="s">
        <v>3244</v>
      </c>
      <c r="I1297" s="88" t="s">
        <v>763</v>
      </c>
      <c r="J1297" s="60">
        <v>723661676</v>
      </c>
      <c r="K1297" s="60" t="s">
        <v>101</v>
      </c>
    </row>
    <row r="1298" spans="1:11" ht="12.75">
      <c r="A1298" s="60" t="s">
        <v>3245</v>
      </c>
      <c r="B1298" s="60"/>
      <c r="C1298" s="60" t="s">
        <v>3246</v>
      </c>
      <c r="D1298" s="60" t="s">
        <v>1355</v>
      </c>
      <c r="E1298" s="157">
        <v>700408271</v>
      </c>
      <c r="F1298" s="1" t="s">
        <v>3139</v>
      </c>
      <c r="G1298" s="1"/>
      <c r="H1298" s="60" t="s">
        <v>3247</v>
      </c>
      <c r="I1298" s="88" t="s">
        <v>218</v>
      </c>
      <c r="J1298" s="60">
        <v>796698100</v>
      </c>
      <c r="K1298" s="60" t="s">
        <v>379</v>
      </c>
    </row>
    <row r="1299" spans="1:11" ht="12.75">
      <c r="A1299" s="60" t="s">
        <v>3248</v>
      </c>
      <c r="B1299" s="60"/>
      <c r="C1299" s="60" t="s">
        <v>3249</v>
      </c>
      <c r="D1299" s="60" t="s">
        <v>1753</v>
      </c>
      <c r="E1299" s="267"/>
      <c r="F1299" s="2"/>
      <c r="G1299" s="2"/>
      <c r="I1299" s="248"/>
    </row>
    <row r="1300" spans="1:11" ht="12.75">
      <c r="A1300" s="60" t="s">
        <v>3250</v>
      </c>
      <c r="B1300" s="60"/>
      <c r="C1300" s="60" t="s">
        <v>3251</v>
      </c>
      <c r="D1300" s="60" t="s">
        <v>38</v>
      </c>
      <c r="E1300" s="157">
        <v>759560084</v>
      </c>
      <c r="F1300" s="1" t="s">
        <v>3252</v>
      </c>
      <c r="G1300" s="1"/>
      <c r="I1300" s="248"/>
    </row>
    <row r="1301" spans="1:11" ht="12.75">
      <c r="A1301" s="1" t="s">
        <v>3253</v>
      </c>
      <c r="B1301" s="1"/>
      <c r="C1301" s="60" t="s">
        <v>3254</v>
      </c>
      <c r="D1301" s="60" t="s">
        <v>266</v>
      </c>
      <c r="E1301" s="157">
        <v>757648614</v>
      </c>
      <c r="F1301" s="1" t="s">
        <v>548</v>
      </c>
      <c r="G1301" s="1"/>
      <c r="H1301" s="60" t="s">
        <v>3255</v>
      </c>
      <c r="I1301" s="88" t="s">
        <v>550</v>
      </c>
      <c r="J1301" s="60">
        <v>711645955</v>
      </c>
      <c r="K1301" s="60" t="s">
        <v>551</v>
      </c>
    </row>
    <row r="1302" spans="1:11" ht="18">
      <c r="A1302" s="60" t="s">
        <v>3256</v>
      </c>
      <c r="B1302" s="60"/>
      <c r="C1302" s="60" t="s">
        <v>3257</v>
      </c>
      <c r="D1302" s="60" t="s">
        <v>1753</v>
      </c>
      <c r="E1302" s="157">
        <v>707676034</v>
      </c>
      <c r="F1302" s="1" t="s">
        <v>3258</v>
      </c>
      <c r="G1302" s="1"/>
      <c r="H1302" s="60" t="s">
        <v>3259</v>
      </c>
      <c r="I1302" s="88" t="s">
        <v>3260</v>
      </c>
      <c r="J1302" s="60" t="s">
        <v>3261</v>
      </c>
      <c r="K1302" s="320" t="s">
        <v>3262</v>
      </c>
    </row>
    <row r="1303" spans="1:11" ht="12.75">
      <c r="A1303" s="60" t="s">
        <v>3263</v>
      </c>
      <c r="B1303" s="60"/>
      <c r="C1303" s="60" t="s">
        <v>3264</v>
      </c>
      <c r="D1303" s="60" t="s">
        <v>3265</v>
      </c>
      <c r="E1303" s="157">
        <v>705148001</v>
      </c>
      <c r="F1303" s="1" t="s">
        <v>3266</v>
      </c>
      <c r="G1303" s="1"/>
      <c r="I1303" s="248"/>
    </row>
    <row r="1304" spans="1:11" ht="14.25">
      <c r="A1304" s="60" t="s">
        <v>3267</v>
      </c>
      <c r="B1304" s="60"/>
      <c r="C1304" s="60" t="s">
        <v>3268</v>
      </c>
      <c r="D1304" s="60" t="s">
        <v>1095</v>
      </c>
      <c r="E1304" s="157">
        <v>717065073</v>
      </c>
      <c r="F1304" s="1" t="s">
        <v>3269</v>
      </c>
      <c r="G1304" s="1"/>
      <c r="H1304" s="60" t="s">
        <v>3270</v>
      </c>
      <c r="I1304" s="88" t="s">
        <v>1461</v>
      </c>
      <c r="J1304" s="321" t="s">
        <v>3271</v>
      </c>
      <c r="K1304" s="60" t="s">
        <v>3272</v>
      </c>
    </row>
    <row r="1305" spans="1:11" ht="12.75">
      <c r="A1305" s="60" t="s">
        <v>3273</v>
      </c>
      <c r="B1305" s="60"/>
      <c r="C1305" s="60" t="s">
        <v>3274</v>
      </c>
      <c r="D1305" s="60" t="s">
        <v>402</v>
      </c>
      <c r="E1305" s="157">
        <v>794572527</v>
      </c>
      <c r="F1305" s="60" t="s">
        <v>3275</v>
      </c>
      <c r="G1305" s="60"/>
      <c r="H1305" s="60" t="s">
        <v>3276</v>
      </c>
      <c r="I1305" s="60" t="s">
        <v>3277</v>
      </c>
      <c r="J1305" s="60">
        <v>709193000</v>
      </c>
      <c r="K1305" s="60" t="s">
        <v>3278</v>
      </c>
    </row>
    <row r="1306" spans="1:11" ht="14.25">
      <c r="A1306" s="60" t="s">
        <v>3279</v>
      </c>
      <c r="B1306" s="60"/>
      <c r="C1306" s="60" t="s">
        <v>3280</v>
      </c>
      <c r="D1306" s="60" t="s">
        <v>1095</v>
      </c>
      <c r="E1306" s="157">
        <v>795825024</v>
      </c>
      <c r="F1306" s="1" t="s">
        <v>3269</v>
      </c>
      <c r="G1306" s="1"/>
      <c r="H1306" s="60" t="s">
        <v>3270</v>
      </c>
      <c r="I1306" s="88" t="s">
        <v>1461</v>
      </c>
      <c r="J1306" s="321" t="s">
        <v>3271</v>
      </c>
      <c r="K1306" s="60" t="s">
        <v>3272</v>
      </c>
    </row>
    <row r="1307" spans="1:11" ht="12.75">
      <c r="A1307" s="60" t="s">
        <v>3281</v>
      </c>
      <c r="B1307" s="60"/>
      <c r="C1307" s="60" t="s">
        <v>3282</v>
      </c>
      <c r="D1307" s="60" t="s">
        <v>3283</v>
      </c>
      <c r="E1307" s="157">
        <v>799582554</v>
      </c>
      <c r="F1307" s="1" t="s">
        <v>3284</v>
      </c>
      <c r="G1307" s="1"/>
      <c r="H1307" s="60" t="s">
        <v>3285</v>
      </c>
      <c r="I1307" s="88" t="s">
        <v>3286</v>
      </c>
      <c r="J1307" s="60">
        <v>740388040</v>
      </c>
      <c r="K1307" s="60" t="s">
        <v>3287</v>
      </c>
    </row>
    <row r="1308" spans="1:11" ht="12.75">
      <c r="A1308" s="60" t="s">
        <v>3288</v>
      </c>
      <c r="B1308" s="60"/>
      <c r="C1308" s="60" t="s">
        <v>3289</v>
      </c>
      <c r="D1308" s="60" t="s">
        <v>1458</v>
      </c>
      <c r="E1308" s="157">
        <v>794757349</v>
      </c>
      <c r="F1308" s="1" t="s">
        <v>3290</v>
      </c>
      <c r="G1308" s="1"/>
      <c r="H1308" s="60" t="s">
        <v>3291</v>
      </c>
      <c r="I1308" s="88" t="s">
        <v>3292</v>
      </c>
      <c r="J1308" s="60">
        <v>709397000</v>
      </c>
      <c r="K1308" s="60" t="s">
        <v>3293</v>
      </c>
    </row>
    <row r="1309" spans="1:11" ht="12.75">
      <c r="A1309" s="276" t="s">
        <v>3294</v>
      </c>
      <c r="B1309" s="276"/>
      <c r="C1309" s="60" t="s">
        <v>3295</v>
      </c>
      <c r="D1309" s="60" t="s">
        <v>3296</v>
      </c>
      <c r="E1309" s="33">
        <v>741177258</v>
      </c>
      <c r="F1309" s="1" t="s">
        <v>3297</v>
      </c>
      <c r="G1309" s="1"/>
      <c r="H1309" s="60" t="s">
        <v>3298</v>
      </c>
      <c r="I1309" s="88" t="s">
        <v>3299</v>
      </c>
      <c r="J1309" s="60">
        <v>709336000</v>
      </c>
      <c r="K1309" s="60" t="s">
        <v>3300</v>
      </c>
    </row>
    <row r="1310" spans="1:11" ht="14.25">
      <c r="A1310" s="60" t="s">
        <v>3301</v>
      </c>
      <c r="B1310" s="60"/>
      <c r="C1310" s="60" t="s">
        <v>3302</v>
      </c>
      <c r="D1310" s="322" t="s">
        <v>3303</v>
      </c>
      <c r="E1310" s="322">
        <v>112398534</v>
      </c>
      <c r="F1310" s="60" t="s">
        <v>3304</v>
      </c>
      <c r="G1310" s="60"/>
      <c r="H1310" s="322" t="s">
        <v>3305</v>
      </c>
      <c r="I1310" s="60" t="s">
        <v>3306</v>
      </c>
      <c r="J1310" s="60">
        <v>737409416</v>
      </c>
      <c r="K1310" s="323" t="s">
        <v>1101</v>
      </c>
    </row>
    <row r="1311" spans="1:11" ht="12.75">
      <c r="A1311" s="60" t="s">
        <v>3307</v>
      </c>
      <c r="B1311" s="60"/>
      <c r="C1311" s="60" t="s">
        <v>3308</v>
      </c>
      <c r="D1311" s="60" t="s">
        <v>3226</v>
      </c>
      <c r="E1311" s="157">
        <v>769498120</v>
      </c>
      <c r="F1311" s="1" t="s">
        <v>3309</v>
      </c>
      <c r="G1311" s="1"/>
      <c r="H1311" s="60" t="s">
        <v>3310</v>
      </c>
      <c r="I1311" s="88" t="s">
        <v>3311</v>
      </c>
      <c r="J1311" s="60">
        <v>721313385</v>
      </c>
      <c r="K1311" s="60" t="s">
        <v>3312</v>
      </c>
    </row>
    <row r="1312" spans="1:11" ht="12.75">
      <c r="A1312" s="60" t="s">
        <v>3313</v>
      </c>
      <c r="B1312" s="60"/>
      <c r="C1312" s="60" t="s">
        <v>3314</v>
      </c>
      <c r="D1312" s="60" t="s">
        <v>3315</v>
      </c>
      <c r="E1312" s="157">
        <v>796572697</v>
      </c>
      <c r="F1312" s="1" t="s">
        <v>3316</v>
      </c>
      <c r="G1312" s="1"/>
      <c r="H1312" s="60" t="s">
        <v>3317</v>
      </c>
      <c r="I1312" s="88" t="s">
        <v>218</v>
      </c>
      <c r="J1312" s="60">
        <v>791486125</v>
      </c>
      <c r="K1312" s="324" t="s">
        <v>298</v>
      </c>
    </row>
    <row r="1313" spans="1:11" ht="12.75">
      <c r="A1313" s="60" t="s">
        <v>3318</v>
      </c>
      <c r="B1313" s="60"/>
      <c r="C1313" s="60" t="s">
        <v>3319</v>
      </c>
      <c r="D1313" s="60" t="s">
        <v>294</v>
      </c>
      <c r="E1313" s="157">
        <v>769967644</v>
      </c>
      <c r="F1313" s="1" t="s">
        <v>3320</v>
      </c>
      <c r="G1313" s="1"/>
      <c r="H1313" s="60" t="s">
        <v>3321</v>
      </c>
      <c r="I1313" s="88" t="s">
        <v>2573</v>
      </c>
      <c r="J1313" s="60">
        <v>773914887</v>
      </c>
      <c r="K1313" s="325"/>
    </row>
    <row r="1314" spans="1:11" ht="12.75">
      <c r="A1314" s="60" t="s">
        <v>3322</v>
      </c>
      <c r="B1314" s="60"/>
      <c r="C1314" s="60" t="s">
        <v>3323</v>
      </c>
      <c r="D1314" s="60" t="s">
        <v>873</v>
      </c>
      <c r="E1314" s="157">
        <v>740625956</v>
      </c>
      <c r="F1314" s="1" t="s">
        <v>3324</v>
      </c>
      <c r="G1314" s="1"/>
      <c r="H1314" s="60" t="s">
        <v>3325</v>
      </c>
      <c r="I1314" s="88" t="s">
        <v>650</v>
      </c>
      <c r="J1314" s="60">
        <v>786587124</v>
      </c>
      <c r="K1314" s="60" t="s">
        <v>3326</v>
      </c>
    </row>
    <row r="1315" spans="1:11" ht="12.75">
      <c r="A1315" s="60" t="s">
        <v>3327</v>
      </c>
      <c r="B1315" s="60"/>
      <c r="C1315" s="60" t="s">
        <v>3328</v>
      </c>
      <c r="D1315" s="60" t="s">
        <v>353</v>
      </c>
      <c r="E1315" s="157">
        <v>110007136</v>
      </c>
      <c r="F1315" s="1" t="s">
        <v>3329</v>
      </c>
      <c r="G1315" s="1"/>
      <c r="H1315" s="60" t="s">
        <v>3330</v>
      </c>
      <c r="I1315" s="88" t="s">
        <v>3331</v>
      </c>
      <c r="J1315" s="60">
        <v>724350995</v>
      </c>
      <c r="K1315" s="60" t="s">
        <v>3332</v>
      </c>
    </row>
    <row r="1316" spans="1:11" ht="12.75">
      <c r="A1316" s="60" t="s">
        <v>3333</v>
      </c>
      <c r="B1316" s="60"/>
      <c r="C1316" s="60" t="s">
        <v>3334</v>
      </c>
      <c r="D1316" s="60" t="s">
        <v>2530</v>
      </c>
      <c r="E1316" s="157">
        <v>794110542</v>
      </c>
      <c r="F1316" s="1" t="s">
        <v>3335</v>
      </c>
      <c r="G1316" s="1"/>
      <c r="H1316" s="60" t="s">
        <v>3336</v>
      </c>
      <c r="I1316" s="88" t="s">
        <v>1940</v>
      </c>
      <c r="J1316" s="60">
        <v>110566855</v>
      </c>
      <c r="K1316" s="60" t="s">
        <v>3337</v>
      </c>
    </row>
    <row r="1317" spans="1:11" ht="12.75">
      <c r="A1317" s="60" t="s">
        <v>3338</v>
      </c>
      <c r="B1317" s="60"/>
      <c r="C1317" s="60" t="s">
        <v>3339</v>
      </c>
      <c r="D1317" s="60" t="s">
        <v>3148</v>
      </c>
      <c r="E1317" s="157">
        <v>758540363</v>
      </c>
      <c r="F1317" s="1" t="s">
        <v>3340</v>
      </c>
      <c r="G1317" s="1"/>
      <c r="H1317" s="60" t="s">
        <v>3341</v>
      </c>
      <c r="I1317" s="88" t="s">
        <v>3342</v>
      </c>
      <c r="J1317" s="60">
        <v>741793180</v>
      </c>
      <c r="K1317" s="60" t="s">
        <v>3343</v>
      </c>
    </row>
    <row r="1318" spans="1:11" ht="12.75">
      <c r="A1318" s="60" t="s">
        <v>3344</v>
      </c>
      <c r="B1318" s="60"/>
      <c r="C1318" s="60" t="s">
        <v>3147</v>
      </c>
      <c r="D1318" s="60" t="s">
        <v>3148</v>
      </c>
      <c r="E1318" s="157">
        <v>746064866</v>
      </c>
      <c r="F1318" s="1" t="s">
        <v>3345</v>
      </c>
      <c r="G1318" s="1"/>
      <c r="H1318" s="60" t="s">
        <v>1625</v>
      </c>
      <c r="I1318" s="88" t="s">
        <v>3346</v>
      </c>
      <c r="J1318" s="60">
        <v>750244083</v>
      </c>
      <c r="K1318" s="60" t="s">
        <v>1627</v>
      </c>
    </row>
    <row r="1319" spans="1:11" ht="12.75">
      <c r="A1319" s="60" t="s">
        <v>3347</v>
      </c>
      <c r="B1319" s="60"/>
      <c r="C1319" s="60" t="s">
        <v>3348</v>
      </c>
      <c r="D1319" s="60" t="s">
        <v>873</v>
      </c>
      <c r="E1319" s="157">
        <v>797933046</v>
      </c>
      <c r="F1319" s="1" t="s">
        <v>3349</v>
      </c>
      <c r="G1319" s="1"/>
      <c r="H1319" s="60" t="s">
        <v>3350</v>
      </c>
      <c r="I1319" s="88" t="s">
        <v>3351</v>
      </c>
      <c r="J1319" s="60">
        <v>729754388</v>
      </c>
      <c r="K1319" s="60" t="s">
        <v>3352</v>
      </c>
    </row>
    <row r="1320" spans="1:11" ht="12.75">
      <c r="A1320" s="60" t="s">
        <v>3353</v>
      </c>
      <c r="B1320" s="60"/>
      <c r="C1320" s="60" t="s">
        <v>3354</v>
      </c>
      <c r="D1320" s="60" t="s">
        <v>2275</v>
      </c>
      <c r="E1320" s="157">
        <v>113870405</v>
      </c>
      <c r="F1320" s="1" t="s">
        <v>3355</v>
      </c>
      <c r="G1320" s="1"/>
      <c r="H1320" s="60" t="s">
        <v>3356</v>
      </c>
      <c r="I1320" s="88" t="s">
        <v>3357</v>
      </c>
      <c r="J1320" s="88" t="s">
        <v>3358</v>
      </c>
      <c r="K1320" s="60" t="s">
        <v>3359</v>
      </c>
    </row>
    <row r="1321" spans="1:11" ht="12.75">
      <c r="A1321" s="60" t="s">
        <v>3360</v>
      </c>
      <c r="B1321" s="60"/>
      <c r="C1321" s="60" t="s">
        <v>3361</v>
      </c>
      <c r="D1321" s="60" t="s">
        <v>2797</v>
      </c>
      <c r="E1321" s="157">
        <v>748901614</v>
      </c>
      <c r="F1321" s="1" t="s">
        <v>3362</v>
      </c>
      <c r="G1321" s="1"/>
      <c r="H1321" s="60" t="s">
        <v>3363</v>
      </c>
      <c r="I1321" s="88" t="s">
        <v>3364</v>
      </c>
      <c r="J1321" s="88">
        <v>727703184</v>
      </c>
      <c r="K1321" s="60" t="s">
        <v>2348</v>
      </c>
    </row>
    <row r="1322" spans="1:11" ht="12.75">
      <c r="A1322" s="60" t="s">
        <v>3365</v>
      </c>
      <c r="B1322" s="60"/>
      <c r="C1322" s="60" t="s">
        <v>3366</v>
      </c>
      <c r="D1322" s="60" t="s">
        <v>2797</v>
      </c>
      <c r="E1322" s="157">
        <v>745772564</v>
      </c>
      <c r="F1322" s="1" t="s">
        <v>3367</v>
      </c>
      <c r="G1322" s="1"/>
      <c r="I1322" s="248"/>
    </row>
    <row r="1323" spans="1:11" ht="12.75">
      <c r="A1323" s="60" t="s">
        <v>3368</v>
      </c>
      <c r="B1323" s="60"/>
      <c r="C1323" s="60" t="s">
        <v>3369</v>
      </c>
      <c r="D1323" s="60" t="s">
        <v>951</v>
      </c>
      <c r="E1323" s="157">
        <v>794852220</v>
      </c>
      <c r="F1323" s="1" t="s">
        <v>3370</v>
      </c>
      <c r="G1323" s="1"/>
      <c r="I1323" s="248"/>
    </row>
    <row r="1324" spans="1:11" ht="12.75">
      <c r="A1324" s="1" t="s">
        <v>3371</v>
      </c>
      <c r="B1324" s="1"/>
      <c r="C1324" s="1" t="s">
        <v>3372</v>
      </c>
      <c r="D1324" s="1" t="s">
        <v>2797</v>
      </c>
      <c r="E1324" s="33">
        <v>799140860</v>
      </c>
      <c r="F1324" s="1" t="s">
        <v>3373</v>
      </c>
      <c r="G1324" s="1"/>
      <c r="H1324" s="1" t="s">
        <v>3374</v>
      </c>
      <c r="I1324" s="15" t="s">
        <v>3375</v>
      </c>
      <c r="J1324" s="2">
        <f>254729333444</f>
        <v>254729333444</v>
      </c>
      <c r="K1324" s="1" t="s">
        <v>112</v>
      </c>
    </row>
    <row r="1325" spans="1:11" ht="12.75">
      <c r="A1325" s="60" t="s">
        <v>3376</v>
      </c>
      <c r="B1325" s="60"/>
      <c r="C1325" s="60" t="s">
        <v>3377</v>
      </c>
      <c r="D1325" s="60" t="s">
        <v>306</v>
      </c>
      <c r="E1325" s="157">
        <v>114003304</v>
      </c>
      <c r="F1325" s="1" t="s">
        <v>3378</v>
      </c>
      <c r="G1325" s="1"/>
      <c r="H1325" s="60" t="s">
        <v>3379</v>
      </c>
      <c r="I1325" s="88" t="s">
        <v>3380</v>
      </c>
      <c r="J1325" s="212">
        <f>254703012000</f>
        <v>254703012000</v>
      </c>
      <c r="K1325" s="60" t="s">
        <v>3381</v>
      </c>
    </row>
    <row r="1326" spans="1:11" ht="12.75">
      <c r="A1326" s="60" t="s">
        <v>3382</v>
      </c>
      <c r="B1326" s="60"/>
      <c r="C1326" s="60" t="s">
        <v>3383</v>
      </c>
      <c r="D1326" s="60" t="s">
        <v>1753</v>
      </c>
      <c r="E1326" s="157">
        <v>705400128</v>
      </c>
      <c r="F1326" s="1" t="s">
        <v>3384</v>
      </c>
      <c r="G1326" s="1"/>
      <c r="H1326" s="170" t="s">
        <v>3385</v>
      </c>
      <c r="I1326" s="326" t="s">
        <v>41</v>
      </c>
      <c r="J1326" s="60">
        <v>202054354</v>
      </c>
      <c r="K1326" s="60" t="s">
        <v>224</v>
      </c>
    </row>
    <row r="1327" spans="1:11" ht="12.75">
      <c r="A1327" s="60" t="s">
        <v>3386</v>
      </c>
      <c r="B1327" s="60"/>
      <c r="C1327" s="60" t="s">
        <v>3387</v>
      </c>
      <c r="D1327" s="60" t="s">
        <v>155</v>
      </c>
      <c r="E1327" s="267"/>
      <c r="F1327" s="2"/>
      <c r="G1327" s="2"/>
      <c r="H1327" s="60"/>
      <c r="I1327" s="88"/>
      <c r="J1327" s="60"/>
      <c r="K1327" s="60"/>
    </row>
    <row r="1328" spans="1:11" ht="12.75">
      <c r="A1328" s="60" t="s">
        <v>3388</v>
      </c>
      <c r="B1328" s="60"/>
      <c r="C1328" s="60" t="s">
        <v>3389</v>
      </c>
      <c r="D1328" s="60" t="s">
        <v>3390</v>
      </c>
      <c r="E1328" s="157">
        <v>726021471</v>
      </c>
      <c r="F1328" s="1" t="s">
        <v>3391</v>
      </c>
      <c r="G1328" s="1"/>
      <c r="H1328" s="60" t="s">
        <v>3392</v>
      </c>
      <c r="I1328" s="88" t="s">
        <v>59</v>
      </c>
      <c r="J1328" s="60">
        <v>727806184</v>
      </c>
      <c r="K1328" s="60" t="s">
        <v>3393</v>
      </c>
    </row>
    <row r="1329" spans="1:11" ht="12.75">
      <c r="A1329" s="60" t="s">
        <v>3394</v>
      </c>
      <c r="B1329" s="60"/>
      <c r="C1329" s="60" t="s">
        <v>3395</v>
      </c>
      <c r="D1329" s="60" t="s">
        <v>3390</v>
      </c>
      <c r="E1329" s="157">
        <v>719115920</v>
      </c>
      <c r="F1329" s="1" t="s">
        <v>3391</v>
      </c>
      <c r="G1329" s="1"/>
      <c r="H1329" s="60" t="s">
        <v>3396</v>
      </c>
      <c r="I1329" s="88" t="s">
        <v>59</v>
      </c>
      <c r="J1329" s="60">
        <v>727806184</v>
      </c>
      <c r="K1329" s="60" t="s">
        <v>3397</v>
      </c>
    </row>
    <row r="1330" spans="1:11" ht="12.75">
      <c r="A1330" s="60" t="s">
        <v>3398</v>
      </c>
      <c r="B1330" s="60"/>
      <c r="C1330" s="60" t="s">
        <v>340</v>
      </c>
      <c r="D1330" s="60" t="s">
        <v>38</v>
      </c>
      <c r="E1330" s="157">
        <v>768441549</v>
      </c>
      <c r="F1330" s="1" t="s">
        <v>342</v>
      </c>
      <c r="G1330" s="1"/>
      <c r="H1330" s="60" t="s">
        <v>343</v>
      </c>
      <c r="I1330" s="88" t="s">
        <v>356</v>
      </c>
      <c r="J1330" s="212">
        <f>254710453693</f>
        <v>254710453693</v>
      </c>
      <c r="K1330" s="60" t="s">
        <v>3399</v>
      </c>
    </row>
    <row r="1331" spans="1:11" ht="12.75">
      <c r="A1331" s="60" t="s">
        <v>3400</v>
      </c>
      <c r="B1331" s="60"/>
      <c r="C1331" s="60" t="s">
        <v>37</v>
      </c>
      <c r="D1331" s="60" t="s">
        <v>38</v>
      </c>
      <c r="E1331" s="157">
        <v>745169043</v>
      </c>
      <c r="F1331" s="1" t="s">
        <v>342</v>
      </c>
      <c r="G1331" s="1"/>
      <c r="H1331" s="60" t="s">
        <v>343</v>
      </c>
      <c r="I1331" s="88" t="s">
        <v>356</v>
      </c>
      <c r="J1331" s="60">
        <v>254710453693</v>
      </c>
      <c r="K1331" s="60" t="s">
        <v>3399</v>
      </c>
    </row>
    <row r="1332" spans="1:11" ht="12.75">
      <c r="A1332" s="60" t="s">
        <v>3401</v>
      </c>
      <c r="B1332" s="60"/>
      <c r="C1332" s="60" t="s">
        <v>3402</v>
      </c>
      <c r="D1332" s="60" t="s">
        <v>1753</v>
      </c>
      <c r="E1332" s="157">
        <v>705228088</v>
      </c>
      <c r="F1332" s="1" t="s">
        <v>3384</v>
      </c>
      <c r="G1332" s="1"/>
      <c r="H1332" s="60" t="s">
        <v>3403</v>
      </c>
      <c r="I1332" s="88" t="s">
        <v>41</v>
      </c>
      <c r="J1332" s="60">
        <v>202054354</v>
      </c>
      <c r="K1332" s="60" t="s">
        <v>224</v>
      </c>
    </row>
    <row r="1333" spans="1:11" ht="12.75">
      <c r="A1333" s="60" t="s">
        <v>3404</v>
      </c>
      <c r="B1333" s="60"/>
      <c r="C1333" s="60" t="s">
        <v>3405</v>
      </c>
      <c r="D1333" s="60" t="s">
        <v>3406</v>
      </c>
      <c r="E1333" s="157">
        <v>793926103</v>
      </c>
      <c r="F1333" s="1" t="s">
        <v>3407</v>
      </c>
      <c r="G1333" s="1"/>
      <c r="I1333" s="88" t="s">
        <v>237</v>
      </c>
    </row>
    <row r="1334" spans="1:11" ht="12.75">
      <c r="A1334" s="60" t="s">
        <v>3408</v>
      </c>
      <c r="B1334" s="60"/>
      <c r="C1334" s="60" t="s">
        <v>3409</v>
      </c>
      <c r="D1334" s="60" t="s">
        <v>3410</v>
      </c>
      <c r="E1334" s="157">
        <v>742138041</v>
      </c>
      <c r="F1334" s="1" t="s">
        <v>3411</v>
      </c>
      <c r="G1334" s="1"/>
      <c r="I1334" s="88" t="s">
        <v>3412</v>
      </c>
      <c r="J1334" s="60">
        <v>723888772</v>
      </c>
      <c r="K1334" s="60" t="s">
        <v>1627</v>
      </c>
    </row>
    <row r="1335" spans="1:11" ht="12.75">
      <c r="A1335" s="60" t="s">
        <v>3413</v>
      </c>
      <c r="B1335" s="60"/>
      <c r="C1335" s="60" t="s">
        <v>3414</v>
      </c>
      <c r="D1335" s="60" t="s">
        <v>1753</v>
      </c>
      <c r="E1335" s="157">
        <v>799352897</v>
      </c>
      <c r="F1335" s="1" t="s">
        <v>3415</v>
      </c>
      <c r="G1335" s="1"/>
      <c r="H1335" s="60" t="s">
        <v>3416</v>
      </c>
      <c r="I1335" s="88" t="s">
        <v>3417</v>
      </c>
      <c r="K1335" s="60" t="s">
        <v>3418</v>
      </c>
    </row>
    <row r="1336" spans="1:11" ht="12.75">
      <c r="A1336" s="60" t="s">
        <v>3419</v>
      </c>
      <c r="B1336" s="60"/>
      <c r="C1336" s="60" t="s">
        <v>3420</v>
      </c>
      <c r="D1336" s="60" t="s">
        <v>3421</v>
      </c>
      <c r="E1336" s="157">
        <v>716270697</v>
      </c>
      <c r="F1336" s="1" t="s">
        <v>3422</v>
      </c>
      <c r="G1336" s="1"/>
      <c r="I1336" s="248"/>
    </row>
    <row r="1337" spans="1:11" ht="12.75">
      <c r="A1337" s="60" t="s">
        <v>3423</v>
      </c>
      <c r="B1337" s="60"/>
      <c r="C1337" s="60" t="s">
        <v>3424</v>
      </c>
      <c r="D1337" s="60" t="s">
        <v>1829</v>
      </c>
      <c r="E1337" s="157">
        <v>741907049</v>
      </c>
      <c r="F1337" s="1" t="s">
        <v>3425</v>
      </c>
      <c r="G1337" s="1"/>
      <c r="H1337" s="60" t="s">
        <v>3426</v>
      </c>
      <c r="I1337" s="88" t="s">
        <v>218</v>
      </c>
      <c r="K1337" s="60" t="s">
        <v>3427</v>
      </c>
    </row>
    <row r="1338" spans="1:11" ht="12.75">
      <c r="A1338" s="60" t="s">
        <v>3428</v>
      </c>
      <c r="B1338" s="60"/>
      <c r="C1338" s="60" t="s">
        <v>3429</v>
      </c>
      <c r="D1338" s="60" t="s">
        <v>78</v>
      </c>
      <c r="E1338" s="157">
        <v>796130595</v>
      </c>
      <c r="F1338" s="1" t="s">
        <v>3430</v>
      </c>
      <c r="G1338" s="1"/>
      <c r="H1338" s="60" t="s">
        <v>3431</v>
      </c>
      <c r="I1338" s="88" t="s">
        <v>3432</v>
      </c>
      <c r="J1338" s="60">
        <v>724248858</v>
      </c>
      <c r="K1338" s="60" t="s">
        <v>3433</v>
      </c>
    </row>
    <row r="1339" spans="1:11" ht="12.75">
      <c r="A1339" s="60" t="s">
        <v>3434</v>
      </c>
      <c r="B1339" s="60"/>
      <c r="C1339" s="60" t="s">
        <v>3435</v>
      </c>
      <c r="D1339" s="60" t="s">
        <v>3148</v>
      </c>
      <c r="E1339" s="157">
        <v>741067892</v>
      </c>
      <c r="F1339" s="1" t="s">
        <v>3436</v>
      </c>
      <c r="G1339" s="1"/>
      <c r="H1339" s="60" t="s">
        <v>3437</v>
      </c>
      <c r="I1339" s="88" t="s">
        <v>3438</v>
      </c>
      <c r="J1339" s="60">
        <v>723428144</v>
      </c>
      <c r="K1339" s="60" t="s">
        <v>3439</v>
      </c>
    </row>
    <row r="1340" spans="1:11" ht="12.75">
      <c r="A1340" s="60" t="s">
        <v>3440</v>
      </c>
      <c r="B1340" s="60"/>
      <c r="C1340" s="60" t="s">
        <v>3441</v>
      </c>
      <c r="D1340" s="60" t="s">
        <v>1753</v>
      </c>
      <c r="E1340" s="157">
        <v>111217678</v>
      </c>
      <c r="F1340" s="1" t="s">
        <v>3442</v>
      </c>
      <c r="G1340" s="1"/>
      <c r="H1340" s="60" t="s">
        <v>3443</v>
      </c>
      <c r="I1340" s="248"/>
    </row>
    <row r="1341" spans="1:11" ht="12.75">
      <c r="A1341" s="60" t="s">
        <v>3444</v>
      </c>
      <c r="B1341" s="60"/>
      <c r="C1341" s="60" t="s">
        <v>3445</v>
      </c>
      <c r="D1341" s="60" t="s">
        <v>2551</v>
      </c>
      <c r="E1341" s="157">
        <v>718807014</v>
      </c>
      <c r="F1341" s="1" t="s">
        <v>3446</v>
      </c>
      <c r="G1341" s="1"/>
      <c r="I1341" s="248"/>
    </row>
    <row r="1342" spans="1:11" ht="12.75">
      <c r="A1342" s="60" t="s">
        <v>3447</v>
      </c>
      <c r="C1342" s="60" t="s">
        <v>3448</v>
      </c>
      <c r="D1342" s="60" t="s">
        <v>3173</v>
      </c>
      <c r="E1342" s="157">
        <v>707494771</v>
      </c>
      <c r="F1342" s="1" t="s">
        <v>3449</v>
      </c>
      <c r="G1342" s="2"/>
      <c r="H1342" s="60" t="s">
        <v>3450</v>
      </c>
      <c r="I1342" s="88" t="s">
        <v>218</v>
      </c>
      <c r="J1342" s="60">
        <v>702638248</v>
      </c>
      <c r="K1342" s="60" t="s">
        <v>3451</v>
      </c>
    </row>
    <row r="1343" spans="1:11" ht="12.75">
      <c r="A1343" s="60" t="s">
        <v>3452</v>
      </c>
      <c r="B1343" s="60"/>
      <c r="C1343" s="60" t="s">
        <v>3453</v>
      </c>
      <c r="D1343" s="60" t="s">
        <v>341</v>
      </c>
      <c r="E1343" s="157">
        <v>756454096</v>
      </c>
      <c r="F1343" s="1" t="s">
        <v>3454</v>
      </c>
      <c r="G1343" s="1"/>
      <c r="H1343" s="60" t="s">
        <v>3455</v>
      </c>
      <c r="I1343" s="88" t="s">
        <v>269</v>
      </c>
      <c r="J1343" s="60">
        <v>700191991</v>
      </c>
      <c r="K1343" s="60" t="s">
        <v>3456</v>
      </c>
    </row>
    <row r="1344" spans="1:11" ht="12.75">
      <c r="A1344" s="60" t="s">
        <v>3457</v>
      </c>
      <c r="B1344" s="60"/>
      <c r="C1344" s="60" t="s">
        <v>3458</v>
      </c>
      <c r="D1344" s="60" t="s">
        <v>1328</v>
      </c>
      <c r="E1344" s="157">
        <v>726715050</v>
      </c>
      <c r="F1344" s="1" t="s">
        <v>3459</v>
      </c>
      <c r="G1344" s="1"/>
      <c r="H1344" s="60" t="s">
        <v>3460</v>
      </c>
      <c r="I1344" s="88" t="s">
        <v>269</v>
      </c>
      <c r="J1344" s="60">
        <v>742365240</v>
      </c>
      <c r="K1344" s="60" t="s">
        <v>3461</v>
      </c>
    </row>
    <row r="1345" spans="1:11" ht="12.75">
      <c r="A1345" s="60" t="s">
        <v>3462</v>
      </c>
      <c r="B1345" s="60"/>
      <c r="C1345" s="60" t="s">
        <v>3463</v>
      </c>
      <c r="D1345" s="60" t="s">
        <v>97</v>
      </c>
      <c r="E1345" s="157">
        <v>710518734</v>
      </c>
      <c r="F1345" s="1" t="s">
        <v>3464</v>
      </c>
      <c r="G1345" s="1"/>
      <c r="H1345" s="60" t="s">
        <v>3465</v>
      </c>
      <c r="I1345" s="88" t="s">
        <v>2001</v>
      </c>
      <c r="J1345" s="60">
        <v>717627108</v>
      </c>
      <c r="K1345" s="60" t="s">
        <v>3466</v>
      </c>
    </row>
    <row r="1346" spans="1:11" ht="12.75">
      <c r="A1346" s="60" t="s">
        <v>3467</v>
      </c>
      <c r="B1346" s="60"/>
      <c r="C1346" s="60" t="s">
        <v>3468</v>
      </c>
      <c r="D1346" s="60" t="s">
        <v>97</v>
      </c>
      <c r="E1346" s="157">
        <v>792530210</v>
      </c>
      <c r="F1346" s="1" t="s">
        <v>3469</v>
      </c>
      <c r="G1346" s="1"/>
      <c r="H1346" s="60" t="s">
        <v>3470</v>
      </c>
      <c r="I1346" s="88" t="s">
        <v>504</v>
      </c>
      <c r="J1346" s="60">
        <v>707424774</v>
      </c>
      <c r="K1346" s="60" t="s">
        <v>3471</v>
      </c>
    </row>
    <row r="1347" spans="1:11" ht="12.75">
      <c r="A1347" s="60" t="s">
        <v>3472</v>
      </c>
      <c r="B1347" s="60"/>
      <c r="C1347" s="60" t="s">
        <v>3473</v>
      </c>
      <c r="D1347" s="60" t="s">
        <v>97</v>
      </c>
      <c r="E1347" s="157">
        <v>793011044</v>
      </c>
      <c r="F1347" s="1" t="s">
        <v>3474</v>
      </c>
      <c r="G1347" s="1"/>
      <c r="H1347" s="60"/>
      <c r="I1347" s="88" t="s">
        <v>708</v>
      </c>
      <c r="J1347" s="60">
        <v>202054354</v>
      </c>
      <c r="K1347" s="60" t="s">
        <v>224</v>
      </c>
    </row>
    <row r="1348" spans="1:11" ht="12.75">
      <c r="A1348" s="60" t="s">
        <v>3475</v>
      </c>
      <c r="B1348" s="60"/>
      <c r="C1348" s="60" t="s">
        <v>3476</v>
      </c>
      <c r="D1348" s="60" t="s">
        <v>11</v>
      </c>
      <c r="E1348" s="157">
        <v>707452404</v>
      </c>
      <c r="F1348" s="1" t="s">
        <v>3477</v>
      </c>
      <c r="G1348" s="1"/>
      <c r="H1348" s="60" t="s">
        <v>719</v>
      </c>
      <c r="I1348" s="88" t="s">
        <v>1915</v>
      </c>
      <c r="J1348" s="60">
        <v>717372188</v>
      </c>
      <c r="K1348" s="60" t="s">
        <v>720</v>
      </c>
    </row>
    <row r="1349" spans="1:11" ht="12.75">
      <c r="A1349" s="60" t="s">
        <v>3478</v>
      </c>
      <c r="B1349" s="60"/>
      <c r="C1349" s="60" t="s">
        <v>3479</v>
      </c>
      <c r="D1349" s="60" t="s">
        <v>974</v>
      </c>
      <c r="E1349" s="157">
        <v>114123488</v>
      </c>
      <c r="F1349" s="1" t="s">
        <v>3480</v>
      </c>
      <c r="G1349" s="1"/>
      <c r="H1349" s="60" t="s">
        <v>3481</v>
      </c>
      <c r="I1349" s="88" t="s">
        <v>1939</v>
      </c>
      <c r="J1349" s="60">
        <v>727229446</v>
      </c>
      <c r="K1349" s="60" t="s">
        <v>3482</v>
      </c>
    </row>
    <row r="1350" spans="1:11" ht="12.75">
      <c r="A1350" s="60" t="s">
        <v>3483</v>
      </c>
      <c r="B1350" s="60"/>
      <c r="C1350" s="60" t="s">
        <v>3484</v>
      </c>
      <c r="D1350" s="60" t="s">
        <v>3485</v>
      </c>
      <c r="E1350" s="157">
        <v>792738674</v>
      </c>
      <c r="F1350" s="2"/>
      <c r="G1350" s="2"/>
      <c r="I1350" s="88"/>
      <c r="J1350" s="60"/>
    </row>
    <row r="1351" spans="1:11" ht="12.75">
      <c r="A1351" s="60" t="s">
        <v>3486</v>
      </c>
      <c r="B1351" s="60"/>
      <c r="C1351" s="60" t="s">
        <v>3487</v>
      </c>
      <c r="D1351" s="60" t="s">
        <v>3410</v>
      </c>
      <c r="E1351" s="157">
        <v>705879904</v>
      </c>
      <c r="F1351" s="1" t="s">
        <v>3488</v>
      </c>
      <c r="G1351" s="1"/>
      <c r="I1351" s="248"/>
    </row>
    <row r="1352" spans="1:11" ht="12.75">
      <c r="A1352" s="60" t="s">
        <v>3489</v>
      </c>
      <c r="B1352" s="60"/>
      <c r="C1352" s="60" t="s">
        <v>3490</v>
      </c>
      <c r="D1352" s="60" t="s">
        <v>2585</v>
      </c>
      <c r="E1352" s="157">
        <v>799138141</v>
      </c>
      <c r="F1352" s="1" t="s">
        <v>3491</v>
      </c>
      <c r="G1352" s="1"/>
      <c r="I1352" s="88" t="s">
        <v>100</v>
      </c>
    </row>
    <row r="1353" spans="1:11" ht="12.75">
      <c r="A1353" s="60" t="s">
        <v>3475</v>
      </c>
      <c r="B1353" s="60"/>
      <c r="E1353" s="267"/>
      <c r="F1353" s="2"/>
      <c r="G1353" s="2"/>
      <c r="I1353" s="248"/>
    </row>
    <row r="1354" spans="1:11" ht="12.75">
      <c r="A1354" s="60" t="s">
        <v>3492</v>
      </c>
      <c r="B1354" s="60"/>
      <c r="C1354" s="60" t="s">
        <v>3493</v>
      </c>
      <c r="D1354" s="60" t="s">
        <v>3494</v>
      </c>
      <c r="E1354" s="157">
        <v>790814593</v>
      </c>
      <c r="F1354" s="1" t="s">
        <v>39</v>
      </c>
      <c r="G1354" s="1"/>
      <c r="H1354" s="60" t="s">
        <v>355</v>
      </c>
      <c r="I1354" s="88" t="s">
        <v>14</v>
      </c>
      <c r="J1354" s="74">
        <v>715364294</v>
      </c>
      <c r="K1354" s="60" t="s">
        <v>105</v>
      </c>
    </row>
    <row r="1355" spans="1:11" ht="12.75">
      <c r="A1355" s="60" t="s">
        <v>3495</v>
      </c>
      <c r="B1355" s="60"/>
      <c r="C1355" s="60" t="s">
        <v>3496</v>
      </c>
      <c r="D1355" s="60"/>
      <c r="E1355" s="157">
        <v>731068195</v>
      </c>
      <c r="F1355" s="1" t="s">
        <v>3497</v>
      </c>
      <c r="G1355" s="1"/>
      <c r="H1355" s="60" t="s">
        <v>3498</v>
      </c>
      <c r="I1355" s="88" t="s">
        <v>732</v>
      </c>
      <c r="J1355" s="60">
        <v>793864086</v>
      </c>
      <c r="K1355" s="60" t="s">
        <v>3499</v>
      </c>
    </row>
    <row r="1356" spans="1:11" ht="12.75">
      <c r="A1356" s="60" t="s">
        <v>3500</v>
      </c>
      <c r="B1356" s="60"/>
      <c r="C1356" s="60" t="s">
        <v>3501</v>
      </c>
      <c r="D1356" s="60" t="s">
        <v>2452</v>
      </c>
      <c r="E1356" s="157">
        <v>791254076</v>
      </c>
      <c r="F1356" s="1" t="s">
        <v>3502</v>
      </c>
      <c r="G1356" s="1"/>
      <c r="H1356" s="60" t="s">
        <v>3503</v>
      </c>
      <c r="I1356" s="88" t="s">
        <v>852</v>
      </c>
    </row>
    <row r="1357" spans="1:11" ht="12.75">
      <c r="A1357" s="60" t="s">
        <v>3575</v>
      </c>
      <c r="C1357" s="60" t="s">
        <v>3576</v>
      </c>
      <c r="D1357" s="60" t="s">
        <v>1441</v>
      </c>
      <c r="E1357" s="157">
        <v>100658908</v>
      </c>
      <c r="F1357" s="1" t="s">
        <v>3577</v>
      </c>
      <c r="G1357" s="1"/>
      <c r="H1357" s="60" t="s">
        <v>3578</v>
      </c>
      <c r="I1357" s="88" t="s">
        <v>1218</v>
      </c>
      <c r="K1357" s="60" t="s">
        <v>145</v>
      </c>
    </row>
    <row r="1358" spans="1:11" ht="12.75">
      <c r="A1358" s="60" t="s">
        <v>3508</v>
      </c>
      <c r="B1358" s="60"/>
      <c r="C1358" s="60" t="s">
        <v>3509</v>
      </c>
      <c r="D1358" s="60" t="s">
        <v>1095</v>
      </c>
      <c r="E1358" s="157">
        <v>703380002</v>
      </c>
      <c r="F1358" s="1" t="s">
        <v>3510</v>
      </c>
      <c r="G1358" s="1"/>
      <c r="H1358" s="60" t="s">
        <v>3511</v>
      </c>
      <c r="I1358" s="88" t="s">
        <v>218</v>
      </c>
      <c r="J1358" s="60">
        <v>700611875</v>
      </c>
      <c r="K1358" s="60" t="s">
        <v>298</v>
      </c>
    </row>
    <row r="1359" spans="1:11" ht="12.75">
      <c r="A1359" s="60" t="s">
        <v>3512</v>
      </c>
      <c r="B1359" s="60"/>
      <c r="C1359" s="60" t="s">
        <v>3513</v>
      </c>
      <c r="D1359" s="60" t="s">
        <v>1095</v>
      </c>
      <c r="E1359" s="157">
        <v>741669984</v>
      </c>
      <c r="F1359" s="1" t="s">
        <v>3514</v>
      </c>
      <c r="G1359" s="1"/>
      <c r="I1359" s="248"/>
    </row>
    <row r="1360" spans="1:11" ht="12.75">
      <c r="A1360" s="60" t="s">
        <v>3515</v>
      </c>
      <c r="B1360" s="60"/>
      <c r="C1360" s="60" t="s">
        <v>3516</v>
      </c>
      <c r="D1360" s="60" t="s">
        <v>3517</v>
      </c>
      <c r="E1360" s="157">
        <v>792739371</v>
      </c>
      <c r="F1360" s="1" t="s">
        <v>3518</v>
      </c>
      <c r="G1360" s="1"/>
      <c r="H1360" s="60" t="s">
        <v>3519</v>
      </c>
      <c r="I1360" s="88" t="s">
        <v>218</v>
      </c>
      <c r="J1360" s="60">
        <v>719033000</v>
      </c>
      <c r="K1360" s="60" t="s">
        <v>3520</v>
      </c>
    </row>
    <row r="1361" spans="1:11" ht="12.75">
      <c r="C1361" s="60" t="s">
        <v>3521</v>
      </c>
      <c r="D1361" s="60" t="s">
        <v>68</v>
      </c>
      <c r="E1361" s="157">
        <v>790898307</v>
      </c>
      <c r="F1361" s="1" t="s">
        <v>3522</v>
      </c>
      <c r="G1361" s="1"/>
      <c r="H1361" s="60" t="s">
        <v>3523</v>
      </c>
      <c r="I1361" s="88" t="s">
        <v>1357</v>
      </c>
      <c r="K1361" s="60" t="s">
        <v>370</v>
      </c>
    </row>
    <row r="1362" spans="1:11" ht="12.75">
      <c r="A1362" s="60" t="s">
        <v>3524</v>
      </c>
      <c r="C1362" s="60" t="s">
        <v>3525</v>
      </c>
      <c r="D1362" s="69" t="s">
        <v>3526</v>
      </c>
      <c r="E1362" s="157">
        <v>743701512</v>
      </c>
      <c r="F1362" s="1" t="s">
        <v>3527</v>
      </c>
      <c r="G1362" s="2"/>
      <c r="H1362" s="60" t="s">
        <v>3528</v>
      </c>
      <c r="I1362" s="88" t="s">
        <v>237</v>
      </c>
      <c r="J1362" s="60">
        <v>700551110</v>
      </c>
      <c r="K1362" s="60" t="s">
        <v>3529</v>
      </c>
    </row>
    <row r="1363" spans="1:11" ht="12.75">
      <c r="A1363" s="60" t="s">
        <v>3579</v>
      </c>
      <c r="C1363" s="60" t="s">
        <v>3580</v>
      </c>
      <c r="D1363" s="60" t="s">
        <v>1441</v>
      </c>
      <c r="E1363" s="157">
        <v>708088087</v>
      </c>
      <c r="F1363" s="1" t="s">
        <v>3581</v>
      </c>
      <c r="G1363" s="2"/>
      <c r="H1363" s="60" t="s">
        <v>3582</v>
      </c>
      <c r="I1363" s="88" t="s">
        <v>218</v>
      </c>
      <c r="J1363" s="60">
        <v>703083000</v>
      </c>
      <c r="K1363" s="60" t="s">
        <v>3583</v>
      </c>
    </row>
    <row r="1364" spans="1:11" ht="12.75">
      <c r="A1364" s="60" t="s">
        <v>3584</v>
      </c>
      <c r="C1364" s="60" t="s">
        <v>3585</v>
      </c>
      <c r="D1364" s="60" t="s">
        <v>516</v>
      </c>
      <c r="E1364" s="157">
        <v>745910664</v>
      </c>
      <c r="F1364" s="1" t="s">
        <v>3586</v>
      </c>
      <c r="G1364" s="2"/>
      <c r="H1364" s="60" t="s">
        <v>3587</v>
      </c>
      <c r="I1364" s="88" t="s">
        <v>65</v>
      </c>
      <c r="J1364" s="60">
        <v>709900000</v>
      </c>
      <c r="K1364" s="60" t="s">
        <v>3588</v>
      </c>
    </row>
    <row r="1365" spans="1:11" ht="12.75">
      <c r="A1365" s="60" t="s">
        <v>3504</v>
      </c>
      <c r="C1365" s="60" t="s">
        <v>3505</v>
      </c>
      <c r="D1365" s="60" t="s">
        <v>475</v>
      </c>
      <c r="E1365" s="157">
        <v>740639313</v>
      </c>
      <c r="F1365" s="1" t="s">
        <v>3506</v>
      </c>
      <c r="G1365" s="2"/>
      <c r="H1365" s="60" t="s">
        <v>3556</v>
      </c>
      <c r="I1365" s="88" t="s">
        <v>1340</v>
      </c>
      <c r="J1365" s="60" t="s">
        <v>3507</v>
      </c>
      <c r="K1365" s="60" t="s">
        <v>2997</v>
      </c>
    </row>
    <row r="1366" spans="1:11" ht="12.75">
      <c r="E1366" s="267"/>
      <c r="F1366" s="2"/>
      <c r="G1366" s="2"/>
      <c r="I1366" s="248"/>
    </row>
    <row r="1367" spans="1:11" ht="12.75">
      <c r="E1367" s="267"/>
      <c r="F1367" s="2"/>
      <c r="G1367" s="2"/>
      <c r="I1367" s="248"/>
    </row>
    <row r="1368" spans="1:11" ht="12.75">
      <c r="E1368" s="267"/>
      <c r="F1368" s="2"/>
      <c r="G1368" s="2"/>
      <c r="I1368" s="248"/>
    </row>
    <row r="1369" spans="1:11" ht="12.75">
      <c r="E1369" s="267"/>
      <c r="F1369" s="2"/>
      <c r="G1369" s="2"/>
      <c r="I1369" s="248"/>
    </row>
    <row r="1370" spans="1:11" ht="12.75">
      <c r="E1370" s="267"/>
      <c r="F1370" s="2"/>
      <c r="G1370" s="2"/>
      <c r="I1370" s="248"/>
    </row>
    <row r="1371" spans="1:11" ht="12.75">
      <c r="E1371" s="267"/>
      <c r="F1371" s="2"/>
      <c r="G1371" s="2"/>
      <c r="I1371" s="248"/>
    </row>
    <row r="1372" spans="1:11" ht="12.75">
      <c r="E1372" s="267"/>
      <c r="F1372" s="2"/>
      <c r="G1372" s="2"/>
      <c r="I1372" s="248"/>
    </row>
    <row r="1373" spans="1:11" ht="12.75">
      <c r="E1373" s="267"/>
      <c r="F1373" s="2"/>
      <c r="G1373" s="2"/>
      <c r="I1373" s="248"/>
    </row>
    <row r="1374" spans="1:11" ht="12.75">
      <c r="E1374" s="267"/>
      <c r="F1374" s="2"/>
      <c r="G1374" s="2"/>
      <c r="I1374" s="248"/>
    </row>
    <row r="1375" spans="1:11" ht="12.75">
      <c r="E1375" s="267"/>
      <c r="F1375" s="2"/>
      <c r="G1375" s="2"/>
      <c r="I1375" s="248"/>
    </row>
    <row r="1376" spans="1:11" ht="12.75">
      <c r="E1376" s="267"/>
      <c r="F1376" s="2"/>
      <c r="G1376" s="2"/>
      <c r="I1376" s="248"/>
    </row>
    <row r="1377" spans="5:9" ht="12.75">
      <c r="E1377" s="267"/>
      <c r="F1377" s="2"/>
      <c r="G1377" s="2"/>
      <c r="I1377" s="248"/>
    </row>
    <row r="1378" spans="5:9" ht="12.75">
      <c r="E1378" s="267"/>
      <c r="F1378" s="2"/>
      <c r="G1378" s="2"/>
      <c r="I1378" s="248"/>
    </row>
    <row r="1379" spans="5:9" ht="12.75">
      <c r="E1379" s="267"/>
      <c r="F1379" s="2"/>
      <c r="G1379" s="2"/>
      <c r="I1379" s="248"/>
    </row>
    <row r="1380" spans="5:9" ht="12.75">
      <c r="E1380" s="267"/>
      <c r="F1380" s="2"/>
      <c r="G1380" s="2"/>
      <c r="I1380" s="248"/>
    </row>
    <row r="1381" spans="5:9" ht="12.75">
      <c r="E1381" s="267"/>
      <c r="F1381" s="2"/>
      <c r="G1381" s="2"/>
      <c r="I1381" s="248"/>
    </row>
    <row r="1382" spans="5:9" ht="12.75">
      <c r="E1382" s="267"/>
      <c r="F1382" s="2"/>
      <c r="G1382" s="2"/>
      <c r="I1382" s="248"/>
    </row>
    <row r="1383" spans="5:9" ht="12.75">
      <c r="E1383" s="267"/>
      <c r="F1383" s="2"/>
      <c r="G1383" s="2"/>
      <c r="I1383" s="248"/>
    </row>
    <row r="1384" spans="5:9" ht="12.75">
      <c r="E1384" s="267"/>
      <c r="F1384" s="2"/>
      <c r="G1384" s="2"/>
      <c r="I1384" s="248"/>
    </row>
    <row r="1385" spans="5:9" ht="12.75">
      <c r="E1385" s="267"/>
      <c r="F1385" s="2"/>
      <c r="G1385" s="2"/>
      <c r="I1385" s="248"/>
    </row>
    <row r="1386" spans="5:9" ht="12.75">
      <c r="E1386" s="267"/>
      <c r="F1386" s="2"/>
      <c r="G1386" s="2"/>
      <c r="I1386" s="248"/>
    </row>
    <row r="1387" spans="5:9" ht="12.75">
      <c r="E1387" s="267"/>
      <c r="F1387" s="2"/>
      <c r="G1387" s="2"/>
      <c r="I1387" s="248"/>
    </row>
    <row r="1388" spans="5:9" ht="12.75">
      <c r="E1388" s="267"/>
      <c r="F1388" s="2"/>
      <c r="G1388" s="2"/>
      <c r="I1388" s="248"/>
    </row>
    <row r="1389" spans="5:9" ht="12.75">
      <c r="E1389" s="267"/>
      <c r="F1389" s="2"/>
      <c r="G1389" s="2"/>
      <c r="I1389" s="248"/>
    </row>
    <row r="1390" spans="5:9" ht="12.75">
      <c r="E1390" s="267"/>
      <c r="F1390" s="2"/>
      <c r="G1390" s="2"/>
      <c r="I1390" s="248"/>
    </row>
    <row r="1391" spans="5:9" ht="12.75">
      <c r="E1391" s="267"/>
      <c r="F1391" s="2"/>
      <c r="G1391" s="2"/>
      <c r="I1391" s="248"/>
    </row>
    <row r="1392" spans="5:9" ht="12.75">
      <c r="E1392" s="267"/>
      <c r="F1392" s="2"/>
      <c r="G1392" s="2"/>
      <c r="I1392" s="248"/>
    </row>
    <row r="1393" spans="5:9" ht="12.75">
      <c r="E1393" s="267"/>
      <c r="F1393" s="2"/>
      <c r="G1393" s="2"/>
      <c r="I1393" s="248"/>
    </row>
    <row r="1394" spans="5:9" ht="12.75">
      <c r="E1394" s="267"/>
      <c r="F1394" s="2"/>
      <c r="G1394" s="2"/>
      <c r="I1394" s="248"/>
    </row>
    <row r="1395" spans="5:9" ht="12.75">
      <c r="E1395" s="267"/>
      <c r="F1395" s="2"/>
      <c r="G1395" s="2"/>
      <c r="I1395" s="248"/>
    </row>
    <row r="1396" spans="5:9" ht="12.75">
      <c r="E1396" s="267"/>
      <c r="F1396" s="2"/>
      <c r="G1396" s="2"/>
      <c r="I1396" s="248"/>
    </row>
    <row r="1397" spans="5:9" ht="12.75">
      <c r="E1397" s="267"/>
      <c r="F1397" s="2"/>
      <c r="G1397" s="2"/>
      <c r="I1397" s="248"/>
    </row>
    <row r="1398" spans="5:9" ht="12.75">
      <c r="E1398" s="267"/>
      <c r="F1398" s="2"/>
      <c r="G1398" s="2"/>
      <c r="I1398" s="248"/>
    </row>
    <row r="1399" spans="5:9" ht="12.75">
      <c r="E1399" s="267"/>
      <c r="F1399" s="2"/>
      <c r="G1399" s="2"/>
      <c r="I1399" s="248"/>
    </row>
    <row r="1400" spans="5:9" ht="12.75">
      <c r="E1400" s="267"/>
      <c r="F1400" s="2"/>
      <c r="G1400" s="2"/>
      <c r="I1400" s="248"/>
    </row>
    <row r="1401" spans="5:9" ht="12.75">
      <c r="E1401" s="267"/>
      <c r="F1401" s="2"/>
      <c r="G1401" s="2"/>
      <c r="I1401" s="248"/>
    </row>
    <row r="1402" spans="5:9" ht="12.75">
      <c r="E1402" s="267"/>
      <c r="F1402" s="2"/>
      <c r="G1402" s="2"/>
      <c r="I1402" s="248"/>
    </row>
    <row r="1403" spans="5:9" ht="12.75">
      <c r="E1403" s="267"/>
      <c r="F1403" s="2"/>
      <c r="G1403" s="2"/>
      <c r="I1403" s="248"/>
    </row>
    <row r="1404" spans="5:9" ht="12.75">
      <c r="E1404" s="267"/>
      <c r="F1404" s="2"/>
      <c r="G1404" s="2"/>
      <c r="I1404" s="248"/>
    </row>
    <row r="1405" spans="5:9" ht="12.75">
      <c r="E1405" s="267"/>
      <c r="F1405" s="2"/>
      <c r="G1405" s="2"/>
      <c r="I1405" s="248"/>
    </row>
    <row r="1406" spans="5:9" ht="12.75">
      <c r="E1406" s="267"/>
      <c r="F1406" s="2"/>
      <c r="G1406" s="2"/>
      <c r="I1406" s="248"/>
    </row>
    <row r="1407" spans="5:9" ht="12.75">
      <c r="E1407" s="267"/>
      <c r="F1407" s="2"/>
      <c r="G1407" s="2"/>
      <c r="I1407" s="248"/>
    </row>
    <row r="1408" spans="5:9" ht="12.75">
      <c r="E1408" s="267"/>
      <c r="F1408" s="2"/>
      <c r="G1408" s="2"/>
      <c r="I1408" s="248"/>
    </row>
    <row r="1409" spans="5:9" ht="12.75">
      <c r="E1409" s="267"/>
      <c r="F1409" s="2"/>
      <c r="G1409" s="2"/>
      <c r="I1409" s="248"/>
    </row>
    <row r="1410" spans="5:9" ht="12.75">
      <c r="E1410" s="267"/>
      <c r="F1410" s="2"/>
      <c r="G1410" s="2"/>
      <c r="I1410" s="248"/>
    </row>
    <row r="1411" spans="5:9" ht="12.75">
      <c r="E1411" s="267"/>
      <c r="F1411" s="2"/>
      <c r="G1411" s="2"/>
      <c r="I1411" s="248"/>
    </row>
    <row r="1412" spans="5:9" ht="12.75">
      <c r="E1412" s="267"/>
      <c r="F1412" s="2"/>
      <c r="G1412" s="2"/>
      <c r="I1412" s="248"/>
    </row>
    <row r="1413" spans="5:9" ht="12.75">
      <c r="E1413" s="267"/>
      <c r="F1413" s="2"/>
      <c r="G1413" s="2"/>
      <c r="I1413" s="248"/>
    </row>
    <row r="1414" spans="5:9" ht="12.75">
      <c r="E1414" s="267"/>
      <c r="F1414" s="2"/>
      <c r="G1414" s="2"/>
      <c r="I1414" s="248"/>
    </row>
    <row r="1415" spans="5:9" ht="12.75">
      <c r="E1415" s="267"/>
      <c r="F1415" s="2"/>
      <c r="G1415" s="2"/>
      <c r="I1415" s="248"/>
    </row>
    <row r="1416" spans="5:9" ht="12.75">
      <c r="E1416" s="267"/>
      <c r="F1416" s="2"/>
      <c r="G1416" s="2"/>
      <c r="I1416" s="248"/>
    </row>
    <row r="1417" spans="5:9" ht="12.75">
      <c r="E1417" s="267"/>
      <c r="F1417" s="2"/>
      <c r="G1417" s="2"/>
      <c r="I1417" s="248"/>
    </row>
    <row r="1418" spans="5:9" ht="12.75">
      <c r="E1418" s="267"/>
      <c r="F1418" s="2"/>
      <c r="G1418" s="2"/>
      <c r="I1418" s="248"/>
    </row>
    <row r="1419" spans="5:9" ht="12.75">
      <c r="E1419" s="267"/>
      <c r="F1419" s="2"/>
      <c r="G1419" s="2"/>
      <c r="I1419" s="248"/>
    </row>
    <row r="1420" spans="5:9" ht="12.75">
      <c r="E1420" s="267"/>
      <c r="F1420" s="2"/>
      <c r="G1420" s="2"/>
      <c r="I1420" s="248"/>
    </row>
    <row r="1421" spans="5:9" ht="12.75">
      <c r="E1421" s="267"/>
      <c r="F1421" s="2"/>
      <c r="G1421" s="2"/>
      <c r="I1421" s="248"/>
    </row>
    <row r="1422" spans="5:9" ht="12.75">
      <c r="E1422" s="267"/>
      <c r="F1422" s="2"/>
      <c r="G1422" s="2"/>
      <c r="I1422" s="248"/>
    </row>
    <row r="1423" spans="5:9" ht="12.75">
      <c r="E1423" s="267"/>
      <c r="F1423" s="2"/>
      <c r="G1423" s="2"/>
      <c r="I1423" s="248"/>
    </row>
    <row r="1424" spans="5:9" ht="12.75">
      <c r="E1424" s="267"/>
      <c r="F1424" s="2"/>
      <c r="G1424" s="2"/>
      <c r="I1424" s="248"/>
    </row>
    <row r="1425" spans="5:9" ht="12.75">
      <c r="E1425" s="267"/>
      <c r="F1425" s="2"/>
      <c r="G1425" s="2"/>
      <c r="I1425" s="248"/>
    </row>
    <row r="1426" spans="5:9" ht="12.75">
      <c r="E1426" s="267"/>
      <c r="F1426" s="2"/>
      <c r="G1426" s="2"/>
      <c r="I1426" s="248"/>
    </row>
    <row r="1427" spans="5:9" ht="12.75">
      <c r="E1427" s="267"/>
      <c r="F1427" s="2"/>
      <c r="G1427" s="2"/>
      <c r="I1427" s="248"/>
    </row>
    <row r="1428" spans="5:9" ht="12.75">
      <c r="E1428" s="267"/>
      <c r="F1428" s="2"/>
      <c r="G1428" s="2"/>
      <c r="I1428" s="248"/>
    </row>
    <row r="1429" spans="5:9" ht="12.75">
      <c r="E1429" s="267"/>
      <c r="F1429" s="2"/>
      <c r="G1429" s="2"/>
      <c r="I1429" s="248"/>
    </row>
    <row r="1430" spans="5:9" ht="12.75">
      <c r="E1430" s="267"/>
      <c r="F1430" s="2"/>
      <c r="G1430" s="2"/>
      <c r="I1430" s="248"/>
    </row>
    <row r="1431" spans="5:9" ht="12.75">
      <c r="E1431" s="267"/>
      <c r="F1431" s="2"/>
      <c r="G1431" s="2"/>
      <c r="I1431" s="248"/>
    </row>
    <row r="1432" spans="5:9" ht="12.75">
      <c r="E1432" s="267"/>
      <c r="F1432" s="2"/>
      <c r="G1432" s="2"/>
      <c r="I1432" s="248"/>
    </row>
    <row r="1433" spans="5:9" ht="12.75">
      <c r="E1433" s="267"/>
      <c r="F1433" s="2"/>
      <c r="G1433" s="2"/>
      <c r="I1433" s="248"/>
    </row>
    <row r="1434" spans="5:9" ht="12.75">
      <c r="E1434" s="267"/>
      <c r="F1434" s="2"/>
      <c r="G1434" s="2"/>
      <c r="I1434" s="248"/>
    </row>
    <row r="1435" spans="5:9" ht="12.75">
      <c r="E1435" s="267"/>
      <c r="F1435" s="2"/>
      <c r="G1435" s="2"/>
      <c r="I1435" s="248"/>
    </row>
    <row r="1436" spans="5:9" ht="12.75">
      <c r="E1436" s="267"/>
      <c r="F1436" s="2"/>
      <c r="G1436" s="2"/>
      <c r="I1436" s="248"/>
    </row>
    <row r="1437" spans="5:9" ht="12.75">
      <c r="E1437" s="267"/>
      <c r="F1437" s="2"/>
      <c r="G1437" s="2"/>
      <c r="I1437" s="248"/>
    </row>
    <row r="1438" spans="5:9" ht="12.75">
      <c r="E1438" s="267"/>
      <c r="F1438" s="2"/>
      <c r="G1438" s="2"/>
      <c r="I1438" s="248"/>
    </row>
    <row r="1439" spans="5:9" ht="12.75">
      <c r="E1439" s="267"/>
      <c r="F1439" s="2"/>
      <c r="G1439" s="2"/>
      <c r="I1439" s="248"/>
    </row>
    <row r="1440" spans="5:9" ht="12.75">
      <c r="E1440" s="267"/>
      <c r="F1440" s="2"/>
      <c r="G1440" s="2"/>
      <c r="I1440" s="248"/>
    </row>
    <row r="1441" spans="5:9" ht="12.75">
      <c r="E1441" s="267"/>
      <c r="F1441" s="2"/>
      <c r="G1441" s="2"/>
      <c r="I1441" s="248"/>
    </row>
    <row r="1442" spans="5:9" ht="12.75">
      <c r="E1442" s="267"/>
      <c r="F1442" s="2"/>
      <c r="G1442" s="2"/>
      <c r="I1442" s="248"/>
    </row>
    <row r="1443" spans="5:9" ht="12.75">
      <c r="E1443" s="267"/>
      <c r="F1443" s="2"/>
      <c r="G1443" s="2"/>
      <c r="I1443" s="248"/>
    </row>
    <row r="1444" spans="5:9" ht="12.75">
      <c r="E1444" s="267"/>
      <c r="F1444" s="2"/>
      <c r="G1444" s="2"/>
      <c r="I1444" s="248"/>
    </row>
    <row r="1445" spans="5:9" ht="12.75">
      <c r="E1445" s="267"/>
      <c r="F1445" s="2"/>
      <c r="G1445" s="2"/>
      <c r="I1445" s="248"/>
    </row>
    <row r="1446" spans="5:9" ht="12.75">
      <c r="E1446" s="267"/>
      <c r="F1446" s="2"/>
      <c r="G1446" s="2"/>
      <c r="I1446" s="248"/>
    </row>
    <row r="1447" spans="5:9" ht="12.75">
      <c r="E1447" s="267"/>
      <c r="F1447" s="2"/>
      <c r="G1447" s="2"/>
      <c r="I1447" s="248"/>
    </row>
    <row r="1448" spans="5:9" ht="12.75">
      <c r="E1448" s="267"/>
      <c r="F1448" s="2"/>
      <c r="G1448" s="2"/>
      <c r="I1448" s="248"/>
    </row>
    <row r="1449" spans="5:9" ht="12.75">
      <c r="E1449" s="267"/>
      <c r="F1449" s="2"/>
      <c r="G1449" s="2"/>
      <c r="I1449" s="248"/>
    </row>
    <row r="1450" spans="5:9" ht="12.75">
      <c r="E1450" s="267"/>
      <c r="F1450" s="2"/>
      <c r="G1450" s="2"/>
      <c r="I1450" s="248"/>
    </row>
    <row r="1451" spans="5:9" ht="12.75">
      <c r="E1451" s="267"/>
      <c r="F1451" s="2"/>
      <c r="G1451" s="2"/>
      <c r="I1451" s="248"/>
    </row>
    <row r="1452" spans="5:9" ht="12.75">
      <c r="E1452" s="267"/>
      <c r="F1452" s="2"/>
      <c r="G1452" s="2"/>
      <c r="I1452" s="248"/>
    </row>
    <row r="1453" spans="5:9" ht="12.75">
      <c r="E1453" s="267"/>
      <c r="F1453" s="2"/>
      <c r="G1453" s="2"/>
      <c r="I1453" s="248"/>
    </row>
    <row r="1454" spans="5:9" ht="12.75">
      <c r="E1454" s="267"/>
      <c r="F1454" s="2"/>
      <c r="G1454" s="2"/>
      <c r="I1454" s="248"/>
    </row>
    <row r="1455" spans="5:9" ht="12.75">
      <c r="E1455" s="267"/>
      <c r="F1455" s="2"/>
      <c r="G1455" s="2"/>
      <c r="I1455" s="248"/>
    </row>
    <row r="1456" spans="5:9" ht="12.75">
      <c r="E1456" s="267"/>
      <c r="F1456" s="2"/>
      <c r="G1456" s="2"/>
      <c r="I1456" s="248"/>
    </row>
    <row r="1457" spans="5:9" ht="12.75">
      <c r="E1457" s="267"/>
      <c r="F1457" s="2"/>
      <c r="G1457" s="2"/>
      <c r="I1457" s="248"/>
    </row>
    <row r="1458" spans="5:9" ht="12.75">
      <c r="E1458" s="267"/>
      <c r="F1458" s="2"/>
      <c r="G1458" s="2"/>
      <c r="I1458" s="248"/>
    </row>
    <row r="1459" spans="5:9" ht="12.75">
      <c r="E1459" s="267"/>
      <c r="F1459" s="2"/>
      <c r="G1459" s="2"/>
      <c r="I1459" s="248"/>
    </row>
    <row r="1460" spans="5:9" ht="12.75">
      <c r="E1460" s="267"/>
      <c r="F1460" s="2"/>
      <c r="G1460" s="2"/>
      <c r="I1460" s="248"/>
    </row>
    <row r="1461" spans="5:9" ht="12.75">
      <c r="E1461" s="267"/>
      <c r="F1461" s="2"/>
      <c r="G1461" s="2"/>
      <c r="I1461" s="248"/>
    </row>
    <row r="1462" spans="5:9" ht="12.75">
      <c r="E1462" s="267"/>
      <c r="F1462" s="2"/>
      <c r="G1462" s="2"/>
      <c r="I1462" s="248"/>
    </row>
    <row r="1463" spans="5:9" ht="12.75">
      <c r="E1463" s="267"/>
      <c r="F1463" s="2"/>
      <c r="G1463" s="2"/>
      <c r="I1463" s="248"/>
    </row>
    <row r="1464" spans="5:9" ht="12.75">
      <c r="E1464" s="267"/>
      <c r="F1464" s="2"/>
      <c r="G1464" s="2"/>
      <c r="I1464" s="248"/>
    </row>
    <row r="1465" spans="5:9" ht="12.75">
      <c r="E1465" s="267"/>
      <c r="F1465" s="2"/>
      <c r="G1465" s="2"/>
      <c r="I1465" s="248"/>
    </row>
    <row r="1466" spans="5:9" ht="12.75">
      <c r="E1466" s="267"/>
      <c r="F1466" s="2"/>
      <c r="G1466" s="2"/>
      <c r="I1466" s="248"/>
    </row>
    <row r="1467" spans="5:9" ht="12.75">
      <c r="E1467" s="267"/>
      <c r="F1467" s="2"/>
      <c r="G1467" s="2"/>
      <c r="I1467" s="248"/>
    </row>
    <row r="1468" spans="5:9" ht="12.75">
      <c r="E1468" s="267"/>
      <c r="F1468" s="2"/>
      <c r="G1468" s="2"/>
      <c r="I1468" s="248"/>
    </row>
    <row r="1469" spans="5:9" ht="12.75">
      <c r="E1469" s="267"/>
      <c r="F1469" s="2"/>
      <c r="G1469" s="2"/>
      <c r="I1469" s="248"/>
    </row>
    <row r="1470" spans="5:9" ht="12.75">
      <c r="E1470" s="267"/>
      <c r="F1470" s="2"/>
      <c r="G1470" s="2"/>
      <c r="I1470" s="248"/>
    </row>
    <row r="1471" spans="5:9" ht="12.75">
      <c r="E1471" s="267"/>
      <c r="F1471" s="2"/>
      <c r="G1471" s="2"/>
      <c r="I1471" s="248"/>
    </row>
    <row r="1472" spans="5:9" ht="12.75">
      <c r="E1472" s="267"/>
      <c r="F1472" s="2"/>
      <c r="G1472" s="2"/>
      <c r="I1472" s="248"/>
    </row>
    <row r="1473" spans="5:9" ht="12.75">
      <c r="E1473" s="267"/>
      <c r="F1473" s="2"/>
      <c r="G1473" s="2"/>
      <c r="I1473" s="248"/>
    </row>
    <row r="1474" spans="5:9" ht="12.75">
      <c r="E1474" s="267"/>
      <c r="F1474" s="2"/>
      <c r="G1474" s="2"/>
      <c r="I1474" s="248"/>
    </row>
    <row r="1475" spans="5:9" ht="12.75">
      <c r="E1475" s="267"/>
      <c r="F1475" s="2"/>
      <c r="G1475" s="2"/>
      <c r="I1475" s="248"/>
    </row>
    <row r="1476" spans="5:9" ht="12.75">
      <c r="E1476" s="267"/>
      <c r="F1476" s="2"/>
      <c r="G1476" s="2"/>
      <c r="I1476" s="248"/>
    </row>
    <row r="1477" spans="5:9" ht="12.75">
      <c r="E1477" s="267"/>
      <c r="F1477" s="2"/>
      <c r="G1477" s="2"/>
      <c r="I1477" s="248"/>
    </row>
    <row r="1478" spans="5:9" ht="12.75">
      <c r="E1478" s="267"/>
      <c r="F1478" s="2"/>
      <c r="G1478" s="2"/>
      <c r="I1478" s="248"/>
    </row>
    <row r="1479" spans="5:9" ht="12.75">
      <c r="E1479" s="267"/>
      <c r="F1479" s="2"/>
      <c r="G1479" s="2"/>
      <c r="I1479" s="248"/>
    </row>
    <row r="1480" spans="5:9" ht="12.75">
      <c r="E1480" s="267"/>
      <c r="F1480" s="2"/>
      <c r="G1480" s="2"/>
      <c r="I1480" s="248"/>
    </row>
    <row r="1481" spans="5:9" ht="12.75">
      <c r="E1481" s="267"/>
      <c r="F1481" s="2"/>
      <c r="G1481" s="2"/>
      <c r="I1481" s="248"/>
    </row>
    <row r="1482" spans="5:9" ht="12.75">
      <c r="E1482" s="267"/>
      <c r="F1482" s="2"/>
      <c r="G1482" s="2"/>
      <c r="I1482" s="248"/>
    </row>
    <row r="1483" spans="5:9" ht="12.75">
      <c r="E1483" s="267"/>
      <c r="F1483" s="2"/>
      <c r="G1483" s="2"/>
      <c r="I1483" s="248"/>
    </row>
    <row r="1484" spans="5:9" ht="12.75">
      <c r="E1484" s="267"/>
      <c r="F1484" s="2"/>
      <c r="G1484" s="2"/>
      <c r="I1484" s="248"/>
    </row>
    <row r="1485" spans="5:9" ht="12.75">
      <c r="E1485" s="267"/>
      <c r="F1485" s="2"/>
      <c r="G1485" s="2"/>
      <c r="I1485" s="248"/>
    </row>
    <row r="1486" spans="5:9" ht="12.75">
      <c r="E1486" s="267"/>
      <c r="F1486" s="2"/>
      <c r="G1486" s="2"/>
      <c r="I1486" s="248"/>
    </row>
    <row r="1487" spans="5:9" ht="12.75">
      <c r="E1487" s="267"/>
      <c r="F1487" s="2"/>
      <c r="G1487" s="2"/>
      <c r="I1487" s="248"/>
    </row>
    <row r="1488" spans="5:9" ht="12.75">
      <c r="E1488" s="267"/>
      <c r="F1488" s="2"/>
      <c r="G1488" s="2"/>
      <c r="I1488" s="248"/>
    </row>
    <row r="1489" spans="5:9" ht="12.75">
      <c r="E1489" s="267"/>
      <c r="F1489" s="2"/>
      <c r="G1489" s="2"/>
      <c r="I1489" s="248"/>
    </row>
    <row r="1490" spans="5:9" ht="12.75">
      <c r="E1490" s="267"/>
      <c r="F1490" s="2"/>
      <c r="G1490" s="2"/>
      <c r="I1490" s="248"/>
    </row>
    <row r="1491" spans="5:9" ht="12.75">
      <c r="E1491" s="267"/>
      <c r="F1491" s="2"/>
      <c r="G1491" s="2"/>
      <c r="I1491" s="248"/>
    </row>
    <row r="1492" spans="5:9" ht="12.75">
      <c r="E1492" s="267"/>
      <c r="F1492" s="2"/>
      <c r="G1492" s="2"/>
      <c r="I1492" s="248"/>
    </row>
    <row r="1493" spans="5:9" ht="12.75">
      <c r="E1493" s="267"/>
      <c r="F1493" s="2"/>
      <c r="G1493" s="2"/>
      <c r="I1493" s="248"/>
    </row>
    <row r="1494" spans="5:9" ht="12.75">
      <c r="E1494" s="267"/>
      <c r="F1494" s="2"/>
      <c r="G1494" s="2"/>
      <c r="I1494" s="248"/>
    </row>
    <row r="1495" spans="5:9" ht="12.75">
      <c r="E1495" s="267"/>
      <c r="F1495" s="2"/>
      <c r="G1495" s="2"/>
      <c r="I1495" s="248"/>
    </row>
    <row r="1496" spans="5:9" ht="12.75">
      <c r="E1496" s="267"/>
      <c r="F1496" s="2"/>
      <c r="G1496" s="2"/>
      <c r="I1496" s="248"/>
    </row>
    <row r="1497" spans="5:9" ht="12.75">
      <c r="E1497" s="267"/>
      <c r="F1497" s="2"/>
      <c r="G1497" s="2"/>
      <c r="I1497" s="248"/>
    </row>
    <row r="1498" spans="5:9" ht="12.75">
      <c r="E1498" s="267"/>
      <c r="F1498" s="2"/>
      <c r="G1498" s="2"/>
      <c r="I1498" s="248"/>
    </row>
    <row r="1499" spans="5:9" ht="12.75">
      <c r="E1499" s="267"/>
      <c r="F1499" s="2"/>
      <c r="G1499" s="2"/>
      <c r="I1499" s="248"/>
    </row>
    <row r="1500" spans="5:9" ht="12.75">
      <c r="E1500" s="267"/>
      <c r="F1500" s="2"/>
      <c r="G1500" s="2"/>
      <c r="I1500" s="248"/>
    </row>
    <row r="1501" spans="5:9" ht="12.75">
      <c r="E1501" s="267"/>
      <c r="F1501" s="2"/>
      <c r="G1501" s="2"/>
      <c r="I1501" s="248"/>
    </row>
    <row r="1502" spans="5:9" ht="12.75">
      <c r="E1502" s="267"/>
      <c r="F1502" s="2"/>
      <c r="G1502" s="2"/>
      <c r="I1502" s="248"/>
    </row>
    <row r="1503" spans="5:9" ht="12.75">
      <c r="E1503" s="267"/>
      <c r="F1503" s="2"/>
      <c r="G1503" s="2"/>
      <c r="I1503" s="248"/>
    </row>
    <row r="1504" spans="5:9" ht="12.75">
      <c r="E1504" s="267"/>
      <c r="F1504" s="2"/>
      <c r="G1504" s="2"/>
      <c r="I1504" s="248"/>
    </row>
    <row r="1505" spans="5:9" ht="12.75">
      <c r="E1505" s="267"/>
      <c r="F1505" s="2"/>
      <c r="G1505" s="2"/>
      <c r="I1505" s="248"/>
    </row>
    <row r="1506" spans="5:9" ht="12.75">
      <c r="E1506" s="267"/>
      <c r="F1506" s="2"/>
      <c r="G1506" s="2"/>
      <c r="I1506" s="248"/>
    </row>
    <row r="1507" spans="5:9" ht="12.75">
      <c r="E1507" s="267"/>
      <c r="F1507" s="2"/>
      <c r="G1507" s="2"/>
      <c r="I1507" s="248"/>
    </row>
    <row r="1508" spans="5:9" ht="12.75">
      <c r="E1508" s="267"/>
      <c r="F1508" s="2"/>
      <c r="G1508" s="2"/>
      <c r="I1508" s="248"/>
    </row>
    <row r="1509" spans="5:9" ht="12.75">
      <c r="E1509" s="267"/>
      <c r="F1509" s="2"/>
      <c r="G1509" s="2"/>
      <c r="I1509" s="248"/>
    </row>
    <row r="1510" spans="5:9" ht="12.75">
      <c r="E1510" s="267"/>
      <c r="F1510" s="2"/>
      <c r="G1510" s="2"/>
      <c r="I1510" s="248"/>
    </row>
    <row r="1511" spans="5:9" ht="12.75">
      <c r="E1511" s="267"/>
      <c r="F1511" s="2"/>
      <c r="G1511" s="2"/>
      <c r="I1511" s="248"/>
    </row>
    <row r="1512" spans="5:9" ht="12.75">
      <c r="E1512" s="267"/>
      <c r="F1512" s="2"/>
      <c r="G1512" s="2"/>
      <c r="I1512" s="248"/>
    </row>
    <row r="1513" spans="5:9" ht="12.75">
      <c r="E1513" s="267"/>
      <c r="F1513" s="2"/>
      <c r="G1513" s="2"/>
      <c r="I1513" s="248"/>
    </row>
    <row r="1514" spans="5:9" ht="12.75">
      <c r="E1514" s="267"/>
      <c r="F1514" s="2"/>
      <c r="G1514" s="2"/>
      <c r="I1514" s="248"/>
    </row>
    <row r="1515" spans="5:9" ht="12.75">
      <c r="E1515" s="267"/>
      <c r="F1515" s="2"/>
      <c r="G1515" s="2"/>
      <c r="I1515" s="248"/>
    </row>
    <row r="1516" spans="5:9" ht="12.75">
      <c r="E1516" s="267"/>
      <c r="F1516" s="2"/>
      <c r="G1516" s="2"/>
      <c r="I1516" s="248"/>
    </row>
    <row r="1517" spans="5:9" ht="12.75">
      <c r="E1517" s="267"/>
      <c r="F1517" s="2"/>
      <c r="G1517" s="2"/>
      <c r="I1517" s="248"/>
    </row>
    <row r="1518" spans="5:9" ht="12.75">
      <c r="E1518" s="267"/>
      <c r="F1518" s="2"/>
      <c r="G1518" s="2"/>
      <c r="I1518" s="248"/>
    </row>
    <row r="1519" spans="5:9" ht="12.75">
      <c r="E1519" s="267"/>
      <c r="F1519" s="2"/>
      <c r="G1519" s="2"/>
      <c r="I1519" s="248"/>
    </row>
    <row r="1520" spans="5:9" ht="12.75">
      <c r="E1520" s="267"/>
      <c r="F1520" s="2"/>
      <c r="G1520" s="2"/>
      <c r="I1520" s="248"/>
    </row>
    <row r="1521" spans="5:9" ht="12.75">
      <c r="E1521" s="267"/>
      <c r="F1521" s="2"/>
      <c r="G1521" s="2"/>
      <c r="I1521" s="248"/>
    </row>
    <row r="1522" spans="5:9" ht="12.75">
      <c r="E1522" s="267"/>
      <c r="F1522" s="2"/>
      <c r="G1522" s="2"/>
      <c r="I1522" s="248"/>
    </row>
    <row r="1523" spans="5:9" ht="12.75">
      <c r="E1523" s="267"/>
      <c r="F1523" s="2"/>
      <c r="G1523" s="2"/>
      <c r="I1523" s="248"/>
    </row>
    <row r="1524" spans="5:9" ht="12.75">
      <c r="E1524" s="267"/>
      <c r="F1524" s="2"/>
      <c r="G1524" s="2"/>
      <c r="I1524" s="248"/>
    </row>
    <row r="1525" spans="5:9" ht="12.75">
      <c r="E1525" s="267"/>
      <c r="F1525" s="2"/>
      <c r="G1525" s="2"/>
      <c r="I1525" s="248"/>
    </row>
    <row r="1526" spans="5:9" ht="12.75">
      <c r="E1526" s="267"/>
      <c r="F1526" s="2"/>
      <c r="G1526" s="2"/>
      <c r="I1526" s="248"/>
    </row>
    <row r="1527" spans="5:9" ht="12.75">
      <c r="E1527" s="267"/>
      <c r="F1527" s="2"/>
      <c r="G1527" s="2"/>
      <c r="I1527" s="248"/>
    </row>
    <row r="1528" spans="5:9" ht="12.75">
      <c r="E1528" s="267"/>
      <c r="F1528" s="2"/>
      <c r="G1528" s="2"/>
      <c r="I1528" s="248"/>
    </row>
    <row r="1529" spans="5:9" ht="12.75">
      <c r="E1529" s="267"/>
      <c r="F1529" s="2"/>
      <c r="G1529" s="2"/>
      <c r="I1529" s="248"/>
    </row>
    <row r="1530" spans="5:9" ht="12.75">
      <c r="E1530" s="267"/>
      <c r="F1530" s="2"/>
      <c r="G1530" s="2"/>
      <c r="I1530" s="248"/>
    </row>
    <row r="1531" spans="5:9" ht="12.75">
      <c r="E1531" s="267"/>
      <c r="F1531" s="2"/>
      <c r="G1531" s="2"/>
      <c r="I1531" s="248"/>
    </row>
    <row r="1532" spans="5:9" ht="12.75">
      <c r="E1532" s="267"/>
      <c r="F1532" s="2"/>
      <c r="G1532" s="2"/>
      <c r="I1532" s="248"/>
    </row>
    <row r="1533" spans="5:9" ht="12.75">
      <c r="E1533" s="267"/>
      <c r="F1533" s="2"/>
      <c r="G1533" s="2"/>
      <c r="I1533" s="248"/>
    </row>
    <row r="1534" spans="5:9" ht="12.75">
      <c r="E1534" s="267"/>
      <c r="F1534" s="2"/>
      <c r="G1534" s="2"/>
      <c r="I1534" s="248"/>
    </row>
    <row r="1535" spans="5:9" ht="12.75">
      <c r="E1535" s="267"/>
      <c r="F1535" s="2"/>
      <c r="G1535" s="2"/>
      <c r="I1535" s="248"/>
    </row>
    <row r="1536" spans="5:9" ht="12.75">
      <c r="E1536" s="267"/>
      <c r="F1536" s="2"/>
      <c r="G1536" s="2"/>
      <c r="I1536" s="248"/>
    </row>
    <row r="1537" spans="5:9" ht="12.75">
      <c r="E1537" s="267"/>
      <c r="F1537" s="2"/>
      <c r="G1537" s="2"/>
      <c r="I1537" s="248"/>
    </row>
    <row r="1538" spans="5:9" ht="12.75">
      <c r="E1538" s="267"/>
      <c r="F1538" s="2"/>
      <c r="G1538" s="2"/>
      <c r="I1538" s="248"/>
    </row>
    <row r="1539" spans="5:9" ht="12.75">
      <c r="E1539" s="267"/>
      <c r="F1539" s="2"/>
      <c r="G1539" s="2"/>
      <c r="I1539" s="248"/>
    </row>
    <row r="1540" spans="5:9" ht="12.75">
      <c r="E1540" s="267"/>
      <c r="F1540" s="2"/>
      <c r="G1540" s="2"/>
      <c r="I1540" s="248"/>
    </row>
    <row r="1541" spans="5:9" ht="12.75">
      <c r="E1541" s="267"/>
      <c r="F1541" s="2"/>
      <c r="G1541" s="2"/>
      <c r="I1541" s="248"/>
    </row>
    <row r="1542" spans="5:9" ht="12.75">
      <c r="E1542" s="267"/>
      <c r="F1542" s="2"/>
      <c r="G1542" s="2"/>
      <c r="I1542" s="248"/>
    </row>
    <row r="1543" spans="5:9" ht="12.75">
      <c r="E1543" s="267"/>
      <c r="F1543" s="2"/>
      <c r="G1543" s="2"/>
      <c r="I1543" s="248"/>
    </row>
    <row r="1544" spans="5:9" ht="12.75">
      <c r="E1544" s="267"/>
      <c r="F1544" s="2"/>
      <c r="G1544" s="2"/>
      <c r="I1544" s="248"/>
    </row>
    <row r="1545" spans="5:9" ht="12.75">
      <c r="E1545" s="267"/>
      <c r="F1545" s="2"/>
      <c r="G1545" s="2"/>
      <c r="I1545" s="248"/>
    </row>
    <row r="1546" spans="5:9" ht="12.75">
      <c r="E1546" s="267"/>
      <c r="F1546" s="2"/>
      <c r="G1546" s="2"/>
      <c r="I1546" s="248"/>
    </row>
    <row r="1547" spans="5:9" ht="12.75">
      <c r="E1547" s="267"/>
      <c r="F1547" s="2"/>
      <c r="G1547" s="2"/>
      <c r="I1547" s="248"/>
    </row>
    <row r="1548" spans="5:9" ht="12.75">
      <c r="E1548" s="267"/>
      <c r="F1548" s="2"/>
      <c r="G1548" s="2"/>
      <c r="I1548" s="248"/>
    </row>
    <row r="1549" spans="5:9" ht="12.75">
      <c r="E1549" s="267"/>
      <c r="F1549" s="2"/>
      <c r="G1549" s="2"/>
      <c r="I1549" s="248"/>
    </row>
    <row r="1550" spans="5:9" ht="12.75">
      <c r="E1550" s="267"/>
      <c r="F1550" s="2"/>
      <c r="G1550" s="2"/>
      <c r="I1550" s="248"/>
    </row>
    <row r="1551" spans="5:9" ht="12.75">
      <c r="E1551" s="267"/>
      <c r="F1551" s="2"/>
      <c r="G1551" s="2"/>
      <c r="I1551" s="248"/>
    </row>
    <row r="1552" spans="5:9" ht="12.75">
      <c r="E1552" s="267"/>
      <c r="F1552" s="2"/>
      <c r="G1552" s="2"/>
      <c r="I1552" s="248"/>
    </row>
    <row r="1553" spans="5:9" ht="12.75">
      <c r="E1553" s="267"/>
      <c r="F1553" s="2"/>
      <c r="G1553" s="2"/>
      <c r="I1553" s="248"/>
    </row>
    <row r="1554" spans="5:9" ht="12.75">
      <c r="E1554" s="267"/>
      <c r="F1554" s="2"/>
      <c r="G1554" s="2"/>
      <c r="I1554" s="248"/>
    </row>
    <row r="1555" spans="5:9" ht="12.75">
      <c r="E1555" s="267"/>
      <c r="F1555" s="2"/>
      <c r="G1555" s="2"/>
      <c r="I1555" s="248"/>
    </row>
    <row r="1556" spans="5:9" ht="12.75">
      <c r="E1556" s="267"/>
      <c r="F1556" s="2"/>
      <c r="G1556" s="2"/>
      <c r="I1556" s="248"/>
    </row>
    <row r="1557" spans="5:9" ht="12.75">
      <c r="E1557" s="267"/>
      <c r="F1557" s="2"/>
      <c r="G1557" s="2"/>
      <c r="I1557" s="248"/>
    </row>
    <row r="1558" spans="5:9" ht="12.75">
      <c r="E1558" s="267"/>
      <c r="F1558" s="2"/>
      <c r="G1558" s="2"/>
      <c r="I1558" s="248"/>
    </row>
    <row r="1559" spans="5:9" ht="12.75">
      <c r="E1559" s="267"/>
      <c r="F1559" s="2"/>
      <c r="G1559" s="2"/>
      <c r="I1559" s="248"/>
    </row>
    <row r="1560" spans="5:9" ht="12.75">
      <c r="E1560" s="267"/>
      <c r="F1560" s="2"/>
      <c r="G1560" s="2"/>
      <c r="I1560" s="248"/>
    </row>
    <row r="1561" spans="5:9" ht="12.75">
      <c r="E1561" s="267"/>
      <c r="F1561" s="2"/>
      <c r="G1561" s="2"/>
      <c r="I1561" s="248"/>
    </row>
    <row r="1562" spans="5:9" ht="12.75">
      <c r="E1562" s="267"/>
      <c r="F1562" s="2"/>
      <c r="G1562" s="2"/>
      <c r="I1562" s="248"/>
    </row>
    <row r="1563" spans="5:9" ht="12.75">
      <c r="E1563" s="267"/>
      <c r="F1563" s="2"/>
      <c r="G1563" s="2"/>
      <c r="I1563" s="248"/>
    </row>
    <row r="1564" spans="5:9" ht="12.75">
      <c r="E1564" s="267"/>
      <c r="F1564" s="2"/>
      <c r="G1564" s="2"/>
      <c r="I1564" s="248"/>
    </row>
    <row r="1565" spans="5:9" ht="12.75">
      <c r="E1565" s="267"/>
      <c r="F1565" s="2"/>
      <c r="G1565" s="2"/>
      <c r="I1565" s="248"/>
    </row>
    <row r="1566" spans="5:9" ht="12.75">
      <c r="E1566" s="267"/>
      <c r="F1566" s="2"/>
      <c r="G1566" s="2"/>
      <c r="I1566" s="248"/>
    </row>
    <row r="1567" spans="5:9" ht="12.75">
      <c r="E1567" s="267"/>
      <c r="F1567" s="2"/>
      <c r="G1567" s="2"/>
      <c r="I1567" s="248"/>
    </row>
    <row r="1568" spans="5:9" ht="12.75">
      <c r="E1568" s="267"/>
      <c r="F1568" s="2"/>
      <c r="G1568" s="2"/>
      <c r="I1568" s="248"/>
    </row>
    <row r="1569" spans="5:9" ht="12.75">
      <c r="E1569" s="267"/>
      <c r="F1569" s="2"/>
      <c r="G1569" s="2"/>
      <c r="I1569" s="248"/>
    </row>
    <row r="1570" spans="5:9" ht="12.75">
      <c r="E1570" s="267"/>
      <c r="F1570" s="2"/>
      <c r="G1570" s="2"/>
      <c r="I1570" s="248"/>
    </row>
    <row r="1571" spans="5:9" ht="12.75">
      <c r="E1571" s="267"/>
      <c r="F1571" s="2"/>
      <c r="G1571" s="2"/>
      <c r="I1571" s="248"/>
    </row>
    <row r="1572" spans="5:9" ht="12.75">
      <c r="E1572" s="267"/>
      <c r="F1572" s="2"/>
      <c r="G1572" s="2"/>
      <c r="I1572" s="248"/>
    </row>
    <row r="1573" spans="5:9" ht="12.75">
      <c r="E1573" s="267"/>
      <c r="F1573" s="2"/>
      <c r="G1573" s="2"/>
      <c r="I1573" s="248"/>
    </row>
    <row r="1574" spans="5:9" ht="12.75">
      <c r="E1574" s="267"/>
      <c r="F1574" s="2"/>
      <c r="G1574" s="2"/>
      <c r="I1574" s="248"/>
    </row>
    <row r="1575" spans="5:9" ht="12.75">
      <c r="E1575" s="267"/>
      <c r="F1575" s="2"/>
      <c r="G1575" s="2"/>
      <c r="I1575" s="248"/>
    </row>
    <row r="1576" spans="5:9" ht="12.75">
      <c r="E1576" s="267"/>
      <c r="F1576" s="2"/>
      <c r="G1576" s="2"/>
      <c r="I1576" s="248"/>
    </row>
    <row r="1577" spans="5:9" ht="12.75">
      <c r="E1577" s="267"/>
      <c r="F1577" s="2"/>
      <c r="G1577" s="2"/>
      <c r="I1577" s="248"/>
    </row>
    <row r="1578" spans="5:9" ht="12.75">
      <c r="E1578" s="267"/>
      <c r="F1578" s="2"/>
      <c r="G1578" s="2"/>
      <c r="I1578" s="248"/>
    </row>
    <row r="1579" spans="5:9" ht="12.75">
      <c r="E1579" s="267"/>
      <c r="F1579" s="2"/>
      <c r="G1579" s="2"/>
      <c r="I1579" s="248"/>
    </row>
    <row r="1580" spans="5:9" ht="12.75">
      <c r="E1580" s="267"/>
      <c r="F1580" s="2"/>
      <c r="G1580" s="2"/>
      <c r="I1580" s="248"/>
    </row>
    <row r="1581" spans="5:9" ht="12.75">
      <c r="E1581" s="267"/>
      <c r="F1581" s="2"/>
      <c r="G1581" s="2"/>
      <c r="I1581" s="248"/>
    </row>
    <row r="1582" spans="5:9" ht="12.75">
      <c r="E1582" s="267"/>
      <c r="F1582" s="2"/>
      <c r="G1582" s="2"/>
      <c r="I1582" s="248"/>
    </row>
    <row r="1583" spans="5:9" ht="12.75">
      <c r="E1583" s="267"/>
      <c r="F1583" s="2"/>
      <c r="G1583" s="2"/>
      <c r="I1583" s="248"/>
    </row>
    <row r="1584" spans="5:9" ht="12.75">
      <c r="E1584" s="267"/>
      <c r="F1584" s="2"/>
      <c r="G1584" s="2"/>
      <c r="I1584" s="248"/>
    </row>
    <row r="1585" spans="5:9" ht="12.75">
      <c r="E1585" s="267"/>
      <c r="F1585" s="2"/>
      <c r="G1585" s="2"/>
      <c r="I1585" s="248"/>
    </row>
    <row r="1586" spans="5:9" ht="12.75">
      <c r="E1586" s="267"/>
      <c r="F1586" s="2"/>
      <c r="G1586" s="2"/>
      <c r="I1586" s="248"/>
    </row>
    <row r="1587" spans="5:9" ht="12.75">
      <c r="E1587" s="267"/>
      <c r="F1587" s="2"/>
      <c r="G1587" s="2"/>
      <c r="I1587" s="248"/>
    </row>
    <row r="1588" spans="5:9" ht="12.75">
      <c r="E1588" s="267"/>
      <c r="F1588" s="2"/>
      <c r="G1588" s="2"/>
      <c r="I1588" s="248"/>
    </row>
    <row r="1589" spans="5:9" ht="12.75">
      <c r="E1589" s="267"/>
      <c r="F1589" s="2"/>
      <c r="G1589" s="2"/>
      <c r="I1589" s="248"/>
    </row>
    <row r="1590" spans="5:9" ht="12.75">
      <c r="E1590" s="267"/>
      <c r="F1590" s="2"/>
      <c r="G1590" s="2"/>
      <c r="I1590" s="248"/>
    </row>
    <row r="1591" spans="5:9" ht="12.75">
      <c r="E1591" s="267"/>
      <c r="F1591" s="2"/>
      <c r="G1591" s="2"/>
      <c r="I1591" s="248"/>
    </row>
    <row r="1592" spans="5:9" ht="12.75">
      <c r="E1592" s="267"/>
      <c r="F1592" s="2"/>
      <c r="G1592" s="2"/>
      <c r="I1592" s="248"/>
    </row>
    <row r="1593" spans="5:9" ht="12.75">
      <c r="E1593" s="267"/>
      <c r="F1593" s="2"/>
      <c r="G1593" s="2"/>
      <c r="I1593" s="248"/>
    </row>
    <row r="1594" spans="5:9" ht="12.75">
      <c r="E1594" s="267"/>
      <c r="F1594" s="2"/>
      <c r="G1594" s="2"/>
      <c r="I1594" s="248"/>
    </row>
    <row r="1595" spans="5:9" ht="12.75">
      <c r="E1595" s="267"/>
      <c r="F1595" s="2"/>
      <c r="G1595" s="2"/>
      <c r="I1595" s="248"/>
    </row>
    <row r="1596" spans="5:9" ht="12.75">
      <c r="E1596" s="267"/>
      <c r="F1596" s="2"/>
      <c r="G1596" s="2"/>
      <c r="I1596" s="248"/>
    </row>
    <row r="1597" spans="5:9" ht="12.75">
      <c r="E1597" s="267"/>
      <c r="F1597" s="2"/>
      <c r="G1597" s="2"/>
      <c r="I1597" s="248"/>
    </row>
    <row r="1598" spans="5:9" ht="12.75">
      <c r="E1598" s="267"/>
      <c r="F1598" s="2"/>
      <c r="G1598" s="2"/>
      <c r="I1598" s="248"/>
    </row>
    <row r="1599" spans="5:9" ht="12.75">
      <c r="E1599" s="267"/>
      <c r="F1599" s="2"/>
      <c r="G1599" s="2"/>
      <c r="I1599" s="248"/>
    </row>
    <row r="1600" spans="5:9" ht="12.75">
      <c r="E1600" s="267"/>
      <c r="F1600" s="2"/>
      <c r="G1600" s="2"/>
      <c r="I1600" s="248"/>
    </row>
    <row r="1601" spans="5:9" ht="12.75">
      <c r="E1601" s="267"/>
      <c r="F1601" s="2"/>
      <c r="G1601" s="2"/>
      <c r="I1601" s="248"/>
    </row>
    <row r="1602" spans="5:9" ht="12.75">
      <c r="E1602" s="267"/>
      <c r="F1602" s="2"/>
      <c r="G1602" s="2"/>
      <c r="I1602" s="248"/>
    </row>
    <row r="1603" spans="5:9" ht="12.75">
      <c r="E1603" s="267"/>
      <c r="F1603" s="2"/>
      <c r="G1603" s="2"/>
      <c r="I1603" s="248"/>
    </row>
    <row r="1604" spans="5:9" ht="12.75">
      <c r="E1604" s="267"/>
      <c r="F1604" s="2"/>
      <c r="G1604" s="2"/>
      <c r="I1604" s="248"/>
    </row>
    <row r="1605" spans="5:9" ht="12.75">
      <c r="E1605" s="267"/>
      <c r="F1605" s="2"/>
      <c r="G1605" s="2"/>
      <c r="I1605" s="248"/>
    </row>
    <row r="1606" spans="5:9" ht="12.75">
      <c r="E1606" s="267"/>
      <c r="F1606" s="2"/>
      <c r="G1606" s="2"/>
      <c r="I1606" s="248"/>
    </row>
    <row r="1607" spans="5:9" ht="12.75">
      <c r="E1607" s="267"/>
      <c r="F1607" s="2"/>
      <c r="G1607" s="2"/>
      <c r="I1607" s="248"/>
    </row>
    <row r="1608" spans="5:9" ht="12.75">
      <c r="E1608" s="267"/>
      <c r="F1608" s="2"/>
      <c r="G1608" s="2"/>
      <c r="I1608" s="248"/>
    </row>
    <row r="1609" spans="5:9" ht="12.75">
      <c r="E1609" s="267"/>
      <c r="F1609" s="2"/>
      <c r="G1609" s="2"/>
      <c r="I1609" s="248"/>
    </row>
    <row r="1610" spans="5:9" ht="12.75">
      <c r="E1610" s="267"/>
      <c r="F1610" s="2"/>
      <c r="G1610" s="2"/>
      <c r="I1610" s="248"/>
    </row>
    <row r="1611" spans="5:9" ht="12.75">
      <c r="E1611" s="267"/>
      <c r="F1611" s="2"/>
      <c r="G1611" s="2"/>
      <c r="I1611" s="248"/>
    </row>
    <row r="1612" spans="5:9" ht="12.75">
      <c r="E1612" s="267"/>
      <c r="F1612" s="2"/>
      <c r="G1612" s="2"/>
      <c r="I1612" s="248"/>
    </row>
    <row r="1613" spans="5:9" ht="12.75">
      <c r="E1613" s="267"/>
      <c r="F1613" s="2"/>
      <c r="G1613" s="2"/>
      <c r="I1613" s="248"/>
    </row>
    <row r="1614" spans="5:9" ht="12.75">
      <c r="E1614" s="267"/>
      <c r="F1614" s="2"/>
      <c r="G1614" s="2"/>
      <c r="I1614" s="248"/>
    </row>
    <row r="1615" spans="5:9" ht="12.75">
      <c r="E1615" s="267"/>
      <c r="F1615" s="2"/>
      <c r="G1615" s="2"/>
      <c r="I1615" s="248"/>
    </row>
    <row r="1616" spans="5:9" ht="12.75">
      <c r="E1616" s="267"/>
      <c r="F1616" s="2"/>
      <c r="G1616" s="2"/>
      <c r="I1616" s="248"/>
    </row>
    <row r="1617" spans="5:9" ht="12.75">
      <c r="E1617" s="267"/>
      <c r="F1617" s="2"/>
      <c r="G1617" s="2"/>
      <c r="I1617" s="248"/>
    </row>
    <row r="1618" spans="5:9" ht="12.75">
      <c r="E1618" s="267"/>
      <c r="F1618" s="2"/>
      <c r="G1618" s="2"/>
      <c r="I1618" s="248"/>
    </row>
    <row r="1619" spans="5:9" ht="12.75">
      <c r="E1619" s="267"/>
      <c r="F1619" s="2"/>
      <c r="G1619" s="2"/>
      <c r="I1619" s="248"/>
    </row>
    <row r="1620" spans="5:9" ht="12.75">
      <c r="E1620" s="267"/>
      <c r="F1620" s="2"/>
      <c r="G1620" s="2"/>
      <c r="I1620" s="248"/>
    </row>
    <row r="1621" spans="5:9" ht="12.75">
      <c r="E1621" s="267"/>
      <c r="F1621" s="2"/>
      <c r="G1621" s="2"/>
      <c r="I1621" s="248"/>
    </row>
    <row r="1622" spans="5:9" ht="12.75">
      <c r="E1622" s="267"/>
      <c r="F1622" s="2"/>
      <c r="G1622" s="2"/>
      <c r="I1622" s="248"/>
    </row>
    <row r="1623" spans="5:9" ht="12.75">
      <c r="E1623" s="267"/>
      <c r="F1623" s="2"/>
      <c r="G1623" s="2"/>
      <c r="I1623" s="248"/>
    </row>
    <row r="1624" spans="5:9" ht="12.75">
      <c r="E1624" s="267"/>
      <c r="F1624" s="2"/>
      <c r="G1624" s="2"/>
      <c r="I1624" s="248"/>
    </row>
    <row r="1625" spans="5:9" ht="12.75">
      <c r="E1625" s="267"/>
      <c r="F1625" s="2"/>
      <c r="G1625" s="2"/>
      <c r="I1625" s="248"/>
    </row>
    <row r="1626" spans="5:9" ht="12.75">
      <c r="E1626" s="267"/>
      <c r="F1626" s="2"/>
      <c r="G1626" s="2"/>
      <c r="I1626" s="248"/>
    </row>
    <row r="1627" spans="5:9" ht="12.75">
      <c r="E1627" s="267"/>
      <c r="F1627" s="2"/>
      <c r="G1627" s="2"/>
      <c r="I1627" s="248"/>
    </row>
    <row r="1628" spans="5:9" ht="12.75">
      <c r="E1628" s="267"/>
      <c r="F1628" s="2"/>
      <c r="G1628" s="2"/>
      <c r="I1628" s="248"/>
    </row>
    <row r="1629" spans="5:9" ht="12.75">
      <c r="E1629" s="267"/>
      <c r="F1629" s="2"/>
      <c r="G1629" s="2"/>
      <c r="I1629" s="248"/>
    </row>
    <row r="1630" spans="5:9" ht="12.75">
      <c r="E1630" s="267"/>
      <c r="F1630" s="2"/>
      <c r="G1630" s="2"/>
      <c r="I1630" s="248"/>
    </row>
    <row r="1631" spans="5:9" ht="12.75">
      <c r="E1631" s="267"/>
      <c r="F1631" s="2"/>
      <c r="G1631" s="2"/>
      <c r="I1631" s="248"/>
    </row>
    <row r="1632" spans="5:9" ht="12.75">
      <c r="E1632" s="267"/>
      <c r="F1632" s="2"/>
      <c r="G1632" s="2"/>
      <c r="I1632" s="248"/>
    </row>
    <row r="1633" spans="5:9" ht="12.75">
      <c r="E1633" s="267"/>
      <c r="F1633" s="2"/>
      <c r="G1633" s="2"/>
      <c r="I1633" s="248"/>
    </row>
    <row r="1634" spans="5:9" ht="12.75">
      <c r="E1634" s="267"/>
      <c r="F1634" s="2"/>
      <c r="G1634" s="2"/>
      <c r="I1634" s="248"/>
    </row>
    <row r="1635" spans="5:9" ht="12.75">
      <c r="E1635" s="267"/>
      <c r="F1635" s="2"/>
      <c r="G1635" s="2"/>
      <c r="I1635" s="248"/>
    </row>
    <row r="1636" spans="5:9" ht="12.75">
      <c r="E1636" s="267"/>
      <c r="F1636" s="2"/>
      <c r="G1636" s="2"/>
      <c r="I1636" s="248"/>
    </row>
    <row r="1637" spans="5:9" ht="12.75">
      <c r="E1637" s="267"/>
      <c r="F1637" s="2"/>
      <c r="G1637" s="2"/>
      <c r="I1637" s="248"/>
    </row>
    <row r="1638" spans="5:9" ht="12.75">
      <c r="E1638" s="267"/>
      <c r="F1638" s="2"/>
      <c r="G1638" s="2"/>
      <c r="I1638" s="248"/>
    </row>
    <row r="1639" spans="5:9" ht="12.75">
      <c r="E1639" s="267"/>
      <c r="F1639" s="2"/>
      <c r="G1639" s="2"/>
      <c r="I1639" s="248"/>
    </row>
    <row r="1640" spans="5:9" ht="12.75">
      <c r="E1640" s="267"/>
      <c r="F1640" s="2"/>
      <c r="G1640" s="2"/>
      <c r="I1640" s="248"/>
    </row>
    <row r="1641" spans="5:9" ht="12.75">
      <c r="E1641" s="267"/>
      <c r="F1641" s="2"/>
      <c r="G1641" s="2"/>
      <c r="I1641" s="248"/>
    </row>
    <row r="1642" spans="5:9" ht="12.75">
      <c r="E1642" s="267"/>
      <c r="F1642" s="2"/>
      <c r="G1642" s="2"/>
      <c r="I1642" s="248"/>
    </row>
    <row r="1643" spans="5:9" ht="12.75">
      <c r="E1643" s="267"/>
      <c r="F1643" s="2"/>
      <c r="G1643" s="2"/>
      <c r="I1643" s="248"/>
    </row>
    <row r="1644" spans="5:9" ht="12.75">
      <c r="E1644" s="267"/>
      <c r="F1644" s="2"/>
      <c r="G1644" s="2"/>
      <c r="I1644" s="248"/>
    </row>
    <row r="1645" spans="5:9" ht="12.75">
      <c r="E1645" s="267"/>
      <c r="F1645" s="2"/>
      <c r="G1645" s="2"/>
      <c r="I1645" s="248"/>
    </row>
    <row r="1646" spans="5:9" ht="12.75">
      <c r="E1646" s="267"/>
      <c r="F1646" s="2"/>
      <c r="G1646" s="2"/>
      <c r="I1646" s="248"/>
    </row>
    <row r="1647" spans="5:9" ht="12.75">
      <c r="E1647" s="267"/>
      <c r="F1647" s="2"/>
      <c r="G1647" s="2"/>
      <c r="I1647" s="248"/>
    </row>
    <row r="1648" spans="5:9" ht="12.75">
      <c r="E1648" s="267"/>
      <c r="F1648" s="2"/>
      <c r="G1648" s="2"/>
      <c r="I1648" s="248"/>
    </row>
    <row r="1649" spans="5:9" ht="12.75">
      <c r="E1649" s="267"/>
      <c r="F1649" s="2"/>
      <c r="G1649" s="2"/>
      <c r="I1649" s="248"/>
    </row>
    <row r="1650" spans="5:9" ht="12.75">
      <c r="E1650" s="267"/>
      <c r="F1650" s="2"/>
      <c r="G1650" s="2"/>
      <c r="I1650" s="248"/>
    </row>
    <row r="1651" spans="5:9" ht="12.75">
      <c r="E1651" s="267"/>
      <c r="F1651" s="2"/>
      <c r="G1651" s="2"/>
      <c r="I1651" s="248"/>
    </row>
    <row r="1652" spans="5:9" ht="12.75">
      <c r="E1652" s="267"/>
      <c r="F1652" s="2"/>
      <c r="G1652" s="2"/>
      <c r="I1652" s="248"/>
    </row>
    <row r="1653" spans="5:9" ht="12.75">
      <c r="E1653" s="267"/>
      <c r="F1653" s="2"/>
      <c r="G1653" s="2"/>
      <c r="I1653" s="248"/>
    </row>
    <row r="1654" spans="5:9" ht="12.75">
      <c r="E1654" s="267"/>
      <c r="F1654" s="2"/>
      <c r="G1654" s="2"/>
      <c r="I1654" s="248"/>
    </row>
    <row r="1655" spans="5:9" ht="12.75">
      <c r="E1655" s="267"/>
      <c r="F1655" s="2"/>
      <c r="G1655" s="2"/>
      <c r="I1655" s="248"/>
    </row>
    <row r="1656" spans="5:9" ht="12.75">
      <c r="E1656" s="267"/>
      <c r="F1656" s="2"/>
      <c r="G1656" s="2"/>
      <c r="I1656" s="248"/>
    </row>
    <row r="1657" spans="5:9" ht="12.75">
      <c r="E1657" s="267"/>
      <c r="F1657" s="2"/>
      <c r="G1657" s="2"/>
      <c r="I1657" s="248"/>
    </row>
    <row r="1658" spans="5:9" ht="12.75">
      <c r="E1658" s="267"/>
      <c r="F1658" s="2"/>
      <c r="G1658" s="2"/>
      <c r="I1658" s="248"/>
    </row>
    <row r="1659" spans="5:9" ht="12.75">
      <c r="E1659" s="267"/>
      <c r="F1659" s="2"/>
      <c r="G1659" s="2"/>
      <c r="I1659" s="248"/>
    </row>
    <row r="1660" spans="5:9" ht="12.75">
      <c r="E1660" s="267"/>
      <c r="F1660" s="2"/>
      <c r="G1660" s="2"/>
      <c r="I1660" s="248"/>
    </row>
    <row r="1661" spans="5:9" ht="12.75">
      <c r="E1661" s="267"/>
      <c r="F1661" s="2"/>
      <c r="G1661" s="2"/>
      <c r="I1661" s="248"/>
    </row>
    <row r="1662" spans="5:9" ht="12.75">
      <c r="E1662" s="267"/>
      <c r="F1662" s="2"/>
      <c r="G1662" s="2"/>
      <c r="I1662" s="248"/>
    </row>
    <row r="1663" spans="5:9" ht="12.75">
      <c r="E1663" s="267"/>
      <c r="F1663" s="2"/>
      <c r="G1663" s="2"/>
      <c r="I1663" s="248"/>
    </row>
    <row r="1664" spans="5:9" ht="12.75">
      <c r="E1664" s="267"/>
      <c r="F1664" s="2"/>
      <c r="G1664" s="2"/>
      <c r="I1664" s="248"/>
    </row>
    <row r="1665" spans="5:9" ht="12.75">
      <c r="E1665" s="267"/>
      <c r="F1665" s="2"/>
      <c r="G1665" s="2"/>
      <c r="I1665" s="248"/>
    </row>
    <row r="1666" spans="5:9" ht="12.75">
      <c r="E1666" s="267"/>
      <c r="F1666" s="2"/>
      <c r="G1666" s="2"/>
      <c r="I1666" s="248"/>
    </row>
    <row r="1667" spans="5:9" ht="12.75">
      <c r="E1667" s="267"/>
      <c r="F1667" s="2"/>
      <c r="G1667" s="2"/>
      <c r="I1667" s="248"/>
    </row>
    <row r="1668" spans="5:9" ht="12.75">
      <c r="E1668" s="267"/>
      <c r="F1668" s="2"/>
      <c r="G1668" s="2"/>
      <c r="I1668" s="248"/>
    </row>
    <row r="1669" spans="5:9" ht="12.75">
      <c r="E1669" s="267"/>
      <c r="F1669" s="2"/>
      <c r="G1669" s="2"/>
      <c r="I1669" s="248"/>
    </row>
    <row r="1670" spans="5:9" ht="12.75">
      <c r="E1670" s="267"/>
      <c r="F1670" s="2"/>
      <c r="G1670" s="2"/>
      <c r="I1670" s="248"/>
    </row>
    <row r="1671" spans="5:9" ht="12.75">
      <c r="E1671" s="267"/>
      <c r="F1671" s="2"/>
      <c r="G1671" s="2"/>
      <c r="I1671" s="248"/>
    </row>
    <row r="1672" spans="5:9" ht="12.75">
      <c r="E1672" s="267"/>
      <c r="F1672" s="2"/>
      <c r="G1672" s="2"/>
      <c r="I1672" s="248"/>
    </row>
    <row r="1673" spans="5:9" ht="12.75">
      <c r="E1673" s="267"/>
      <c r="F1673" s="2"/>
      <c r="G1673" s="2"/>
      <c r="I1673" s="248"/>
    </row>
    <row r="1674" spans="5:9" ht="12.75">
      <c r="E1674" s="267"/>
      <c r="F1674" s="2"/>
      <c r="G1674" s="2"/>
      <c r="I1674" s="248"/>
    </row>
    <row r="1675" spans="5:9" ht="12.75">
      <c r="E1675" s="267"/>
      <c r="F1675" s="2"/>
      <c r="G1675" s="2"/>
      <c r="I1675" s="248"/>
    </row>
    <row r="1676" spans="5:9" ht="12.75">
      <c r="E1676" s="267"/>
      <c r="F1676" s="2"/>
      <c r="G1676" s="2"/>
      <c r="I1676" s="248"/>
    </row>
    <row r="1677" spans="5:9" ht="12.75">
      <c r="E1677" s="267"/>
      <c r="F1677" s="2"/>
      <c r="G1677" s="2"/>
      <c r="I1677" s="248"/>
    </row>
    <row r="1678" spans="5:9" ht="12.75">
      <c r="E1678" s="267"/>
      <c r="F1678" s="2"/>
      <c r="G1678" s="2"/>
      <c r="I1678" s="248"/>
    </row>
    <row r="1679" spans="5:9" ht="12.75">
      <c r="E1679" s="267"/>
      <c r="F1679" s="2"/>
      <c r="G1679" s="2"/>
      <c r="I1679" s="248"/>
    </row>
    <row r="1680" spans="5:9" ht="12.75">
      <c r="E1680" s="267"/>
      <c r="F1680" s="2"/>
      <c r="G1680" s="2"/>
      <c r="I1680" s="248"/>
    </row>
    <row r="1681" spans="5:9" ht="12.75">
      <c r="E1681" s="267"/>
      <c r="F1681" s="2"/>
      <c r="G1681" s="2"/>
      <c r="I1681" s="248"/>
    </row>
    <row r="1682" spans="5:9" ht="12.75">
      <c r="E1682" s="267"/>
      <c r="F1682" s="2"/>
      <c r="G1682" s="2"/>
      <c r="I1682" s="248"/>
    </row>
    <row r="1683" spans="5:9" ht="12.75">
      <c r="E1683" s="267"/>
      <c r="F1683" s="2"/>
      <c r="G1683" s="2"/>
      <c r="I1683" s="248"/>
    </row>
    <row r="1684" spans="5:9" ht="12.75">
      <c r="E1684" s="267"/>
      <c r="F1684" s="2"/>
      <c r="G1684" s="2"/>
      <c r="I1684" s="248"/>
    </row>
    <row r="1685" spans="5:9" ht="12.75">
      <c r="E1685" s="267"/>
      <c r="F1685" s="2"/>
      <c r="G1685" s="2"/>
      <c r="I1685" s="248"/>
    </row>
    <row r="1686" spans="5:9" ht="12.75">
      <c r="E1686" s="267"/>
      <c r="F1686" s="2"/>
      <c r="G1686" s="2"/>
      <c r="I1686" s="248"/>
    </row>
    <row r="1687" spans="5:9" ht="12.75">
      <c r="E1687" s="267"/>
      <c r="F1687" s="2"/>
      <c r="G1687" s="2"/>
      <c r="I1687" s="248"/>
    </row>
    <row r="1688" spans="5:9" ht="12.75">
      <c r="E1688" s="267"/>
      <c r="F1688" s="2"/>
      <c r="G1688" s="2"/>
      <c r="I1688" s="248"/>
    </row>
    <row r="1689" spans="5:9" ht="12.75">
      <c r="E1689" s="267"/>
      <c r="F1689" s="2"/>
      <c r="G1689" s="2"/>
      <c r="I1689" s="248"/>
    </row>
    <row r="1690" spans="5:9" ht="12.75">
      <c r="E1690" s="267"/>
      <c r="F1690" s="2"/>
      <c r="G1690" s="2"/>
      <c r="I1690" s="248"/>
    </row>
    <row r="1691" spans="5:9" ht="12.75">
      <c r="E1691" s="267"/>
      <c r="F1691" s="2"/>
      <c r="G1691" s="2"/>
      <c r="I1691" s="248"/>
    </row>
    <row r="1692" spans="5:9" ht="12.75">
      <c r="E1692" s="267"/>
      <c r="F1692" s="2"/>
      <c r="G1692" s="2"/>
      <c r="I1692" s="248"/>
    </row>
    <row r="1693" spans="5:9" ht="12.75">
      <c r="E1693" s="267"/>
      <c r="F1693" s="2"/>
      <c r="G1693" s="2"/>
      <c r="I1693" s="248"/>
    </row>
    <row r="1694" spans="5:9" ht="12.75">
      <c r="E1694" s="267"/>
      <c r="F1694" s="2"/>
      <c r="G1694" s="2"/>
      <c r="I1694" s="248"/>
    </row>
    <row r="1695" spans="5:9" ht="12.75">
      <c r="E1695" s="267"/>
      <c r="F1695" s="2"/>
      <c r="G1695" s="2"/>
      <c r="I1695" s="248"/>
    </row>
    <row r="1696" spans="5:9" ht="12.75">
      <c r="E1696" s="267"/>
      <c r="F1696" s="2"/>
      <c r="G1696" s="2"/>
      <c r="I1696" s="248"/>
    </row>
    <row r="1697" spans="5:9" ht="12.75">
      <c r="E1697" s="267"/>
      <c r="F1697" s="2"/>
      <c r="G1697" s="2"/>
      <c r="I1697" s="248"/>
    </row>
    <row r="1698" spans="5:9" ht="12.75">
      <c r="E1698" s="267"/>
      <c r="F1698" s="2"/>
      <c r="G1698" s="2"/>
      <c r="I1698" s="248"/>
    </row>
    <row r="1699" spans="5:9" ht="12.75">
      <c r="E1699" s="267"/>
      <c r="F1699" s="2"/>
      <c r="G1699" s="2"/>
      <c r="I1699" s="248"/>
    </row>
    <row r="1700" spans="5:9" ht="12.75">
      <c r="E1700" s="267"/>
      <c r="F1700" s="2"/>
      <c r="G1700" s="2"/>
      <c r="I1700" s="248"/>
    </row>
    <row r="1701" spans="5:9" ht="12.75">
      <c r="E1701" s="267"/>
      <c r="F1701" s="2"/>
      <c r="G1701" s="2"/>
      <c r="I1701" s="248"/>
    </row>
    <row r="1702" spans="5:9" ht="12.75">
      <c r="E1702" s="267"/>
      <c r="F1702" s="2"/>
      <c r="G1702" s="2"/>
      <c r="I1702" s="248"/>
    </row>
    <row r="1703" spans="5:9" ht="12.75">
      <c r="E1703" s="267"/>
      <c r="F1703" s="2"/>
      <c r="G1703" s="2"/>
      <c r="I1703" s="248"/>
    </row>
    <row r="1704" spans="5:9" ht="12.75">
      <c r="E1704" s="267"/>
      <c r="F1704" s="2"/>
      <c r="G1704" s="2"/>
      <c r="I1704" s="248"/>
    </row>
    <row r="1705" spans="5:9" ht="12.75">
      <c r="E1705" s="267"/>
      <c r="F1705" s="2"/>
      <c r="G1705" s="2"/>
      <c r="I1705" s="248"/>
    </row>
    <row r="1706" spans="5:9" ht="12.75">
      <c r="E1706" s="267"/>
      <c r="F1706" s="2"/>
      <c r="G1706" s="2"/>
      <c r="I1706" s="248"/>
    </row>
    <row r="1707" spans="5:9" ht="12.75">
      <c r="E1707" s="267"/>
      <c r="F1707" s="2"/>
      <c r="G1707" s="2"/>
      <c r="I1707" s="248"/>
    </row>
    <row r="1708" spans="5:9" ht="12.75">
      <c r="E1708" s="267"/>
      <c r="F1708" s="2"/>
      <c r="G1708" s="2"/>
      <c r="I1708" s="248"/>
    </row>
    <row r="1709" spans="5:9" ht="12.75">
      <c r="E1709" s="267"/>
      <c r="F1709" s="2"/>
      <c r="G1709" s="2"/>
      <c r="I1709" s="248"/>
    </row>
    <row r="1710" spans="5:9" ht="12.75">
      <c r="E1710" s="267"/>
      <c r="F1710" s="2"/>
      <c r="G1710" s="2"/>
      <c r="I1710" s="248"/>
    </row>
    <row r="1711" spans="5:9" ht="12.75">
      <c r="E1711" s="267"/>
      <c r="F1711" s="2"/>
      <c r="G1711" s="2"/>
      <c r="I1711" s="248"/>
    </row>
    <row r="1712" spans="5:9" ht="12.75">
      <c r="E1712" s="267"/>
      <c r="F1712" s="2"/>
      <c r="G1712" s="2"/>
      <c r="I1712" s="248"/>
    </row>
    <row r="1713" spans="5:9" ht="12.75">
      <c r="E1713" s="267"/>
      <c r="F1713" s="2"/>
      <c r="G1713" s="2"/>
      <c r="I1713" s="248"/>
    </row>
    <row r="1714" spans="5:9" ht="12.75">
      <c r="E1714" s="267"/>
      <c r="F1714" s="2"/>
      <c r="G1714" s="2"/>
      <c r="I1714" s="248"/>
    </row>
    <row r="1715" spans="5:9" ht="12.75">
      <c r="E1715" s="267"/>
      <c r="F1715" s="2"/>
      <c r="G1715" s="2"/>
      <c r="I1715" s="248"/>
    </row>
    <row r="1716" spans="5:9" ht="12.75">
      <c r="E1716" s="267"/>
      <c r="F1716" s="2"/>
      <c r="G1716" s="2"/>
      <c r="I1716" s="248"/>
    </row>
    <row r="1717" spans="5:9" ht="12.75">
      <c r="E1717" s="267"/>
      <c r="F1717" s="2"/>
      <c r="G1717" s="2"/>
      <c r="I1717" s="248"/>
    </row>
    <row r="1718" spans="5:9" ht="12.75">
      <c r="E1718" s="267"/>
      <c r="F1718" s="2"/>
      <c r="G1718" s="2"/>
      <c r="I1718" s="248"/>
    </row>
    <row r="1719" spans="5:9" ht="12.75">
      <c r="E1719" s="267"/>
      <c r="F1719" s="2"/>
      <c r="G1719" s="2"/>
      <c r="I1719" s="248"/>
    </row>
    <row r="1720" spans="5:9" ht="12.75">
      <c r="E1720" s="267"/>
      <c r="F1720" s="2"/>
      <c r="G1720" s="2"/>
      <c r="I1720" s="248"/>
    </row>
    <row r="1721" spans="5:9" ht="12.75">
      <c r="E1721" s="267"/>
      <c r="F1721" s="2"/>
      <c r="G1721" s="2"/>
      <c r="I1721" s="248"/>
    </row>
    <row r="1722" spans="5:9" ht="12.75">
      <c r="E1722" s="267"/>
      <c r="F1722" s="2"/>
      <c r="G1722" s="2"/>
      <c r="I1722" s="248"/>
    </row>
    <row r="1723" spans="5:9" ht="12.75">
      <c r="E1723" s="267"/>
      <c r="F1723" s="2"/>
      <c r="G1723" s="2"/>
      <c r="I1723" s="248"/>
    </row>
    <row r="1724" spans="5:9" ht="12.75">
      <c r="E1724" s="267"/>
      <c r="F1724" s="2"/>
      <c r="G1724" s="2"/>
      <c r="I1724" s="248"/>
    </row>
    <row r="1725" spans="5:9" ht="12.75">
      <c r="E1725" s="267"/>
      <c r="F1725" s="2"/>
      <c r="G1725" s="2"/>
      <c r="I1725" s="248"/>
    </row>
    <row r="1726" spans="5:9" ht="12.75">
      <c r="E1726" s="267"/>
      <c r="F1726" s="2"/>
      <c r="G1726" s="2"/>
      <c r="I1726" s="248"/>
    </row>
    <row r="1727" spans="5:9" ht="12.75">
      <c r="E1727" s="267"/>
      <c r="F1727" s="2"/>
      <c r="G1727" s="2"/>
      <c r="I1727" s="248"/>
    </row>
    <row r="1728" spans="5:9" ht="12.75">
      <c r="E1728" s="267"/>
      <c r="F1728" s="2"/>
      <c r="G1728" s="2"/>
      <c r="I1728" s="248"/>
    </row>
    <row r="1729" spans="5:9" ht="12.75">
      <c r="E1729" s="267"/>
      <c r="F1729" s="2"/>
      <c r="G1729" s="2"/>
      <c r="I1729" s="248"/>
    </row>
    <row r="1730" spans="5:9" ht="12.75">
      <c r="E1730" s="267"/>
      <c r="F1730" s="2"/>
      <c r="G1730" s="2"/>
      <c r="I1730" s="248"/>
    </row>
    <row r="1731" spans="5:9" ht="12.75">
      <c r="E1731" s="267"/>
      <c r="F1731" s="2"/>
      <c r="G1731" s="2"/>
      <c r="I1731" s="248"/>
    </row>
    <row r="1732" spans="5:9" ht="12.75">
      <c r="E1732" s="267"/>
      <c r="F1732" s="2"/>
      <c r="G1732" s="2"/>
      <c r="I1732" s="248"/>
    </row>
    <row r="1733" spans="5:9" ht="12.75">
      <c r="E1733" s="267"/>
      <c r="F1733" s="2"/>
      <c r="G1733" s="2"/>
      <c r="I1733" s="248"/>
    </row>
    <row r="1734" spans="5:9" ht="12.75">
      <c r="E1734" s="267"/>
      <c r="F1734" s="2"/>
      <c r="G1734" s="2"/>
      <c r="I1734" s="248"/>
    </row>
    <row r="1735" spans="5:9" ht="12.75">
      <c r="E1735" s="267"/>
      <c r="F1735" s="2"/>
      <c r="G1735" s="2"/>
      <c r="I1735" s="248"/>
    </row>
    <row r="1736" spans="5:9" ht="12.75">
      <c r="E1736" s="267"/>
      <c r="F1736" s="2"/>
      <c r="G1736" s="2"/>
      <c r="I1736" s="248"/>
    </row>
    <row r="1737" spans="5:9" ht="12.75">
      <c r="E1737" s="267"/>
      <c r="F1737" s="2"/>
      <c r="G1737" s="2"/>
      <c r="I1737" s="248"/>
    </row>
    <row r="1738" spans="5:9" ht="12.75">
      <c r="E1738" s="267"/>
      <c r="F1738" s="2"/>
      <c r="G1738" s="2"/>
      <c r="I1738" s="248"/>
    </row>
    <row r="1739" spans="5:9" ht="12.75">
      <c r="E1739" s="267"/>
      <c r="F1739" s="2"/>
      <c r="G1739" s="2"/>
      <c r="I1739" s="248"/>
    </row>
    <row r="1740" spans="5:9" ht="12.75">
      <c r="E1740" s="267"/>
      <c r="F1740" s="2"/>
      <c r="G1740" s="2"/>
      <c r="I1740" s="248"/>
    </row>
    <row r="1741" spans="5:9" ht="12.75">
      <c r="E1741" s="267"/>
      <c r="F1741" s="2"/>
      <c r="G1741" s="2"/>
      <c r="I1741" s="248"/>
    </row>
    <row r="1742" spans="5:9" ht="12.75">
      <c r="E1742" s="267"/>
      <c r="F1742" s="2"/>
      <c r="G1742" s="2"/>
      <c r="I1742" s="248"/>
    </row>
    <row r="1743" spans="5:9" ht="12.75">
      <c r="E1743" s="267"/>
      <c r="F1743" s="2"/>
      <c r="G1743" s="2"/>
      <c r="I1743" s="248"/>
    </row>
    <row r="1744" spans="5:9" ht="12.75">
      <c r="E1744" s="267"/>
      <c r="F1744" s="2"/>
      <c r="G1744" s="2"/>
      <c r="I1744" s="248"/>
    </row>
    <row r="1745" spans="5:9" ht="12.75">
      <c r="E1745" s="267"/>
      <c r="F1745" s="2"/>
      <c r="G1745" s="2"/>
      <c r="I1745" s="248"/>
    </row>
    <row r="1746" spans="5:9" ht="12.75">
      <c r="E1746" s="267"/>
      <c r="F1746" s="2"/>
      <c r="G1746" s="2"/>
      <c r="I1746" s="248"/>
    </row>
    <row r="1747" spans="5:9" ht="12.75">
      <c r="E1747" s="267"/>
      <c r="F1747" s="2"/>
      <c r="G1747" s="2"/>
      <c r="I1747" s="248"/>
    </row>
    <row r="1748" spans="5:9" ht="12.75">
      <c r="E1748" s="267"/>
      <c r="F1748" s="2"/>
      <c r="G1748" s="2"/>
      <c r="I1748" s="248"/>
    </row>
    <row r="1749" spans="5:9" ht="12.75">
      <c r="E1749" s="267"/>
      <c r="F1749" s="2"/>
      <c r="G1749" s="2"/>
      <c r="I1749" s="248"/>
    </row>
    <row r="1750" spans="5:9" ht="12.75">
      <c r="E1750" s="267"/>
      <c r="F1750" s="2"/>
      <c r="G1750" s="2"/>
      <c r="I1750" s="248"/>
    </row>
    <row r="1751" spans="5:9" ht="12.75">
      <c r="E1751" s="267"/>
      <c r="F1751" s="2"/>
      <c r="G1751" s="2"/>
      <c r="I1751" s="248"/>
    </row>
    <row r="1752" spans="5:9" ht="12.75">
      <c r="E1752" s="267"/>
      <c r="F1752" s="2"/>
      <c r="G1752" s="2"/>
      <c r="I1752" s="248"/>
    </row>
    <row r="1753" spans="5:9" ht="12.75">
      <c r="E1753" s="267"/>
      <c r="F1753" s="2"/>
      <c r="G1753" s="2"/>
      <c r="I1753" s="248"/>
    </row>
    <row r="1754" spans="5:9" ht="12.75">
      <c r="E1754" s="267"/>
      <c r="F1754" s="2"/>
      <c r="G1754" s="2"/>
      <c r="I1754" s="248"/>
    </row>
    <row r="1755" spans="5:9" ht="12.75">
      <c r="E1755" s="267"/>
      <c r="F1755" s="2"/>
      <c r="G1755" s="2"/>
      <c r="I1755" s="248"/>
    </row>
    <row r="1756" spans="5:9" ht="12.75">
      <c r="E1756" s="267"/>
      <c r="F1756" s="2"/>
      <c r="G1756" s="2"/>
      <c r="I1756" s="248"/>
    </row>
    <row r="1757" spans="5:9" ht="12.75">
      <c r="E1757" s="267"/>
      <c r="F1757" s="2"/>
      <c r="G1757" s="2"/>
      <c r="I1757" s="248"/>
    </row>
    <row r="1758" spans="5:9" ht="12.75">
      <c r="E1758" s="267"/>
      <c r="F1758" s="2"/>
      <c r="G1758" s="2"/>
      <c r="I1758" s="248"/>
    </row>
    <row r="1759" spans="5:9" ht="12.75">
      <c r="E1759" s="267"/>
      <c r="F1759" s="2"/>
      <c r="G1759" s="2"/>
      <c r="I1759" s="248"/>
    </row>
    <row r="1760" spans="5:9" ht="12.75">
      <c r="E1760" s="267"/>
      <c r="F1760" s="2"/>
      <c r="G1760" s="2"/>
      <c r="I1760" s="248"/>
    </row>
    <row r="1761" spans="5:9" ht="12.75">
      <c r="E1761" s="267"/>
      <c r="F1761" s="2"/>
      <c r="G1761" s="2"/>
      <c r="I1761" s="248"/>
    </row>
    <row r="1762" spans="5:9" ht="12.75">
      <c r="E1762" s="267"/>
      <c r="F1762" s="2"/>
      <c r="G1762" s="2"/>
      <c r="I1762" s="248"/>
    </row>
    <row r="1763" spans="5:9" ht="12.75">
      <c r="E1763" s="267"/>
      <c r="F1763" s="2"/>
      <c r="G1763" s="2"/>
      <c r="I1763" s="248"/>
    </row>
    <row r="1764" spans="5:9" ht="12.75">
      <c r="E1764" s="267"/>
      <c r="F1764" s="2"/>
      <c r="G1764" s="2"/>
      <c r="I1764" s="248"/>
    </row>
    <row r="1765" spans="5:9" ht="12.75">
      <c r="E1765" s="267"/>
      <c r="F1765" s="2"/>
      <c r="G1765" s="2"/>
      <c r="I1765" s="248"/>
    </row>
    <row r="1766" spans="5:9" ht="12.75">
      <c r="E1766" s="267"/>
      <c r="F1766" s="2"/>
      <c r="G1766" s="2"/>
      <c r="I1766" s="248"/>
    </row>
    <row r="1767" spans="5:9" ht="12.75">
      <c r="E1767" s="267"/>
      <c r="F1767" s="2"/>
      <c r="G1767" s="2"/>
      <c r="I1767" s="248"/>
    </row>
    <row r="1768" spans="5:9" ht="12.75">
      <c r="E1768" s="267"/>
      <c r="F1768" s="2"/>
      <c r="G1768" s="2"/>
      <c r="I1768" s="248"/>
    </row>
    <row r="1769" spans="5:9" ht="12.75">
      <c r="E1769" s="267"/>
      <c r="F1769" s="2"/>
      <c r="G1769" s="2"/>
      <c r="I1769" s="248"/>
    </row>
    <row r="1770" spans="5:9" ht="12.75">
      <c r="E1770" s="267"/>
      <c r="F1770" s="2"/>
      <c r="G1770" s="2"/>
      <c r="I1770" s="248"/>
    </row>
    <row r="1771" spans="5:9" ht="12.75">
      <c r="E1771" s="267"/>
      <c r="F1771" s="2"/>
      <c r="G1771" s="2"/>
      <c r="I1771" s="248"/>
    </row>
    <row r="1772" spans="5:9" ht="12.75">
      <c r="E1772" s="267"/>
      <c r="F1772" s="2"/>
      <c r="G1772" s="2"/>
      <c r="I1772" s="248"/>
    </row>
    <row r="1773" spans="5:9" ht="12.75">
      <c r="E1773" s="267"/>
      <c r="F1773" s="2"/>
      <c r="G1773" s="2"/>
      <c r="I1773" s="248"/>
    </row>
    <row r="1774" spans="5:9" ht="12.75">
      <c r="E1774" s="267"/>
      <c r="F1774" s="2"/>
      <c r="G1774" s="2"/>
      <c r="I1774" s="248"/>
    </row>
    <row r="1775" spans="5:9" ht="12.75">
      <c r="E1775" s="267"/>
      <c r="F1775" s="2"/>
      <c r="G1775" s="2"/>
      <c r="I1775" s="248"/>
    </row>
    <row r="1776" spans="5:9" ht="12.75">
      <c r="E1776" s="267"/>
      <c r="F1776" s="2"/>
      <c r="G1776" s="2"/>
      <c r="I1776" s="248"/>
    </row>
    <row r="1777" spans="5:9" ht="12.75">
      <c r="E1777" s="267"/>
      <c r="F1777" s="2"/>
      <c r="G1777" s="2"/>
      <c r="I1777" s="248"/>
    </row>
    <row r="1778" spans="5:9" ht="12.75">
      <c r="E1778" s="267"/>
      <c r="F1778" s="2"/>
      <c r="G1778" s="2"/>
      <c r="I1778" s="248"/>
    </row>
    <row r="1779" spans="5:9" ht="12.75">
      <c r="E1779" s="267"/>
      <c r="F1779" s="2"/>
      <c r="G1779" s="2"/>
      <c r="I1779" s="248"/>
    </row>
    <row r="1780" spans="5:9" ht="12.75">
      <c r="E1780" s="267"/>
      <c r="F1780" s="2"/>
      <c r="G1780" s="2"/>
      <c r="I1780" s="248"/>
    </row>
    <row r="1781" spans="5:9" ht="12.75">
      <c r="E1781" s="267"/>
      <c r="F1781" s="2"/>
      <c r="G1781" s="2"/>
      <c r="I1781" s="248"/>
    </row>
    <row r="1782" spans="5:9" ht="12.75">
      <c r="E1782" s="267"/>
      <c r="F1782" s="2"/>
      <c r="G1782" s="2"/>
      <c r="I1782" s="248"/>
    </row>
    <row r="1783" spans="5:9" ht="12.75">
      <c r="E1783" s="267"/>
      <c r="F1783" s="2"/>
      <c r="G1783" s="2"/>
      <c r="I1783" s="248"/>
    </row>
    <row r="1784" spans="5:9" ht="12.75">
      <c r="E1784" s="267"/>
      <c r="F1784" s="2"/>
      <c r="G1784" s="2"/>
      <c r="I1784" s="248"/>
    </row>
    <row r="1785" spans="5:9" ht="12.75">
      <c r="E1785" s="267"/>
      <c r="F1785" s="2"/>
      <c r="G1785" s="2"/>
      <c r="I1785" s="248"/>
    </row>
    <row r="1786" spans="5:9" ht="12.75">
      <c r="E1786" s="267"/>
      <c r="F1786" s="2"/>
      <c r="G1786" s="2"/>
      <c r="I1786" s="248"/>
    </row>
    <row r="1787" spans="5:9" ht="12.75">
      <c r="E1787" s="267"/>
      <c r="F1787" s="2"/>
      <c r="G1787" s="2"/>
      <c r="I1787" s="248"/>
    </row>
    <row r="1788" spans="5:9" ht="12.75">
      <c r="E1788" s="267"/>
      <c r="F1788" s="2"/>
      <c r="G1788" s="2"/>
      <c r="I1788" s="248"/>
    </row>
    <row r="1789" spans="5:9" ht="12.75">
      <c r="E1789" s="267"/>
      <c r="F1789" s="2"/>
      <c r="G1789" s="2"/>
      <c r="I1789" s="248"/>
    </row>
    <row r="1790" spans="5:9" ht="12.75">
      <c r="E1790" s="267"/>
      <c r="F1790" s="2"/>
      <c r="G1790" s="2"/>
      <c r="I1790" s="248"/>
    </row>
    <row r="1791" spans="5:9" ht="12.75">
      <c r="E1791" s="267"/>
      <c r="F1791" s="2"/>
      <c r="G1791" s="2"/>
      <c r="I1791" s="248"/>
    </row>
    <row r="1792" spans="5:9" ht="12.75">
      <c r="E1792" s="267"/>
      <c r="F1792" s="2"/>
      <c r="G1792" s="2"/>
      <c r="I1792" s="248"/>
    </row>
    <row r="1793" spans="5:9" ht="12.75">
      <c r="E1793" s="267"/>
      <c r="F1793" s="2"/>
      <c r="G1793" s="2"/>
      <c r="I1793" s="248"/>
    </row>
    <row r="1794" spans="5:9" ht="12.75">
      <c r="E1794" s="267"/>
      <c r="F1794" s="2"/>
      <c r="G1794" s="2"/>
      <c r="I1794" s="248"/>
    </row>
    <row r="1795" spans="5:9" ht="12.75">
      <c r="E1795" s="267"/>
      <c r="F1795" s="2"/>
      <c r="G1795" s="2"/>
      <c r="I1795" s="248"/>
    </row>
    <row r="1796" spans="5:9" ht="12.75">
      <c r="E1796" s="267"/>
      <c r="F1796" s="2"/>
      <c r="G1796" s="2"/>
      <c r="I1796" s="248"/>
    </row>
    <row r="1797" spans="5:9" ht="12.75">
      <c r="E1797" s="267"/>
      <c r="F1797" s="2"/>
      <c r="G1797" s="2"/>
      <c r="I1797" s="248"/>
    </row>
    <row r="1798" spans="5:9" ht="12.75">
      <c r="E1798" s="267"/>
      <c r="F1798" s="2"/>
      <c r="G1798" s="2"/>
      <c r="I1798" s="248"/>
    </row>
    <row r="1799" spans="5:9" ht="12.75">
      <c r="E1799" s="267"/>
      <c r="F1799" s="2"/>
      <c r="G1799" s="2"/>
      <c r="I1799" s="248"/>
    </row>
    <row r="1800" spans="5:9" ht="12.75">
      <c r="E1800" s="267"/>
      <c r="F1800" s="2"/>
      <c r="G1800" s="2"/>
      <c r="I1800" s="248"/>
    </row>
    <row r="1801" spans="5:9" ht="12.75">
      <c r="E1801" s="267"/>
      <c r="F1801" s="2"/>
      <c r="G1801" s="2"/>
      <c r="I1801" s="248"/>
    </row>
    <row r="1802" spans="5:9" ht="12.75">
      <c r="E1802" s="267"/>
      <c r="F1802" s="2"/>
      <c r="G1802" s="2"/>
      <c r="I1802" s="248"/>
    </row>
    <row r="1803" spans="5:9" ht="12.75">
      <c r="E1803" s="267"/>
      <c r="F1803" s="2"/>
      <c r="G1803" s="2"/>
      <c r="I1803" s="248"/>
    </row>
    <row r="1804" spans="5:9" ht="12.75">
      <c r="E1804" s="267"/>
      <c r="F1804" s="2"/>
      <c r="G1804" s="2"/>
      <c r="I1804" s="248"/>
    </row>
    <row r="1805" spans="5:9" ht="12.75">
      <c r="E1805" s="267"/>
      <c r="F1805" s="2"/>
      <c r="G1805" s="2"/>
      <c r="I1805" s="248"/>
    </row>
    <row r="1806" spans="5:9" ht="12.75">
      <c r="E1806" s="267"/>
      <c r="F1806" s="2"/>
      <c r="G1806" s="2"/>
      <c r="I1806" s="248"/>
    </row>
    <row r="1807" spans="5:9" ht="12.75">
      <c r="E1807" s="267"/>
      <c r="F1807" s="2"/>
      <c r="G1807" s="2"/>
      <c r="I1807" s="248"/>
    </row>
    <row r="1808" spans="5:9" ht="12.75">
      <c r="E1808" s="267"/>
      <c r="F1808" s="2"/>
      <c r="G1808" s="2"/>
      <c r="I1808" s="248"/>
    </row>
    <row r="1809" spans="5:9" ht="12.75">
      <c r="E1809" s="267"/>
      <c r="F1809" s="2"/>
      <c r="G1809" s="2"/>
      <c r="I1809" s="248"/>
    </row>
    <row r="1810" spans="5:9" ht="12.75">
      <c r="E1810" s="267"/>
      <c r="F1810" s="2"/>
      <c r="G1810" s="2"/>
      <c r="I1810" s="248"/>
    </row>
    <row r="1811" spans="5:9" ht="12.75">
      <c r="E1811" s="267"/>
      <c r="F1811" s="2"/>
      <c r="G1811" s="2"/>
      <c r="I1811" s="248"/>
    </row>
    <row r="1812" spans="5:9" ht="12.75">
      <c r="E1812" s="267"/>
      <c r="F1812" s="2"/>
      <c r="G1812" s="2"/>
      <c r="I1812" s="248"/>
    </row>
    <row r="1813" spans="5:9" ht="12.75">
      <c r="E1813" s="267"/>
      <c r="F1813" s="2"/>
      <c r="G1813" s="2"/>
      <c r="I1813" s="248"/>
    </row>
    <row r="1814" spans="5:9" ht="12.75">
      <c r="E1814" s="267"/>
      <c r="F1814" s="2"/>
      <c r="G1814" s="2"/>
      <c r="I1814" s="248"/>
    </row>
    <row r="1815" spans="5:9" ht="12.75">
      <c r="E1815" s="267"/>
      <c r="F1815" s="2"/>
      <c r="G1815" s="2"/>
      <c r="I1815" s="248"/>
    </row>
    <row r="1816" spans="5:9" ht="12.75">
      <c r="E1816" s="267"/>
      <c r="F1816" s="2"/>
      <c r="G1816" s="2"/>
      <c r="I1816" s="248"/>
    </row>
    <row r="1817" spans="5:9" ht="12.75">
      <c r="E1817" s="267"/>
      <c r="F1817" s="2"/>
      <c r="G1817" s="2"/>
      <c r="I1817" s="248"/>
    </row>
    <row r="1818" spans="5:9" ht="12.75">
      <c r="E1818" s="267"/>
      <c r="F1818" s="2"/>
      <c r="G1818" s="2"/>
      <c r="I1818" s="248"/>
    </row>
    <row r="1819" spans="5:9" ht="12.75">
      <c r="E1819" s="267"/>
      <c r="F1819" s="2"/>
      <c r="G1819" s="2"/>
      <c r="I1819" s="248"/>
    </row>
    <row r="1820" spans="5:9" ht="12.75">
      <c r="E1820" s="267"/>
      <c r="F1820" s="2"/>
      <c r="G1820" s="2"/>
      <c r="I1820" s="248"/>
    </row>
    <row r="1821" spans="5:9" ht="12.75">
      <c r="E1821" s="267"/>
      <c r="F1821" s="2"/>
      <c r="G1821" s="2"/>
      <c r="I1821" s="248"/>
    </row>
    <row r="1822" spans="5:9" ht="12.75">
      <c r="E1822" s="267"/>
      <c r="F1822" s="2"/>
      <c r="G1822" s="2"/>
      <c r="I1822" s="248"/>
    </row>
    <row r="1823" spans="5:9" ht="12.75">
      <c r="E1823" s="267"/>
      <c r="F1823" s="2"/>
      <c r="G1823" s="2"/>
      <c r="I1823" s="248"/>
    </row>
    <row r="1824" spans="5:9" ht="12.75">
      <c r="E1824" s="267"/>
      <c r="F1824" s="2"/>
      <c r="G1824" s="2"/>
      <c r="I1824" s="248"/>
    </row>
    <row r="1825" spans="5:9" ht="12.75">
      <c r="E1825" s="267"/>
      <c r="F1825" s="2"/>
      <c r="G1825" s="2"/>
      <c r="I1825" s="248"/>
    </row>
    <row r="1826" spans="5:9" ht="12.75">
      <c r="E1826" s="267"/>
      <c r="F1826" s="2"/>
      <c r="G1826" s="2"/>
      <c r="I1826" s="248"/>
    </row>
    <row r="1827" spans="5:9" ht="12.75">
      <c r="E1827" s="267"/>
      <c r="F1827" s="2"/>
      <c r="G1827" s="2"/>
      <c r="I1827" s="248"/>
    </row>
    <row r="1828" spans="5:9" ht="12.75">
      <c r="E1828" s="267"/>
      <c r="F1828" s="2"/>
      <c r="G1828" s="2"/>
      <c r="I1828" s="248"/>
    </row>
    <row r="1829" spans="5:9" ht="12.75">
      <c r="E1829" s="267"/>
      <c r="F1829" s="2"/>
      <c r="G1829" s="2"/>
      <c r="I1829" s="248"/>
    </row>
    <row r="1830" spans="5:9" ht="12.75">
      <c r="E1830" s="267"/>
      <c r="F1830" s="2"/>
      <c r="G1830" s="2"/>
      <c r="I1830" s="248"/>
    </row>
    <row r="1831" spans="5:9" ht="12.75">
      <c r="E1831" s="267"/>
      <c r="F1831" s="2"/>
      <c r="G1831" s="2"/>
      <c r="I1831" s="248"/>
    </row>
    <row r="1832" spans="5:9" ht="12.75">
      <c r="E1832" s="267"/>
      <c r="F1832" s="2"/>
      <c r="G1832" s="2"/>
      <c r="I1832" s="248"/>
    </row>
    <row r="1833" spans="5:9" ht="12.75">
      <c r="E1833" s="267"/>
      <c r="F1833" s="2"/>
      <c r="G1833" s="2"/>
      <c r="I1833" s="248"/>
    </row>
    <row r="1834" spans="5:9" ht="12.75">
      <c r="E1834" s="267"/>
      <c r="F1834" s="2"/>
      <c r="G1834" s="2"/>
      <c r="I1834" s="248"/>
    </row>
    <row r="1835" spans="5:9" ht="12.75">
      <c r="E1835" s="267"/>
      <c r="F1835" s="2"/>
      <c r="G1835" s="2"/>
      <c r="I1835" s="248"/>
    </row>
    <row r="1836" spans="5:9" ht="12.75">
      <c r="E1836" s="267"/>
      <c r="F1836" s="2"/>
      <c r="G1836" s="2"/>
      <c r="I1836" s="248"/>
    </row>
    <row r="1837" spans="5:9" ht="12.75">
      <c r="E1837" s="267"/>
      <c r="F1837" s="2"/>
      <c r="G1837" s="2"/>
      <c r="I1837" s="248"/>
    </row>
    <row r="1838" spans="5:9" ht="12.75">
      <c r="E1838" s="267"/>
      <c r="F1838" s="2"/>
      <c r="G1838" s="2"/>
      <c r="I1838" s="248"/>
    </row>
    <row r="1839" spans="5:9" ht="12.75">
      <c r="E1839" s="267"/>
      <c r="F1839" s="2"/>
      <c r="G1839" s="2"/>
      <c r="I1839" s="248"/>
    </row>
    <row r="1840" spans="5:9" ht="12.75">
      <c r="E1840" s="267"/>
      <c r="F1840" s="2"/>
      <c r="G1840" s="2"/>
      <c r="I1840" s="248"/>
    </row>
    <row r="1841" spans="5:9" ht="12.75">
      <c r="E1841" s="267"/>
      <c r="F1841" s="2"/>
      <c r="G1841" s="2"/>
      <c r="I1841" s="248"/>
    </row>
    <row r="1842" spans="5:9" ht="12.75">
      <c r="E1842" s="267"/>
      <c r="F1842" s="2"/>
      <c r="G1842" s="2"/>
      <c r="I1842" s="248"/>
    </row>
    <row r="1843" spans="5:9" ht="12.75">
      <c r="E1843" s="267"/>
      <c r="F1843" s="2"/>
      <c r="G1843" s="2"/>
      <c r="I1843" s="248"/>
    </row>
    <row r="1844" spans="5:9" ht="12.75">
      <c r="E1844" s="267"/>
      <c r="F1844" s="2"/>
      <c r="G1844" s="2"/>
      <c r="I1844" s="248"/>
    </row>
    <row r="1845" spans="5:9" ht="12.75">
      <c r="E1845" s="267"/>
      <c r="F1845" s="2"/>
      <c r="G1845" s="2"/>
      <c r="I1845" s="248"/>
    </row>
    <row r="1846" spans="5:9" ht="12.75">
      <c r="E1846" s="267"/>
      <c r="F1846" s="2"/>
      <c r="G1846" s="2"/>
      <c r="I1846" s="248"/>
    </row>
    <row r="1847" spans="5:9" ht="12.75">
      <c r="E1847" s="267"/>
      <c r="F1847" s="2"/>
      <c r="G1847" s="2"/>
      <c r="I1847" s="248"/>
    </row>
    <row r="1848" spans="5:9" ht="12.75">
      <c r="E1848" s="267"/>
      <c r="F1848" s="2"/>
      <c r="G1848" s="2"/>
      <c r="I1848" s="248"/>
    </row>
    <row r="1849" spans="5:9" ht="12.75">
      <c r="E1849" s="267"/>
      <c r="F1849" s="2"/>
      <c r="G1849" s="2"/>
      <c r="I1849" s="248"/>
    </row>
    <row r="1850" spans="5:9" ht="12.75">
      <c r="E1850" s="267"/>
      <c r="F1850" s="2"/>
      <c r="G1850" s="2"/>
      <c r="I1850" s="248"/>
    </row>
    <row r="1851" spans="5:9" ht="12.75">
      <c r="E1851" s="267"/>
      <c r="F1851" s="2"/>
      <c r="G1851" s="2"/>
      <c r="I1851" s="248"/>
    </row>
    <row r="1852" spans="5:9" ht="12.75">
      <c r="E1852" s="267"/>
      <c r="F1852" s="2"/>
      <c r="G1852" s="2"/>
      <c r="I1852" s="248"/>
    </row>
    <row r="1853" spans="5:9" ht="12.75">
      <c r="E1853" s="267"/>
      <c r="F1853" s="2"/>
      <c r="G1853" s="2"/>
      <c r="I1853" s="248"/>
    </row>
    <row r="1854" spans="5:9" ht="12.75">
      <c r="E1854" s="267"/>
      <c r="F1854" s="2"/>
      <c r="G1854" s="2"/>
      <c r="I1854" s="248"/>
    </row>
    <row r="1855" spans="5:9" ht="12.75">
      <c r="E1855" s="267"/>
      <c r="F1855" s="2"/>
      <c r="G1855" s="2"/>
      <c r="I1855" s="248"/>
    </row>
    <row r="1856" spans="5:9" ht="12.75">
      <c r="E1856" s="267"/>
      <c r="F1856" s="2"/>
      <c r="G1856" s="2"/>
      <c r="I1856" s="248"/>
    </row>
    <row r="1857" spans="5:9" ht="12.75">
      <c r="E1857" s="267"/>
      <c r="F1857" s="2"/>
      <c r="G1857" s="2"/>
      <c r="I1857" s="248"/>
    </row>
    <row r="1858" spans="5:9" ht="12.75">
      <c r="E1858" s="267"/>
      <c r="F1858" s="2"/>
      <c r="G1858" s="2"/>
      <c r="I1858" s="248"/>
    </row>
    <row r="1859" spans="5:9" ht="12.75">
      <c r="E1859" s="267"/>
      <c r="F1859" s="2"/>
      <c r="G1859" s="2"/>
      <c r="I1859" s="248"/>
    </row>
    <row r="1860" spans="5:9" ht="12.75">
      <c r="E1860" s="267"/>
      <c r="F1860" s="2"/>
      <c r="G1860" s="2"/>
      <c r="I1860" s="248"/>
    </row>
    <row r="1861" spans="5:9" ht="12.75">
      <c r="E1861" s="267"/>
      <c r="F1861" s="2"/>
      <c r="G1861" s="2"/>
      <c r="I1861" s="248"/>
    </row>
    <row r="1862" spans="5:9" ht="12.75">
      <c r="E1862" s="267"/>
      <c r="F1862" s="2"/>
      <c r="G1862" s="2"/>
      <c r="I1862" s="248"/>
    </row>
    <row r="1863" spans="5:9" ht="12.75">
      <c r="E1863" s="267"/>
      <c r="F1863" s="2"/>
      <c r="G1863" s="2"/>
      <c r="I1863" s="248"/>
    </row>
    <row r="1864" spans="5:9" ht="12.75">
      <c r="E1864" s="267"/>
      <c r="F1864" s="2"/>
      <c r="G1864" s="2"/>
      <c r="I1864" s="248"/>
    </row>
    <row r="1865" spans="5:9" ht="12.75">
      <c r="E1865" s="267"/>
      <c r="F1865" s="2"/>
      <c r="G1865" s="2"/>
      <c r="I1865" s="248"/>
    </row>
    <row r="1866" spans="5:9" ht="12.75">
      <c r="E1866" s="267"/>
      <c r="F1866" s="2"/>
      <c r="G1866" s="2"/>
      <c r="I1866" s="248"/>
    </row>
    <row r="1867" spans="5:9" ht="12.75">
      <c r="E1867" s="267"/>
      <c r="F1867" s="2"/>
      <c r="G1867" s="2"/>
      <c r="I1867" s="248"/>
    </row>
    <row r="1868" spans="5:9" ht="12.75">
      <c r="E1868" s="267"/>
      <c r="F1868" s="2"/>
      <c r="G1868" s="2"/>
      <c r="I1868" s="248"/>
    </row>
    <row r="1869" spans="5:9" ht="12.75">
      <c r="E1869" s="267"/>
      <c r="F1869" s="2"/>
      <c r="G1869" s="2"/>
      <c r="I1869" s="248"/>
    </row>
    <row r="1870" spans="5:9" ht="12.75">
      <c r="E1870" s="267"/>
      <c r="F1870" s="2"/>
      <c r="G1870" s="2"/>
      <c r="I1870" s="248"/>
    </row>
    <row r="1871" spans="5:9" ht="12.75">
      <c r="E1871" s="267"/>
      <c r="F1871" s="2"/>
      <c r="G1871" s="2"/>
      <c r="I1871" s="248"/>
    </row>
    <row r="1872" spans="5:9" ht="12.75">
      <c r="E1872" s="267"/>
      <c r="F1872" s="2"/>
      <c r="G1872" s="2"/>
      <c r="I1872" s="248"/>
    </row>
    <row r="1873" spans="5:9" ht="12.75">
      <c r="E1873" s="267"/>
      <c r="F1873" s="2"/>
      <c r="G1873" s="2"/>
      <c r="I1873" s="248"/>
    </row>
    <row r="1874" spans="5:9" ht="12.75">
      <c r="E1874" s="267"/>
      <c r="F1874" s="2"/>
      <c r="G1874" s="2"/>
      <c r="I1874" s="248"/>
    </row>
    <row r="1875" spans="5:9" ht="12.75">
      <c r="E1875" s="267"/>
      <c r="F1875" s="2"/>
      <c r="G1875" s="2"/>
      <c r="I1875" s="248"/>
    </row>
    <row r="1876" spans="5:9" ht="12.75">
      <c r="E1876" s="267"/>
      <c r="F1876" s="2"/>
      <c r="G1876" s="2"/>
      <c r="I1876" s="248"/>
    </row>
    <row r="1877" spans="5:9" ht="12.75">
      <c r="E1877" s="267"/>
      <c r="F1877" s="2"/>
      <c r="G1877" s="2"/>
      <c r="I1877" s="248"/>
    </row>
    <row r="1878" spans="5:9" ht="12.75">
      <c r="E1878" s="267"/>
      <c r="F1878" s="2"/>
      <c r="G1878" s="2"/>
      <c r="I1878" s="248"/>
    </row>
    <row r="1879" spans="5:9" ht="12.75">
      <c r="E1879" s="267"/>
      <c r="F1879" s="2"/>
      <c r="G1879" s="2"/>
      <c r="I1879" s="248"/>
    </row>
    <row r="1880" spans="5:9" ht="12.75">
      <c r="E1880" s="267"/>
      <c r="F1880" s="2"/>
      <c r="G1880" s="2"/>
      <c r="I1880" s="248"/>
    </row>
    <row r="1881" spans="5:9" ht="12.75">
      <c r="E1881" s="267"/>
      <c r="F1881" s="2"/>
      <c r="G1881" s="2"/>
      <c r="I1881" s="248"/>
    </row>
    <row r="1882" spans="5:9" ht="12.75">
      <c r="E1882" s="267"/>
      <c r="F1882" s="2"/>
      <c r="G1882" s="2"/>
      <c r="I1882" s="248"/>
    </row>
    <row r="1883" spans="5:9" ht="12.75">
      <c r="E1883" s="267"/>
      <c r="F1883" s="2"/>
      <c r="G1883" s="2"/>
      <c r="I1883" s="248"/>
    </row>
    <row r="1884" spans="5:9" ht="12.75">
      <c r="E1884" s="267"/>
      <c r="F1884" s="2"/>
      <c r="G1884" s="2"/>
      <c r="I1884" s="248"/>
    </row>
    <row r="1885" spans="5:9" ht="12.75">
      <c r="E1885" s="267"/>
      <c r="F1885" s="2"/>
      <c r="G1885" s="2"/>
      <c r="I1885" s="248"/>
    </row>
    <row r="1886" spans="5:9" ht="12.75">
      <c r="E1886" s="267"/>
      <c r="F1886" s="2"/>
      <c r="G1886" s="2"/>
      <c r="I1886" s="248"/>
    </row>
    <row r="1887" spans="5:9" ht="12.75">
      <c r="E1887" s="267"/>
      <c r="F1887" s="2"/>
      <c r="G1887" s="2"/>
      <c r="I1887" s="248"/>
    </row>
    <row r="1888" spans="5:9" ht="12.75">
      <c r="E1888" s="267"/>
      <c r="F1888" s="2"/>
      <c r="G1888" s="2"/>
      <c r="I1888" s="248"/>
    </row>
    <row r="1889" spans="5:9" ht="12.75">
      <c r="E1889" s="267"/>
      <c r="F1889" s="2"/>
      <c r="G1889" s="2"/>
      <c r="I1889" s="248"/>
    </row>
    <row r="1890" spans="5:9" ht="12.75">
      <c r="E1890" s="267"/>
      <c r="F1890" s="2"/>
      <c r="G1890" s="2"/>
      <c r="I1890" s="248"/>
    </row>
    <row r="1891" spans="5:9" ht="12.75">
      <c r="E1891" s="267"/>
      <c r="F1891" s="2"/>
      <c r="G1891" s="2"/>
      <c r="I1891" s="248"/>
    </row>
    <row r="1892" spans="5:9" ht="12.75">
      <c r="E1892" s="267"/>
      <c r="F1892" s="2"/>
      <c r="G1892" s="2"/>
      <c r="I1892" s="248"/>
    </row>
    <row r="1893" spans="5:9" ht="12.75">
      <c r="E1893" s="267"/>
      <c r="F1893" s="2"/>
      <c r="G1893" s="2"/>
      <c r="I1893" s="248"/>
    </row>
    <row r="1894" spans="5:9" ht="12.75">
      <c r="E1894" s="267"/>
      <c r="F1894" s="2"/>
      <c r="G1894" s="2"/>
      <c r="I1894" s="248"/>
    </row>
    <row r="1895" spans="5:9" ht="12.75">
      <c r="E1895" s="267"/>
      <c r="F1895" s="2"/>
      <c r="G1895" s="2"/>
      <c r="I1895" s="248"/>
    </row>
    <row r="1896" spans="5:9" ht="12.75">
      <c r="E1896" s="267"/>
      <c r="F1896" s="2"/>
      <c r="G1896" s="2"/>
      <c r="I1896" s="248"/>
    </row>
    <row r="1897" spans="5:9" ht="12.75">
      <c r="E1897" s="267"/>
      <c r="F1897" s="2"/>
      <c r="G1897" s="2"/>
      <c r="I1897" s="248"/>
    </row>
    <row r="1898" spans="5:9" ht="12.75">
      <c r="E1898" s="267"/>
      <c r="F1898" s="2"/>
      <c r="G1898" s="2"/>
      <c r="I1898" s="248"/>
    </row>
    <row r="1899" spans="5:9" ht="12.75">
      <c r="E1899" s="267"/>
      <c r="F1899" s="2"/>
      <c r="G1899" s="2"/>
      <c r="I1899" s="248"/>
    </row>
    <row r="1900" spans="5:9" ht="12.75">
      <c r="E1900" s="267"/>
      <c r="F1900" s="2"/>
      <c r="G1900" s="2"/>
      <c r="I1900" s="248"/>
    </row>
    <row r="1901" spans="5:9" ht="12.75">
      <c r="E1901" s="267"/>
      <c r="F1901" s="2"/>
      <c r="G1901" s="2"/>
      <c r="I1901" s="248"/>
    </row>
    <row r="1902" spans="5:9" ht="12.75">
      <c r="E1902" s="267"/>
      <c r="F1902" s="2"/>
      <c r="G1902" s="2"/>
      <c r="I1902" s="248"/>
    </row>
    <row r="1903" spans="5:9" ht="12.75">
      <c r="E1903" s="267"/>
      <c r="F1903" s="2"/>
      <c r="G1903" s="2"/>
      <c r="I1903" s="248"/>
    </row>
    <row r="1904" spans="5:9" ht="12.75">
      <c r="E1904" s="267"/>
      <c r="F1904" s="2"/>
      <c r="G1904" s="2"/>
      <c r="I1904" s="248"/>
    </row>
    <row r="1905" spans="5:9" ht="12.75">
      <c r="E1905" s="267"/>
      <c r="F1905" s="2"/>
      <c r="G1905" s="2"/>
      <c r="I1905" s="248"/>
    </row>
    <row r="1906" spans="5:9" ht="12.75">
      <c r="E1906" s="267"/>
      <c r="F1906" s="2"/>
      <c r="G1906" s="2"/>
      <c r="I1906" s="248"/>
    </row>
    <row r="1907" spans="5:9" ht="12.75">
      <c r="E1907" s="267"/>
      <c r="F1907" s="2"/>
      <c r="G1907" s="2"/>
      <c r="I1907" s="248"/>
    </row>
    <row r="1908" spans="5:9" ht="12.75">
      <c r="E1908" s="267"/>
      <c r="F1908" s="2"/>
      <c r="G1908" s="2"/>
      <c r="I1908" s="248"/>
    </row>
    <row r="1909" spans="5:9" ht="12.75">
      <c r="E1909" s="267"/>
      <c r="F1909" s="2"/>
      <c r="G1909" s="2"/>
      <c r="I1909" s="248"/>
    </row>
    <row r="1910" spans="5:9" ht="12.75">
      <c r="E1910" s="267"/>
      <c r="F1910" s="2"/>
      <c r="G1910" s="2"/>
      <c r="I1910" s="248"/>
    </row>
    <row r="1911" spans="5:9" ht="12.75">
      <c r="E1911" s="267"/>
      <c r="F1911" s="2"/>
      <c r="G1911" s="2"/>
      <c r="I1911" s="248"/>
    </row>
    <row r="1912" spans="5:9" ht="12.75">
      <c r="E1912" s="267"/>
      <c r="F1912" s="2"/>
      <c r="G1912" s="2"/>
      <c r="I1912" s="248"/>
    </row>
    <row r="1913" spans="5:9" ht="12.75">
      <c r="E1913" s="267"/>
      <c r="F1913" s="2"/>
      <c r="G1913" s="2"/>
      <c r="I1913" s="248"/>
    </row>
    <row r="1914" spans="5:9" ht="12.75">
      <c r="E1914" s="267"/>
      <c r="F1914" s="2"/>
      <c r="G1914" s="2"/>
      <c r="I1914" s="248"/>
    </row>
    <row r="1915" spans="5:9" ht="12.75">
      <c r="E1915" s="267"/>
      <c r="F1915" s="2"/>
      <c r="G1915" s="2"/>
      <c r="I1915" s="248"/>
    </row>
    <row r="1916" spans="5:9" ht="12.75">
      <c r="E1916" s="267"/>
      <c r="F1916" s="2"/>
      <c r="G1916" s="2"/>
      <c r="I1916" s="248"/>
    </row>
    <row r="1917" spans="5:9" ht="12.75">
      <c r="E1917" s="267"/>
      <c r="F1917" s="2"/>
      <c r="G1917" s="2"/>
      <c r="I1917" s="248"/>
    </row>
    <row r="1918" spans="5:9" ht="12.75">
      <c r="E1918" s="267"/>
      <c r="F1918" s="2"/>
      <c r="G1918" s="2"/>
      <c r="I1918" s="248"/>
    </row>
    <row r="1919" spans="5:9" ht="12.75">
      <c r="E1919" s="267"/>
      <c r="F1919" s="2"/>
      <c r="G1919" s="2"/>
      <c r="I1919" s="248"/>
    </row>
    <row r="1920" spans="5:9" ht="12.75">
      <c r="E1920" s="267"/>
      <c r="F1920" s="2"/>
      <c r="G1920" s="2"/>
      <c r="I1920" s="248"/>
    </row>
    <row r="1921" spans="5:9" ht="12.75">
      <c r="E1921" s="267"/>
      <c r="F1921" s="2"/>
      <c r="G1921" s="2"/>
      <c r="I1921" s="248"/>
    </row>
    <row r="1922" spans="5:9" ht="12.75">
      <c r="E1922" s="267"/>
      <c r="F1922" s="2"/>
      <c r="G1922" s="2"/>
      <c r="I1922" s="248"/>
    </row>
    <row r="1923" spans="5:9" ht="12.75">
      <c r="E1923" s="267"/>
      <c r="F1923" s="2"/>
      <c r="G1923" s="2"/>
      <c r="I1923" s="248"/>
    </row>
    <row r="1924" spans="5:9" ht="12.75">
      <c r="E1924" s="267"/>
      <c r="F1924" s="2"/>
      <c r="G1924" s="2"/>
      <c r="I1924" s="248"/>
    </row>
    <row r="1925" spans="5:9" ht="12.75">
      <c r="E1925" s="267"/>
      <c r="F1925" s="2"/>
      <c r="G1925" s="2"/>
      <c r="I1925" s="248"/>
    </row>
    <row r="1926" spans="5:9" ht="12.75">
      <c r="E1926" s="267"/>
      <c r="F1926" s="2"/>
      <c r="G1926" s="2"/>
      <c r="I1926" s="248"/>
    </row>
    <row r="1927" spans="5:9" ht="12.75">
      <c r="E1927" s="267"/>
      <c r="F1927" s="2"/>
      <c r="G1927" s="2"/>
      <c r="I1927" s="248"/>
    </row>
    <row r="1928" spans="5:9" ht="12.75">
      <c r="E1928" s="267"/>
      <c r="F1928" s="2"/>
      <c r="G1928" s="2"/>
      <c r="I1928" s="248"/>
    </row>
    <row r="1929" spans="5:9" ht="12.75">
      <c r="E1929" s="267"/>
      <c r="F1929" s="2"/>
      <c r="G1929" s="2"/>
      <c r="I1929" s="248"/>
    </row>
    <row r="1930" spans="5:9" ht="12.75">
      <c r="E1930" s="267"/>
      <c r="F1930" s="2"/>
      <c r="G1930" s="2"/>
      <c r="I1930" s="248"/>
    </row>
    <row r="1931" spans="5:9" ht="12.75">
      <c r="E1931" s="267"/>
      <c r="F1931" s="2"/>
      <c r="G1931" s="2"/>
      <c r="I1931" s="248"/>
    </row>
    <row r="1932" spans="5:9" ht="12.75">
      <c r="E1932" s="267"/>
      <c r="F1932" s="2"/>
      <c r="G1932" s="2"/>
      <c r="I1932" s="248"/>
    </row>
    <row r="1933" spans="5:9" ht="12.75">
      <c r="E1933" s="267"/>
      <c r="F1933" s="2"/>
      <c r="G1933" s="2"/>
      <c r="I1933" s="248"/>
    </row>
    <row r="1934" spans="5:9" ht="12.75">
      <c r="E1934" s="267"/>
      <c r="F1934" s="2"/>
      <c r="G1934" s="2"/>
      <c r="I1934" s="248"/>
    </row>
    <row r="1935" spans="5:9" ht="12.75">
      <c r="E1935" s="267"/>
      <c r="F1935" s="2"/>
      <c r="G1935" s="2"/>
      <c r="I1935" s="248"/>
    </row>
    <row r="1936" spans="5:9" ht="12.75">
      <c r="E1936" s="267"/>
      <c r="F1936" s="2"/>
      <c r="G1936" s="2"/>
      <c r="I1936" s="248"/>
    </row>
    <row r="1937" spans="5:9" ht="12.75">
      <c r="E1937" s="267"/>
      <c r="F1937" s="2"/>
      <c r="G1937" s="2"/>
      <c r="I1937" s="248"/>
    </row>
    <row r="1938" spans="5:9" ht="12.75">
      <c r="E1938" s="267"/>
      <c r="F1938" s="2"/>
      <c r="G1938" s="2"/>
      <c r="I1938" s="248"/>
    </row>
    <row r="1939" spans="5:9" ht="12.75">
      <c r="E1939" s="267"/>
      <c r="F1939" s="2"/>
      <c r="G1939" s="2"/>
      <c r="I1939" s="248"/>
    </row>
    <row r="1940" spans="5:9" ht="12.75">
      <c r="E1940" s="267"/>
      <c r="F1940" s="2"/>
      <c r="G1940" s="2"/>
      <c r="I1940" s="248"/>
    </row>
    <row r="1941" spans="5:9" ht="12.75">
      <c r="E1941" s="267"/>
      <c r="F1941" s="2"/>
      <c r="G1941" s="2"/>
      <c r="I1941" s="248"/>
    </row>
    <row r="1942" spans="5:9" ht="12.75">
      <c r="E1942" s="267"/>
      <c r="F1942" s="2"/>
      <c r="G1942" s="2"/>
      <c r="I1942" s="248"/>
    </row>
    <row r="1943" spans="5:9" ht="12.75">
      <c r="E1943" s="267"/>
      <c r="F1943" s="2"/>
      <c r="G1943" s="2"/>
      <c r="I1943" s="248"/>
    </row>
    <row r="1944" spans="5:9" ht="12.75">
      <c r="E1944" s="267"/>
      <c r="F1944" s="2"/>
      <c r="G1944" s="2"/>
      <c r="I1944" s="248"/>
    </row>
    <row r="1945" spans="5:9" ht="12.75">
      <c r="E1945" s="267"/>
      <c r="F1945" s="2"/>
      <c r="G1945" s="2"/>
      <c r="I1945" s="248"/>
    </row>
    <row r="1946" spans="5:9" ht="12.75">
      <c r="E1946" s="267"/>
      <c r="F1946" s="2"/>
      <c r="G1946" s="2"/>
      <c r="I1946" s="248"/>
    </row>
    <row r="1947" spans="5:9" ht="12.75">
      <c r="E1947" s="267"/>
      <c r="F1947" s="2"/>
      <c r="G1947" s="2"/>
      <c r="I1947" s="248"/>
    </row>
    <row r="1948" spans="5:9" ht="12.75">
      <c r="E1948" s="267"/>
      <c r="F1948" s="2"/>
      <c r="G1948" s="2"/>
      <c r="I1948" s="248"/>
    </row>
    <row r="1949" spans="5:9" ht="12.75">
      <c r="E1949" s="267"/>
      <c r="F1949" s="2"/>
      <c r="G1949" s="2"/>
      <c r="I1949" s="248"/>
    </row>
    <row r="1950" spans="5:9" ht="12.75">
      <c r="E1950" s="267"/>
      <c r="F1950" s="2"/>
      <c r="G1950" s="2"/>
      <c r="I1950" s="248"/>
    </row>
    <row r="1951" spans="5:9" ht="12.75">
      <c r="E1951" s="267"/>
      <c r="F1951" s="2"/>
      <c r="G1951" s="2"/>
      <c r="I1951" s="248"/>
    </row>
    <row r="1952" spans="5:9" ht="12.75">
      <c r="E1952" s="267"/>
      <c r="F1952" s="2"/>
      <c r="G1952" s="2"/>
      <c r="I1952" s="248"/>
    </row>
    <row r="1953" spans="5:9" ht="12.75">
      <c r="E1953" s="267"/>
      <c r="F1953" s="2"/>
      <c r="G1953" s="2"/>
      <c r="I1953" s="248"/>
    </row>
    <row r="1954" spans="5:9" ht="12.75">
      <c r="E1954" s="267"/>
      <c r="F1954" s="2"/>
      <c r="G1954" s="2"/>
      <c r="I1954" s="248"/>
    </row>
    <row r="1955" spans="5:9" ht="12.75">
      <c r="E1955" s="267"/>
      <c r="F1955" s="2"/>
      <c r="G1955" s="2"/>
      <c r="I1955" s="248"/>
    </row>
    <row r="1956" spans="5:9" ht="12.75">
      <c r="E1956" s="267"/>
      <c r="F1956" s="2"/>
      <c r="G1956" s="2"/>
      <c r="I1956" s="248"/>
    </row>
    <row r="1957" spans="5:9" ht="12.75">
      <c r="E1957" s="267"/>
      <c r="F1957" s="2"/>
      <c r="G1957" s="2"/>
      <c r="I1957" s="248"/>
    </row>
    <row r="1958" spans="5:9" ht="12.75">
      <c r="E1958" s="267"/>
      <c r="F1958" s="2"/>
      <c r="G1958" s="2"/>
      <c r="I1958" s="248"/>
    </row>
    <row r="1959" spans="5:9" ht="12.75">
      <c r="E1959" s="267"/>
      <c r="F1959" s="2"/>
      <c r="G1959" s="2"/>
      <c r="I1959" s="248"/>
    </row>
    <row r="1960" spans="5:9" ht="12.75">
      <c r="E1960" s="267"/>
      <c r="F1960" s="2"/>
      <c r="G1960" s="2"/>
      <c r="I1960" s="248"/>
    </row>
    <row r="1961" spans="5:9" ht="12.75">
      <c r="E1961" s="267"/>
      <c r="F1961" s="2"/>
      <c r="G1961" s="2"/>
      <c r="I1961" s="248"/>
    </row>
    <row r="1962" spans="5:9" ht="12.75">
      <c r="E1962" s="267"/>
      <c r="F1962" s="2"/>
      <c r="G1962" s="2"/>
      <c r="I1962" s="248"/>
    </row>
    <row r="1963" spans="5:9" ht="12.75">
      <c r="E1963" s="267"/>
      <c r="F1963" s="2"/>
      <c r="G1963" s="2"/>
      <c r="I1963" s="248"/>
    </row>
    <row r="1964" spans="5:9" ht="12.75">
      <c r="E1964" s="267"/>
      <c r="F1964" s="2"/>
      <c r="G1964" s="2"/>
      <c r="I1964" s="248"/>
    </row>
    <row r="1965" spans="5:9" ht="12.75">
      <c r="E1965" s="267"/>
      <c r="F1965" s="2"/>
      <c r="G1965" s="2"/>
      <c r="I1965" s="248"/>
    </row>
    <row r="1966" spans="5:9" ht="12.75">
      <c r="E1966" s="267"/>
      <c r="F1966" s="2"/>
      <c r="G1966" s="2"/>
      <c r="I1966" s="248"/>
    </row>
    <row r="1967" spans="5:9" ht="12.75">
      <c r="E1967" s="267"/>
      <c r="F1967" s="2"/>
      <c r="G1967" s="2"/>
      <c r="I1967" s="248"/>
    </row>
    <row r="1968" spans="5:9" ht="12.75">
      <c r="E1968" s="267"/>
      <c r="F1968" s="2"/>
      <c r="G1968" s="2"/>
      <c r="I1968" s="248"/>
    </row>
    <row r="1969" spans="5:9" ht="12.75">
      <c r="E1969" s="267"/>
      <c r="F1969" s="2"/>
      <c r="G1969" s="2"/>
      <c r="I1969" s="248"/>
    </row>
    <row r="1970" spans="5:9" ht="12.75">
      <c r="E1970" s="267"/>
      <c r="F1970" s="2"/>
      <c r="G1970" s="2"/>
      <c r="I1970" s="248"/>
    </row>
    <row r="1971" spans="5:9" ht="12.75">
      <c r="E1971" s="267"/>
      <c r="F1971" s="2"/>
      <c r="G1971" s="2"/>
      <c r="I1971" s="248"/>
    </row>
    <row r="1972" spans="5:9" ht="12.75">
      <c r="E1972" s="267"/>
      <c r="F1972" s="2"/>
      <c r="G1972" s="2"/>
      <c r="I1972" s="248"/>
    </row>
    <row r="1973" spans="5:9" ht="12.75">
      <c r="E1973" s="267"/>
      <c r="F1973" s="2"/>
      <c r="G1973" s="2"/>
      <c r="I1973" s="248"/>
    </row>
    <row r="1974" spans="5:9" ht="12.75">
      <c r="E1974" s="267"/>
      <c r="F1974" s="2"/>
      <c r="G1974" s="2"/>
      <c r="I1974" s="248"/>
    </row>
    <row r="1975" spans="5:9" ht="12.75">
      <c r="E1975" s="267"/>
      <c r="F1975" s="2"/>
      <c r="G1975" s="2"/>
      <c r="I1975" s="248"/>
    </row>
    <row r="1976" spans="5:9" ht="12.75">
      <c r="E1976" s="267"/>
      <c r="F1976" s="2"/>
      <c r="G1976" s="2"/>
      <c r="I1976" s="248"/>
    </row>
    <row r="1977" spans="5:9" ht="12.75">
      <c r="E1977" s="267"/>
      <c r="F1977" s="2"/>
      <c r="G1977" s="2"/>
      <c r="I1977" s="248"/>
    </row>
    <row r="1978" spans="5:9" ht="12.75">
      <c r="E1978" s="267"/>
      <c r="F1978" s="2"/>
      <c r="G1978" s="2"/>
      <c r="I1978" s="248"/>
    </row>
    <row r="1979" spans="5:9" ht="12.75">
      <c r="E1979" s="267"/>
      <c r="F1979" s="2"/>
      <c r="G1979" s="2"/>
      <c r="I1979" s="248"/>
    </row>
    <row r="1980" spans="5:9" ht="12.75">
      <c r="E1980" s="267"/>
      <c r="F1980" s="2"/>
      <c r="G1980" s="2"/>
      <c r="I1980" s="248"/>
    </row>
    <row r="1981" spans="5:9" ht="12.75">
      <c r="E1981" s="267"/>
      <c r="F1981" s="2"/>
      <c r="G1981" s="2"/>
      <c r="I1981" s="248"/>
    </row>
    <row r="1982" spans="5:9" ht="12.75">
      <c r="E1982" s="267"/>
      <c r="F1982" s="2"/>
      <c r="G1982" s="2"/>
      <c r="I1982" s="248"/>
    </row>
    <row r="1983" spans="5:9" ht="12.75">
      <c r="E1983" s="267"/>
      <c r="F1983" s="2"/>
      <c r="G1983" s="2"/>
      <c r="I1983" s="248"/>
    </row>
    <row r="1984" spans="5:9" ht="12.75">
      <c r="E1984" s="267"/>
      <c r="F1984" s="2"/>
      <c r="G1984" s="2"/>
      <c r="I1984" s="248"/>
    </row>
    <row r="1985" spans="5:9" ht="12.75">
      <c r="E1985" s="267"/>
      <c r="F1985" s="2"/>
      <c r="G1985" s="2"/>
      <c r="I1985" s="248"/>
    </row>
    <row r="1986" spans="5:9" ht="12.75">
      <c r="E1986" s="267"/>
      <c r="F1986" s="2"/>
      <c r="G1986" s="2"/>
      <c r="I1986" s="248"/>
    </row>
    <row r="1987" spans="5:9" ht="12.75">
      <c r="E1987" s="267"/>
      <c r="F1987" s="2"/>
      <c r="G1987" s="2"/>
      <c r="I1987" s="248"/>
    </row>
    <row r="1988" spans="5:9" ht="12.75">
      <c r="E1988" s="267"/>
      <c r="F1988" s="2"/>
      <c r="G1988" s="2"/>
      <c r="I1988" s="248"/>
    </row>
    <row r="1989" spans="5:9" ht="12.75">
      <c r="E1989" s="267"/>
      <c r="F1989" s="2"/>
      <c r="G1989" s="2"/>
      <c r="I1989" s="248"/>
    </row>
    <row r="1990" spans="5:9" ht="12.75">
      <c r="E1990" s="267"/>
      <c r="F1990" s="2"/>
      <c r="G1990" s="2"/>
      <c r="I1990" s="248"/>
    </row>
    <row r="1991" spans="5:9" ht="12.75">
      <c r="E1991" s="267"/>
      <c r="F1991" s="2"/>
      <c r="G1991" s="2"/>
      <c r="I1991" s="248"/>
    </row>
    <row r="1992" spans="5:9" ht="12.75">
      <c r="E1992" s="267"/>
      <c r="F1992" s="2"/>
      <c r="G1992" s="2"/>
      <c r="I1992" s="248"/>
    </row>
    <row r="1993" spans="5:9" ht="12.75">
      <c r="E1993" s="267"/>
      <c r="F1993" s="2"/>
      <c r="G1993" s="2"/>
      <c r="I1993" s="248"/>
    </row>
    <row r="1994" spans="5:9" ht="12.75">
      <c r="E1994" s="267"/>
      <c r="F1994" s="2"/>
      <c r="G1994" s="2"/>
      <c r="I1994" s="248"/>
    </row>
    <row r="1995" spans="5:9" ht="12.75">
      <c r="E1995" s="267"/>
      <c r="F1995" s="2"/>
      <c r="G1995" s="2"/>
      <c r="I1995" s="248"/>
    </row>
    <row r="1996" spans="5:9" ht="12.75">
      <c r="E1996" s="267"/>
      <c r="F1996" s="2"/>
      <c r="G1996" s="2"/>
      <c r="I1996" s="248"/>
    </row>
    <row r="1997" spans="5:9" ht="12.75">
      <c r="E1997" s="267"/>
      <c r="F1997" s="2"/>
      <c r="G1997" s="2"/>
      <c r="I1997" s="248"/>
    </row>
    <row r="1998" spans="5:9" ht="12.75">
      <c r="E1998" s="267"/>
      <c r="F1998" s="2"/>
      <c r="G1998" s="2"/>
      <c r="I1998" s="248"/>
    </row>
    <row r="1999" spans="5:9" ht="12.75">
      <c r="E1999" s="267"/>
      <c r="F1999" s="2"/>
      <c r="G1999" s="2"/>
      <c r="I1999" s="248"/>
    </row>
    <row r="2000" spans="5:9" ht="12.75">
      <c r="E2000" s="267"/>
      <c r="F2000" s="2"/>
      <c r="G2000" s="2"/>
      <c r="I2000" s="248"/>
    </row>
    <row r="2001" spans="5:9" ht="12.75">
      <c r="E2001" s="267"/>
      <c r="F2001" s="2"/>
      <c r="G2001" s="2"/>
      <c r="I2001" s="248"/>
    </row>
    <row r="2002" spans="5:9" ht="12.75">
      <c r="E2002" s="267"/>
      <c r="F2002" s="2"/>
      <c r="G2002" s="2"/>
      <c r="I2002" s="248"/>
    </row>
    <row r="2003" spans="5:9" ht="12.75">
      <c r="E2003" s="267"/>
      <c r="F2003" s="2"/>
      <c r="G2003" s="2"/>
      <c r="I2003" s="248"/>
    </row>
    <row r="2004" spans="5:9" ht="12.75">
      <c r="E2004" s="267"/>
      <c r="F2004" s="2"/>
      <c r="G2004" s="2"/>
      <c r="I2004" s="248"/>
    </row>
    <row r="2005" spans="5:9" ht="12.75">
      <c r="E2005" s="267"/>
      <c r="F2005" s="2"/>
      <c r="G2005" s="2"/>
      <c r="I2005" s="248"/>
    </row>
    <row r="2006" spans="5:9" ht="12.75">
      <c r="E2006" s="267"/>
      <c r="F2006" s="2"/>
      <c r="G2006" s="2"/>
      <c r="I2006" s="248"/>
    </row>
    <row r="2007" spans="5:9" ht="12.75">
      <c r="E2007" s="267"/>
      <c r="F2007" s="2"/>
      <c r="G2007" s="2"/>
      <c r="I2007" s="248"/>
    </row>
    <row r="2008" spans="5:9" ht="12.75">
      <c r="E2008" s="267"/>
      <c r="F2008" s="2"/>
      <c r="G2008" s="2"/>
      <c r="I2008" s="248"/>
    </row>
    <row r="2009" spans="5:9" ht="12.75">
      <c r="E2009" s="267"/>
      <c r="F2009" s="2"/>
      <c r="G2009" s="2"/>
      <c r="I2009" s="248"/>
    </row>
    <row r="2010" spans="5:9" ht="12.75">
      <c r="E2010" s="267"/>
      <c r="F2010" s="2"/>
      <c r="G2010" s="2"/>
      <c r="I2010" s="248"/>
    </row>
    <row r="2011" spans="5:9" ht="12.75">
      <c r="E2011" s="267"/>
      <c r="F2011" s="2"/>
      <c r="G2011" s="2"/>
      <c r="I2011" s="248"/>
    </row>
    <row r="2012" spans="5:9" ht="12.75">
      <c r="E2012" s="267"/>
      <c r="F2012" s="2"/>
      <c r="G2012" s="2"/>
      <c r="I2012" s="248"/>
    </row>
    <row r="2013" spans="5:9" ht="12.75">
      <c r="E2013" s="267"/>
      <c r="F2013" s="2"/>
      <c r="G2013" s="2"/>
      <c r="I2013" s="248"/>
    </row>
    <row r="2014" spans="5:9" ht="12.75">
      <c r="E2014" s="267"/>
      <c r="F2014" s="2"/>
      <c r="G2014" s="2"/>
      <c r="I2014" s="248"/>
    </row>
    <row r="2015" spans="5:9" ht="12.75">
      <c r="E2015" s="267"/>
      <c r="F2015" s="2"/>
      <c r="G2015" s="2"/>
      <c r="I2015" s="248"/>
    </row>
    <row r="2016" spans="5:9" ht="12.75">
      <c r="E2016" s="267"/>
      <c r="F2016" s="2"/>
      <c r="G2016" s="2"/>
      <c r="I2016" s="248"/>
    </row>
    <row r="2017" spans="5:9" ht="12.75">
      <c r="E2017" s="267"/>
      <c r="F2017" s="2"/>
      <c r="G2017" s="2"/>
      <c r="I2017" s="248"/>
    </row>
    <row r="2018" spans="5:9" ht="12.75">
      <c r="E2018" s="267"/>
      <c r="F2018" s="2"/>
      <c r="G2018" s="2"/>
      <c r="I2018" s="248"/>
    </row>
    <row r="2019" spans="5:9" ht="12.75">
      <c r="E2019" s="267"/>
      <c r="F2019" s="2"/>
      <c r="G2019" s="2"/>
      <c r="I2019" s="248"/>
    </row>
    <row r="2020" spans="5:9" ht="12.75">
      <c r="E2020" s="267"/>
      <c r="F2020" s="2"/>
      <c r="G2020" s="2"/>
      <c r="I2020" s="248"/>
    </row>
    <row r="2021" spans="5:9" ht="12.75">
      <c r="E2021" s="267"/>
      <c r="F2021" s="2"/>
      <c r="G2021" s="2"/>
      <c r="I2021" s="248"/>
    </row>
    <row r="2022" spans="5:9" ht="12.75">
      <c r="E2022" s="267"/>
      <c r="F2022" s="2"/>
      <c r="G2022" s="2"/>
      <c r="I2022" s="248"/>
    </row>
    <row r="2023" spans="5:9" ht="12.75">
      <c r="E2023" s="267"/>
      <c r="F2023" s="2"/>
      <c r="G2023" s="2"/>
      <c r="I2023" s="248"/>
    </row>
    <row r="2024" spans="5:9" ht="12.75">
      <c r="E2024" s="267"/>
      <c r="F2024" s="2"/>
      <c r="G2024" s="2"/>
      <c r="I2024" s="248"/>
    </row>
    <row r="2025" spans="5:9" ht="12.75">
      <c r="E2025" s="267"/>
      <c r="F2025" s="2"/>
      <c r="G2025" s="2"/>
      <c r="I2025" s="248"/>
    </row>
    <row r="2026" spans="5:9" ht="12.75">
      <c r="E2026" s="267"/>
      <c r="F2026" s="2"/>
      <c r="G2026" s="2"/>
      <c r="I2026" s="248"/>
    </row>
    <row r="2027" spans="5:9" ht="12.75">
      <c r="E2027" s="267"/>
      <c r="F2027" s="2"/>
      <c r="G2027" s="2"/>
      <c r="I2027" s="248"/>
    </row>
    <row r="2028" spans="5:9" ht="12.75">
      <c r="E2028" s="267"/>
      <c r="F2028" s="2"/>
      <c r="G2028" s="2"/>
      <c r="I2028" s="248"/>
    </row>
    <row r="2029" spans="5:9" ht="12.75">
      <c r="E2029" s="267"/>
      <c r="F2029" s="2"/>
      <c r="G2029" s="2"/>
      <c r="I2029" s="248"/>
    </row>
    <row r="2030" spans="5:9" ht="12.75">
      <c r="E2030" s="267"/>
      <c r="F2030" s="2"/>
      <c r="G2030" s="2"/>
      <c r="I2030" s="248"/>
    </row>
    <row r="2031" spans="5:9" ht="12.75">
      <c r="E2031" s="267"/>
      <c r="F2031" s="2"/>
      <c r="G2031" s="2"/>
      <c r="I2031" s="248"/>
    </row>
    <row r="2032" spans="5:9" ht="12.75">
      <c r="E2032" s="267"/>
      <c r="F2032" s="2"/>
      <c r="G2032" s="2"/>
      <c r="I2032" s="248"/>
    </row>
    <row r="2033" spans="5:9" ht="12.75">
      <c r="E2033" s="267"/>
      <c r="F2033" s="2"/>
      <c r="G2033" s="2"/>
      <c r="I2033" s="248"/>
    </row>
    <row r="2034" spans="5:9" ht="12.75">
      <c r="E2034" s="267"/>
      <c r="F2034" s="2"/>
      <c r="G2034" s="2"/>
      <c r="I2034" s="248"/>
    </row>
    <row r="2035" spans="5:9" ht="12.75">
      <c r="E2035" s="267"/>
      <c r="F2035" s="2"/>
      <c r="G2035" s="2"/>
      <c r="I2035" s="248"/>
    </row>
    <row r="2036" spans="5:9" ht="12.75">
      <c r="E2036" s="267"/>
      <c r="F2036" s="2"/>
      <c r="G2036" s="2"/>
      <c r="I2036" s="248"/>
    </row>
    <row r="2037" spans="5:9" ht="12.75">
      <c r="E2037" s="267"/>
      <c r="F2037" s="2"/>
      <c r="G2037" s="2"/>
      <c r="I2037" s="248"/>
    </row>
    <row r="2038" spans="5:9" ht="12.75">
      <c r="E2038" s="267"/>
      <c r="F2038" s="2"/>
      <c r="G2038" s="2"/>
      <c r="I2038" s="248"/>
    </row>
    <row r="2039" spans="5:9" ht="12.75">
      <c r="E2039" s="267"/>
      <c r="F2039" s="2"/>
      <c r="G2039" s="2"/>
      <c r="I2039" s="248"/>
    </row>
    <row r="2040" spans="5:9" ht="12.75">
      <c r="E2040" s="267"/>
      <c r="F2040" s="2"/>
      <c r="G2040" s="2"/>
      <c r="I2040" s="248"/>
    </row>
    <row r="2041" spans="5:9" ht="12.75">
      <c r="E2041" s="267"/>
      <c r="F2041" s="2"/>
      <c r="G2041" s="2"/>
      <c r="I2041" s="248"/>
    </row>
    <row r="2042" spans="5:9" ht="12.75">
      <c r="E2042" s="267"/>
      <c r="F2042" s="2"/>
      <c r="G2042" s="2"/>
      <c r="I2042" s="248"/>
    </row>
    <row r="2043" spans="5:9" ht="12.75">
      <c r="E2043" s="267"/>
      <c r="F2043" s="2"/>
      <c r="G2043" s="2"/>
      <c r="I2043" s="248"/>
    </row>
    <row r="2044" spans="5:9" ht="12.75">
      <c r="E2044" s="267"/>
      <c r="F2044" s="2"/>
      <c r="G2044" s="2"/>
      <c r="I2044" s="248"/>
    </row>
    <row r="2045" spans="5:9" ht="12.75">
      <c r="E2045" s="267"/>
      <c r="F2045" s="2"/>
      <c r="G2045" s="2"/>
      <c r="I2045" s="248"/>
    </row>
    <row r="2046" spans="5:9" ht="12.75">
      <c r="E2046" s="267"/>
      <c r="F2046" s="2"/>
      <c r="G2046" s="2"/>
      <c r="I2046" s="248"/>
    </row>
    <row r="2047" spans="5:9" ht="12.75">
      <c r="E2047" s="267"/>
      <c r="F2047" s="2"/>
      <c r="G2047" s="2"/>
      <c r="I2047" s="248"/>
    </row>
  </sheetData>
  <autoFilter ref="F1:F2047" xr:uid="{00000000-0009-0000-0000-000006000000}"/>
  <mergeCells count="2">
    <mergeCell ref="C387:C392"/>
    <mergeCell ref="C1027:C1032"/>
  </mergeCells>
  <conditionalFormatting sqref="D9">
    <cfRule type="colorScale" priority="1">
      <colorScale>
        <cfvo type="min"/>
        <cfvo type="max"/>
        <color rgb="FFFFFFFF"/>
        <color rgb="FF57BB8A"/>
      </colorScale>
    </cfRule>
  </conditionalFormatting>
  <dataValidations count="1">
    <dataValidation type="custom" allowBlank="1" showInputMessage="1" prompt="Enter a valid URL" sqref="M548 M1188" xr:uid="{00000000-0002-0000-0600-000000000000}">
      <formula1>IFERROR(ISURL(M548), TRUE)</formula1>
    </dataValidation>
  </dataValidations>
  <hyperlinks>
    <hyperlink ref="K57" r:id="rId1" xr:uid="{00000000-0004-0000-0600-000000000000}"/>
    <hyperlink ref="H145" r:id="rId2" xr:uid="{00000000-0004-0000-0600-000001000000}"/>
    <hyperlink ref="F282" r:id="rId3" xr:uid="{00000000-0004-0000-0600-000002000000}"/>
    <hyperlink ref="K330" r:id="rId4" xr:uid="{00000000-0004-0000-0600-000003000000}"/>
    <hyperlink ref="H396" r:id="rId5" xr:uid="{00000000-0004-0000-0600-000004000000}"/>
    <hyperlink ref="K409" r:id="rId6" xr:uid="{00000000-0004-0000-0600-000005000000}"/>
    <hyperlink ref="K425" r:id="rId7" xr:uid="{00000000-0004-0000-0600-000006000000}"/>
    <hyperlink ref="F473" r:id="rId8" xr:uid="{00000000-0004-0000-0600-000007000000}"/>
    <hyperlink ref="F499" r:id="rId9" xr:uid="{00000000-0004-0000-0600-000008000000}"/>
    <hyperlink ref="K504" r:id="rId10" xr:uid="{00000000-0004-0000-0600-000009000000}"/>
    <hyperlink ref="K723" r:id="rId11" xr:uid="{00000000-0004-0000-0600-00000A000000}"/>
    <hyperlink ref="K773" r:id="rId12" xr:uid="{00000000-0004-0000-0600-00000B000000}"/>
    <hyperlink ref="F821" r:id="rId13" xr:uid="{00000000-0004-0000-0600-00000C000000}"/>
    <hyperlink ref="H838" r:id="rId14" xr:uid="{00000000-0004-0000-0600-00000D000000}"/>
    <hyperlink ref="H1036" r:id="rId15" xr:uid="{00000000-0004-0000-0600-00000E000000}"/>
    <hyperlink ref="K1048" r:id="rId16" xr:uid="{00000000-0004-0000-0600-00000F000000}"/>
    <hyperlink ref="K1064" r:id="rId17" xr:uid="{00000000-0004-0000-0600-000010000000}"/>
    <hyperlink ref="F1112" r:id="rId18" xr:uid="{00000000-0004-0000-0600-000011000000}"/>
    <hyperlink ref="A1119" r:id="rId19" xr:uid="{00000000-0004-0000-0600-000012000000}"/>
    <hyperlink ref="F1139" r:id="rId20" xr:uid="{00000000-0004-0000-0600-000013000000}"/>
    <hyperlink ref="K1144" r:id="rId21" xr:uid="{00000000-0004-0000-0600-000014000000}"/>
  </hyperlinks>
  <printOptions horizontalCentered="1" gridLines="1"/>
  <pageMargins left="0.7" right="0.7" top="0.75" bottom="0.75" header="0" footer="0"/>
  <pageSetup fitToHeight="0" pageOrder="overThenDown" orientation="landscape" cellComments="atEnd"/>
  <legacyDrawing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Copy of Industrial Attachment 1</vt:lpstr>
      <vt:lpstr>Sheet130</vt:lpstr>
      <vt:lpstr>Sheet129</vt:lpstr>
      <vt:lpstr>Sheet128</vt:lpstr>
      <vt:lpstr>Copy of Copy of Industrial Atta</vt:lpstr>
      <vt:lpstr>Sheet131</vt:lpstr>
      <vt:lpstr>Copy of Industrial Attachment</vt:lpstr>
      <vt:lpstr>'Copy of Copy of Industrial Atta'!e</vt:lpstr>
      <vt:lpstr>'Copy of Industrial Attachment'!e</vt:lpstr>
      <vt:lpstr>'Copy of Industrial Attachment 1'!e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juma</dc:creator>
  <cp:lastModifiedBy>ibrahim juma</cp:lastModifiedBy>
  <dcterms:created xsi:type="dcterms:W3CDTF">2026-02-27T07:10:58Z</dcterms:created>
  <dcterms:modified xsi:type="dcterms:W3CDTF">2026-03-06T07:24:33Z</dcterms:modified>
</cp:coreProperties>
</file>